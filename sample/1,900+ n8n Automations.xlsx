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5"/>
  </sheets>
  <definedNames/>
  <calcPr/>
</workbook>
</file>

<file path=xl/sharedStrings.xml><?xml version="1.0" encoding="utf-8"?>
<sst xmlns="http://schemas.openxmlformats.org/spreadsheetml/2006/main" count="5966" uniqueCount="3950">
  <si>
    <t>The Magic N8N Bundle</t>
  </si>
  <si>
    <t>❓ Want to search? Use CTRL+F or CMD+F on Mac and start typing!</t>
  </si>
  <si>
    <t>Title</t>
  </si>
  <si>
    <t>Description</t>
  </si>
  <si>
    <t>Download Link</t>
  </si>
  <si>
    <t>Automated Social Media Content Publisher</t>
  </si>
  <si>
    <t>An n8n workflow utilizing OpenAI GPT-4 and LangChain that automates content creation and publishing across Twitter (X), Instagram, Facebook, LinkedIn, Threads, and YouTube Shorts. It dynamically composes prompts and schemas from Google Docs, generates contextual posts with AI, creates matching images using pollinations.ai, and publishes or archives content with approvals and notifications.</t>
  </si>
  <si>
    <t>Download</t>
  </si>
  <si>
    <t>AI-Powered Telegram Assistant with Email, Calendar &amp; Tasks</t>
  </si>
  <si>
    <t>An AI assistant on Telegram integrating OpenAI GPT-4, Google Calendar, Gmail, and Baserow for task and contact management. It handles voice/text inputs, transcribes voice notes, fetches and summarizes emails and calendar events, and manages tasks, providing seamless personal assistance.</t>
  </si>
  <si>
    <t>AI-Powered Automated Research Report Generator</t>
  </si>
  <si>
    <t>This n8n workflow automates research report creation using OpenAI GPT-4 for query refinement and summarization, Wikipedia, NewsAPI, Google Custom Search, SerpApi for scholarly papers, and integrates PDFShift for PDF generation. Reports are sent via Gmail and Telegram, streamlining professional research delivery.</t>
  </si>
  <si>
    <t>Automated Social Media Content Publisher &amp; Prompt Composer</t>
  </si>
  <si>
    <t>An n8n workflow automating content creation and publishing across TikTok (YouTube Shorts), Instagram, Facebook, Twitter (X), LinkedIn, and Threads using OpenAI GPT-4o-mini and Langchain for AI content generation, Pollinations.ai for image creation, imgbb API for image hosting, Google Docs for prompts/schema storage, and platform APIs for auto-posting. It supports human approval via Gmail and structures posts per platform specs.</t>
  </si>
  <si>
    <t>AI Social Video Generator &amp; Auto Social Posting</t>
  </si>
  <si>
    <t>An automated n8n workflow leveraging Telegram, GPT-4, Kling AI video API, Cloudinary, and Blotato to create AI videos with voice-over and captions, then auto-publish to Instagram, YouTube, TikTok, Facebook, Twitter (X), LinkedIn, Threads, Bluesky, and Pinterest.</t>
  </si>
  <si>
    <t>YouTube Video Summaries &amp; Transcripts via Gemini API</t>
  </si>
  <si>
    <t>Automate extraction of YouTube video transcripts, summaries, scene descriptions, and social media clips using Google Gemini API and n8n automation. Easily customize prompts and output for versatile video content analysis and marketing.</t>
  </si>
  <si>
    <t>n8n AI &amp; App Node Reference Library</t>
  </si>
  <si>
    <t>Comprehensive n8n workflow showcasing various AI nodes (OpenAI, Langchain agents, Anthropic, Google Gemini) and app integrations (Google Suite, Dropbox, Bitly, Reddit, YouTube, etc.) designed as a visual reference for automation and AI-enhanced workflow building.</t>
  </si>
  <si>
    <t>AI TikTok/YouTube Shorts Reel Generator</t>
  </si>
  <si>
    <t>Automates creation of POV short-form videos for TikTok, YouTube Shorts, and Reels using OpenAI for captions &amp; scripts, PiAPI's Flux &amp; Kling for AI image and video generation, Eleven Labs for voiceover, Creatomate for video rendering, plus Google Sheets/Drive for data and file management.</t>
  </si>
  <si>
    <t>AI Social Video Auto-Creation &amp; Multi-Platform Posting</t>
  </si>
  <si>
    <t>Automates video creation from Telegram prompts or images using AI (GPT-4, Piapi, Blotato), merges voice-over and captions, saves metadata to Google Sheets, and auto-publishes videos to 9 social platforms (Instagram, YouTube, TikTok, Facebook, Threads, Twitter, LinkedIn, Bluesky, Pinterest) via Blotato API.</t>
  </si>
  <si>
    <t>AI-Driven Sales Meeting Follow-Up Scheduler</t>
  </si>
  <si>
    <t>An n8n workflow automating sales follow-ups using Google Calendar and Gmail APIs. It retrieves past meetings, checks email interaction, uses OpenAI GPT-4 powered AI agents to suggest and book next meeting slots, with human approval for final booking. Supports calendar management and contextualized follow-ups.</t>
  </si>
  <si>
    <t>AI Stock Analysis Bot via Telegram</t>
  </si>
  <si>
    <t>An n8n workflow that enables real-time stock technical analysis through Telegram. It uses Telegram APIs for message interaction, OpenAI GPT-4 for chat and audio transcription, Chart-img API for generating stock charts, Airtable for saving tickers, plus LangChain tools to orchestrate AI agent processes and chat memory.</t>
  </si>
  <si>
    <t>ChatGPT Image Generation to Google Drive &amp; Sheets</t>
  </si>
  <si>
    <t>n8n workflow integrates OpenAI GPT-image-1 API for image generation from chat prompts, saves images to Google Drive, and logs images with thumbnails and cost details in Google Sheets for tracking and analysis.</t>
  </si>
  <si>
    <t>Google Calendar to Outlook Sync</t>
  </si>
  <si>
    <t>Automates syncing Google Calendar events to Microsoft Outlook. Uses Google Calendar triggers for event creation/cancellation and Outlook API to create/delete events, including email notifications on cancellations. Integrates Google Calendar and Microsoft Outlook APIs via n8n.</t>
  </si>
  <si>
    <t>Notion Daily Posts to LinkedIn</t>
  </si>
  <si>
    <t>Automates fetching daily posts from a Notion database, formats content and images, then publishes them on LinkedIn. Uses Notion API, LinkedIn API, and n8n's schedule, code, HTTP request, and merge nodes for seamless content automation.</t>
  </si>
  <si>
    <t>Multi-Agent AI Chat Conversation</t>
  </si>
  <si>
    <t>An n8n workflow enabling conversations with multiple AI agents concurrently using OpenRouter API for models like GPT-4o, Claude, and Gemini. It supports customized agent personalities, dynamic selection via @mentions, session memory, and aggregated responses for scalable multi-agent chats.</t>
  </si>
  <si>
    <t>Property-Based Lead Qualification Workflow</t>
  </si>
  <si>
    <t>Automates lead qualification by integrating CRM leads with BatchData's Property Lookup API. Fetches lead data, verifies property details, applies a scoring system, updates CRM, and routes high-value leads with Slack alerts and task creation. Uses webhook, HTTP requests, and code nodes.</t>
  </si>
  <si>
    <t>Stripe Invoice Payment to HubSpot and Slack Alert</t>
  </si>
  <si>
    <t>Automates workflow for Stripe invoice payments: triggers on payment success, searches and updates HubSpot deals by PO number, and sends detailed Slack notifications to accounting team. Uses Stripe API, HubSpot API (OAuth2), and Slack for seamless payment tracking.</t>
  </si>
  <si>
    <t>Shopify Order Automation Workflow</t>
  </si>
  <si>
    <t>Automates Shopify order processing integrating Zoho CRM, Trello, Gmail, Mailchimp, and Harvest. It updates CRM contacts, creates tasks, sends conditional emails, tags customers, and generates invoices to streamline order management.</t>
  </si>
  <si>
    <t>LinkedIn Interaction to Email Campaign Automation</t>
  </si>
  <si>
    <t>Automates creating email campaigns from LinkedIn post interactions using Phantombuster to scrape likers and commenters, Dropcontact for contact enrichment, Airtable for contact management, and Lemlist plus Hubspot for campaign and CRM integration.</t>
  </si>
  <si>
    <t>Lead Enrichment &amp; Airtable Update Automation</t>
  </si>
  <si>
    <t>Automates lead data enrichment from Typeform via Dropcontact, manages contacts in Airtable, and sends notifications on Slack. Integrates Typeform, Dropcontact API, Airtable, and Slack for streamlined lead capture and CRM updates.</t>
  </si>
  <si>
    <t>Shopify Fulfillment to Onfleet Task Automation</t>
  </si>
  <si>
    <t>Automates task creation in Onfleet upon new Shopify fulfillment via Shopify Trigger node and Onfleet API. Seamlessly integrates Shopify and Onfleet for streamlined delivery task management in n8n workflow.</t>
  </si>
  <si>
    <t>Automated Email Appointment Scheduler</t>
  </si>
  <si>
    <t>An n8n workflow that uses Gmail API, Google Calendar, and OpenAI GPT-4o-mini to detect appointment requests in incoming emails, check calendar availability, compose precise meeting proposals, and automatically reply and mark emails as read.</t>
  </si>
  <si>
    <t>AI Chat Agent with Memory and Search</t>
  </si>
  <si>
    <t>An n8n workflow integrating OpenAI GPT-4o-mini chat model, SerpAPI for web search, and a memory buffer to create an AI chat agent that handles incoming chat messages, performs real-time web queries, and maintains context for conversational interactions.</t>
  </si>
  <si>
    <t>AI Conversational Agent with External Tools</t>
  </si>
  <si>
    <t>An AI chatbot workflow using OpenAI's GPT-4o-mini, integrated with SerpAPI and Wikipedia for enhanced real-time info retrieval. It stores recent chat history in a 20-message buffer to maintain context, enabling dynamic, informed human-like conversations.</t>
  </si>
  <si>
    <t>Telegram Receipt Expense Logger</t>
  </si>
  <si>
    <t>Automates expense tracking by parsing receipt images sent via Telegram using Mindee API, logs details to Google Sheets, confirms via Telegram, and sends SMS notification via Twilio. Streamlines receipt management and bookkeeping.</t>
  </si>
  <si>
    <t>Automated Lead Qualification and Deal Creation</t>
  </si>
  <si>
    <t>This n8n workflow automates cold email response analysis using Gmail, OpenAI GPT-4, and Pipedrive CRM. It checks replies for interest in meetings, qualifies leads with AI, and creates deals in Pipedrive for interested prospects, streamlining sales outreach processes.</t>
  </si>
  <si>
    <t>Lead Qualification &amp; Slack Notification</t>
  </si>
  <si>
    <t>Automates lead capture from a form, verifies email via Hunter API, scores leads using MadKudu API, and sends qualified lead alerts to Slack. Utilizes n8n form trigger, Hunter email verifier, MadKudu lead scoring, and Slack API integration for streamlined lead management.</t>
  </si>
  <si>
    <t>RAG AI Agent with Milvus &amp; Cohere</t>
  </si>
  <si>
    <t>Automates Retrieval-Augmented Generation (RAG) using Cohere embeddings, Milvus vector DB, OpenAI GPT-4o, and Google Drive. Upload PDFs to Drive, auto-embed and store in Milvus, then query via an AI chat agent for contextual AI responses.</t>
  </si>
  <si>
    <t>Social Media Post Generator &amp; Twitter Poster</t>
  </si>
  <si>
    <t>Automates social media post creation by fetching content ideas from Google Sheets, generating posts using OpenAI GPT-4, posting to Twitter via Twitter API, and updating Google Sheets with posting info. Integrates Google Sheets, OpenAI, and Twitter APIs.</t>
  </si>
  <si>
    <t>Incident Management: PagerDuty, Jira &amp; Mattermost</t>
  </si>
  <si>
    <t>Automates incident lifecycle by integrating PagerDuty, Jira, and Mattermost. Creates Jira issues from PagerDuty incidents, updates statuses on acknowledgment &amp; resolution, and posts real-time messages with interactive buttons in Mattermost channels.</t>
  </si>
  <si>
    <t>Daily AI News Summary &amp; Translation to Telegram</t>
  </si>
  <si>
    <t>An automated workflow fetching daily AI news from NewsAPI and GNews, summarizing and translating top articles into Traditional Chinese using GPT-4, and delivering the digest via Telegram bot. Integrates NewsAPI, GNews, OpenAI GPT-4, and Telegram API for seamless news updates.</t>
  </si>
  <si>
    <t>Two-Way Sync Between Pipedrive and MySQL</t>
  </si>
  <si>
    <t>Automates bidirectional data synchronization between Pipedrive CRM and a MySQL database. Utilizes n8n nodes including Pipedrive API, MySQL integration, dataset comparison, and conditional logic to create, update, and maintain consistent contact records.</t>
  </si>
  <si>
    <t>Event Attendee Automation with Mattermost &amp; Google</t>
  </si>
  <si>
    <t>Automates attendee registration for events using Typeform, Google Sheets, Mattermost chat, Google Calendar, and Gmail. It registers attendees, creates Mattermost accounts, adds them to teams/channels, updates event calendars, and sends confirmation emails.</t>
  </si>
  <si>
    <t>Notion-Triggered AI SEO Content Publisher</t>
  </si>
  <si>
    <t>Automates creation and publishing of SEO-optimized blog posts by detecting Notion database updates. Integrates Notion API, Langchain AI, WordPress API, Gmail, and DeepSeek AI to write, publish, notify, and log content seamlessly.</t>
  </si>
  <si>
    <t>Phishing URL Analyzer with URLScan and VirusTotal</t>
  </si>
  <si>
    <t>Automates phishing URL detection from unread Outlook emails by extracting URLs, scanning via URLScan.io and VirusTotal APIs, and sending detailed Slack alerts. Integrates Microsoft Outlook, Python ioc-finder lib, URLScan.io, VirusTotal, and Slack for automated cybersecurity threat analysis.</t>
  </si>
  <si>
    <t>Blotato Multi-Platform Social Media Publisher</t>
  </si>
  <si>
    <t>Automates publishing of videos and images to Instagram, Facebook, YouTube, TikTok, Twitter, LinkedIn, Pinterest, Threads, and Bluesky using Blotato API. Integrates Airtable for content management and OpenAI GPT-4 for optimizing YouTube titles, enabling streamlined multi-channel social media scheduling.</t>
  </si>
  <si>
    <t>AI-Powered RAG Chatbot with Google Drive &amp; Qdrant</t>
  </si>
  <si>
    <t>An advanced n8n workflow that creates a Retrieval-Augmented Generation chatbot integrating Google Drive, Google Gemini AI, Qdrant vector store, OpenAI embeddings, and Telegram for notifications. It processes documents, extracts metadata, stores vectors, enables conversational search, and supports secure vector data management with human confirmation.</t>
  </si>
  <si>
    <t>Crypto News Sentiment Telegram Bot</t>
  </si>
  <si>
    <t>Telegram bot leveraging OpenAI GPT-4o, integrated with multiple crypto news RSS feeds. It analyzes user queries, fetches relevant articles, summarizes news and market sentiment for cryptocurrencies or companies, and delivers concise AI-generated insights via Telegram messages.</t>
  </si>
  <si>
    <t>Email Expense Extractor to Google Sheets</t>
  </si>
  <si>
    <t>Automates extraction of expense data from email receipts using Gmail IMAP and Mindee Receipt OCR API, then appends data to Google Sheets. Ideal for streamlining expense tracking with n8n automation workflow.</t>
  </si>
  <si>
    <t>Auto Video Upload &amp; Caption for Social Media</t>
  </si>
  <si>
    <t>Automates uploading videos from a Google Drive folder to TikTok, Instagram, and YouTube using upload-post.com API. Extracts audio with OpenAI to generate engaging captions, sending error alerts via Telegram. Tech: Google Drive, OpenAI, upload-post.com API, Telegram.</t>
  </si>
  <si>
    <t>YouTube to SEO Blog Post Automator</t>
  </si>
  <si>
    <t>Automate SEO blog post creation from YouTube videos using Dumpling AI for transcripts and image generation, OpenAI's GPT-4o for content writing, and Gmail for emailing the finished post. Converts video content into optimized, structured blog-ready HTML with engaging images.</t>
  </si>
  <si>
    <t>Discord AI Management Bot</t>
  </si>
  <si>
    <t>An n8n workflow integrating Discord bot API and OpenAI's GPT-4o-mini model to manage Discord server channels with AI-driven message responses. Features workflow &amp; chat triggers, context memory, and multi-channel posting for automated, stylish Discord communication.</t>
  </si>
  <si>
    <t>Movie Recommender Chatbot with Qdrant &amp; OpenAI</t>
  </si>
  <si>
    <t>An n8n workflow that builds a conversational movie recommendation chatbot using GitHub-stored IMDb data, OpenAI embeddings and chat models, and a Qdrant vector database for similarity search to deliver personalized movie recommendations.</t>
  </si>
  <si>
    <t>AI Meeting Summary &amp; Follow-Up Scheduler</t>
  </si>
  <si>
    <t>Automates extraction of Google Meet transcripts, uses OpenAI-powered AI agent to summarize meetings, identify key points, and schedule follow-up Google Calendar events with attendees. Integrates Google Calendar, Google Drive, Google Meet APIs, and OpenAI Langchain AI agent.</t>
  </si>
  <si>
    <t>AI-Powered Calendar Assistant with PDF Q&amp;A</t>
  </si>
  <si>
    <t>An n8n workflow integrating OpenAI GPT-4o, Pinecone vector store, Google Calendar API, and Langchain to automate appointment booking with Max Tkacz, classify emails, and enable chat-based Q&amp;A on PDFs like the BTC whitepaper, all via a chat interface and Slack notifications.</t>
  </si>
  <si>
    <t>AI Meeting Task &amp; Scheduling Assistant</t>
  </si>
  <si>
    <t>Automates meeting transcript processing from Fireflies using OpenAI GPT-4 to create Airtable tasks, notify clients via Gmail, and schedule follow-up calls in Google Calendar. Streamlines project management by converting meeting notes into actionable workflows.</t>
  </si>
  <si>
    <t>AI Real-Time Meeting Transcription &amp; Notes</t>
  </si>
  <si>
    <t>Automates real-time meeting transcription and note-taking using Recall.ai for transcription, OpenAI GPT-4 for AI insights, and Supabase/Postgres for data storage. Captures, structures, and analyzes meeting dialogue for productivity boosts.</t>
  </si>
  <si>
    <t>Supabase File AI Chatbot Integration</t>
  </si>
  <si>
    <t>Automates document processing from Supabase storage by fetching files, extracting text/PDF content, vectorizing data with OpenAI embeddings, storing vectors in Supabase, and enabling conversational queries via an AI chat interface using Langchain and OpenAI APIs.</t>
  </si>
  <si>
    <t>AI Chat Agent for Supabase DB</t>
  </si>
  <si>
    <t>N8N workflow integrating OpenAI and Supabase PostgreSQL to create an AI-powered chat assistant for database queries. It dynamically generates SQL based on user input, retrieves schema info, runs queries, and returns data via conversational AI.</t>
  </si>
  <si>
    <t>AI Google Calendar Assistant with OpenAI</t>
  </si>
  <si>
    <t>n8n workflow integrating OpenAI GPT-4o and Google Calendar API to create and retrieve calendar events. It uses Langchain for AI agent management, supports natural language chat input, and dynamic memory buffer for session context.</t>
  </si>
  <si>
    <t>Airtable PDF Data Extractor with LLM Automation</t>
  </si>
  <si>
    <t>Automates extraction of data from PDFs stored in Airtable using dynamic prompts and OpenAI LLM. Utilizes Airtable webhooks, PDF extraction, LangChain LLM nodes, and HTTP requests for real-time AI-based field updates in Airtable records.</t>
  </si>
  <si>
    <t>AI Triathlon Coach with Strava &amp; Gemini</t>
  </si>
  <si>
    <t>Automates personalized triathlon coaching by analyzing Strava activity data using Google Gemini (PaLM) AI. Generates detailed, motivational feedback and improvement plans for swimming, cycling, and running, then formats and sends insights via email or WhatsApp.</t>
  </si>
  <si>
    <t>AI Voice Chat with OpenAI, Gemini &amp; ElevenLabs</t>
  </si>
  <si>
    <t>An AI voice chat system that transcribes speech using OpenAI, generates conversational responses with Google Gemini Chat model, manages context via LangChain memory nodes, and creates speech audio using ElevenLabs API. Integrates webhook for real-time voice interaction.</t>
  </si>
  <si>
    <t>Voice RAG Chatbot with ElevenLabs &amp; OpenAI</t>
  </si>
  <si>
    <t>An n8n workflow creating a voice-interactive RAG chatbot using ElevenLabs voice agents, OpenAI language models &amp; embeddings, Qdrant vector store, and Google Drive for document ingestion. Enables answering user questions via voice by integrating speech &amp; AI-driven document retrieval.</t>
  </si>
  <si>
    <t>AI Company Research &amp; Data Enrichment</t>
  </si>
  <si>
    <t>Automates company info research using n8n with OpenAI GPT-4, SerpAPI, ScrapingBee, and Google Sheets. Extracts data like domain, LinkedIn URL, pricing, plans, APIs, integrations, and case studies for B2B/B2C markets, enabling scalable enrichment workflows.</t>
  </si>
  <si>
    <t>YouTube Trend Analyzer AI</t>
  </si>
  <si>
    <t>An n8n workflow using LangChain AI, OpenAI GPT, YouTube API, and custom memory management to help YouTube creators discover trending videos and content patterns in their niche from the last 2 days. It provides insightful analytics with video stats and channels links.</t>
  </si>
  <si>
    <t>AI Lead Processing &amp; Email Notification System</t>
  </si>
  <si>
    <t>Automates analysis of incoming lead notes, categorizes inquiries, finds appropriate contacts from a database, and generates email notifications. Integrates ERPNext for lead data, OpenAI for NLP analysis, Google Sheets for contact lookup, and Microsoft Outlook API to format/send emails.</t>
  </si>
  <si>
    <t>AI Summary Automation for WordPress Posts</t>
  </si>
  <si>
    <t>Automates creating AI-generated summary blocks for WordPress posts using OpenAI GPT-4o-mini, WordPress REST API, Google Sheets for tracking, and Slack for notifications. It fetches posts, checks summary existence, generates summaries in HTML bullet format, updates posts, logs data, and alerts teams.</t>
  </si>
  <si>
    <t>AI-Powered ERPNext Recruitment Automation</t>
  </si>
  <si>
    <t>Automates candidate screening and job application processing by integrating ERPNext ERP, Google Gemini AI, and communication tools like WhatsApp and Outlook. Extracts resume text, evaluates fit via AI scoring, updates ERPNext with decisions, and notifies applicants.</t>
  </si>
  <si>
    <t>AI Email Autoresponder with Approval</t>
  </si>
  <si>
    <t>Automates email handling using IMAP trigger, OpenAI GPT and DeepSeek models for summarization and response generation, Qdrant vector DB for business info retrieval, and Gmail for draft approval before sending. Ideal for professional, concise business email replies.</t>
  </si>
  <si>
    <t>AI Topic Monitoring with RSS, OpenAI, Slack</t>
  </si>
  <si>
    <t>Automates topic monitoring by fetching RSS feeds from Google Sheets URLs, classifying relevance with OpenAI GPT-4o-mini, scraping content via Jina AI, summarizing articles for Slack, and storing metadata in Google Sheets. Ideal for professionals tracking AI-related news.</t>
  </si>
  <si>
    <t>WooCommerce Customer Order Chat Assistant</t>
  </si>
  <si>
    <t>An n8n workflow integrating WooCommerce API, DHL tracking, and OpenAI GPT-4 to provide customers with secure, real-time order and shipping info via chat. Features encrypted email handling, order querying, DHL status checks, and AI-powered conversational support.</t>
  </si>
  <si>
    <t>WordPress AI Content Creator with Multi-Level Rewrites</t>
  </si>
  <si>
    <t>Automates creating WordPress blog drafts using OpenAI GPT models for structured content generation and rewriting at Grade 2, 5, and 9 reading levels. Integrates Pollinations.ai for featured image creation, Google Drive for backups, and Telegram for notifications.</t>
  </si>
  <si>
    <t>Automated GitHub PR Code Review</t>
  </si>
  <si>
    <t>n8n workflow automates GitHub pull request code review using OpenAI GPT-4 for inline comments. It triggers on PR events, fetches code diffs, creates AI review prompts, posts comments, optionally adds labels, and references Google Sheets for best practices.</t>
  </si>
  <si>
    <t>Automated Phishing Email Detection &amp; Jira Reporting</t>
  </si>
  <si>
    <t>This n8n workflow automates phishing email detection by integrating Gmail and Outlook triggers, uses hcti.io API to create email body screenshots, applies OpenAI's GPT-4o model for phishing analysis, and auto-generates Jira tickets with detailed reports and attachments for security teams.</t>
  </si>
  <si>
    <t>This n8n workflow automates phishing email detection by monitoring Gmail and Outlook inboxes, extracting email content and headers, generating email screenshots via hcti.io API, analyzing with ChatGPT-4, and creating detailed Jira tickets with reports and attachments for streamlined security incident management.</t>
  </si>
  <si>
    <t>Google Sheets to Google Calendar Event Automation</t>
  </si>
  <si>
    <t>Automates creation of Google Calendar events from new rows in Google Sheets using n8n. Integrates Google Sheets API for event data retrieval and Google Calendar API for event creation, including date formatting, event details, and color-coding for efficient event management.</t>
  </si>
  <si>
    <t>Automated Blog Writer &amp; Publisher</t>
  </si>
  <si>
    <t>An n8n workflow automating blog content creation and publishing. Uses Google Sheets for scheduling/configuration, OpenAI (via OpenRouter) for AI content generation, and WordPress XML-RPC API for posting. Includes data preprocessing, content merging, and status logging to Sheets.</t>
  </si>
  <si>
    <t>BambooHR AI Chatbot for Company Policies</t>
  </si>
  <si>
    <t>An AI-powered chatbot built with n8n using BambooHR API, OpenAI's GPT models, LangChain nodes, and Supabase for vector storage. It helps employees query company policies, benefits, and find employee or department contacts efficiently.</t>
  </si>
  <si>
    <t>AI-Powered Interview Scheduling Assistant</t>
  </si>
  <si>
    <t>An automated interview scheduler using OpenAI GPT-4o-mini and Google Calendar APIs. It checks calendar availability, generates 30-min weekday slots (9am-5pm EST), interacts via AI chat to gather candidate info, and books interviews without double booking.</t>
  </si>
  <si>
    <t>AI Document Note Generator from Folder</t>
  </si>
  <si>
    <t>Automates note creation by monitoring a folder for new docs (PDF, DOCX, TEXT), extracting and summarizing content using Mistral Cloud LLM, LangChain text splitter, and Qdrant vector store. Generates study guides, timelines, and briefings, then exports files locally.</t>
  </si>
  <si>
    <t>An n8n workflow to build a movie recommendation chatbot using GitHub-hosted IMDB movie data, OpenAI embeddings and GPT-4o-mini chat model, and Qdrant vector database for vector similarity search. It processes user requests, embeds them, queries Qdrant, and returns top-3 personalized movie recommendations.</t>
  </si>
  <si>
    <t>AI-Powered HubSpot Chat Assistant</t>
  </si>
  <si>
    <t>An n8n workflow integrating HubSpot Conversations with OpenAI Assistants and Airtable. Automates receiving chat messages, processing via OpenAI APIs, invoking external business data APIs, and replying in HubSpot, enabling intelligent chat automation and CRM interaction.</t>
  </si>
  <si>
    <t>Auto-Post to 9 Social Platforms</t>
  </si>
  <si>
    <t>Automates video publishing across Instagram, YouTube, TikTok, Facebook, LinkedIn, Threads, Twitter, Bluesky, and Pinterest using n8n, Google Sheets, and Blotato API. Scheduled to fetch video data, upload it, then post simultaneously to all platforms without manual effort.</t>
  </si>
  <si>
    <t>Telegram AI Chat Assistant</t>
  </si>
  <si>
    <t>An n8n workflow integrating Telegram and OpenAI's Chat API via Langchain to create a responsive AI assistant that listens to Telegram messages and replies with helpful, emoji-enhanced answers in real-time.</t>
  </si>
  <si>
    <t>Google Drive Document QA with Pinecone &amp; OpenAI</t>
  </si>
  <si>
    <t>Automates Q&amp;A on documents fetched from Google Drive by indexing text chunks into Pinecone vector DB using OpenAI embeddings. Supports chat queries with contextual answers and citations. Tech stack: Google Drive API, Pinecone vector DB, OpenAI embeddings &amp; chat models, n8n automation.</t>
  </si>
  <si>
    <t>Audio Transcription and Summary with OpenAI &amp; Google Drive</t>
  </si>
  <si>
    <t>Automates audio file transcription and summarization using OpenAI's API, stores raw and processed transcripts as JSON and markdown in Google Drive, and sends notifications via Gmail and Telegram. Includes optional user approval and advanced transcript structuring.</t>
  </si>
  <si>
    <t>WhatsApp AI Chatbot with Qdrant RAG</t>
  </si>
  <si>
    <t>An AI-powered WhatsApp Business chatbot leveraging Meta Webhooks, OpenAI GPT-4o-mini, Qdrant vector database, and Google Drive for document retrieval. It uses a Retrieval-Augmented Generation system to answer customer queries about electronics products with contextual knowledge base support.</t>
  </si>
  <si>
    <t>AI-Powered Gmail Reply Draft Automation</t>
  </si>
  <si>
    <t>Automates email reply drafting by fetching Gmail threads with specific labels, sending email content to OpenAI Assistant for a reply, generating HTML, and saving drafts in Gmail. Utilizes Gmail API, OpenAI API, and n8n automation platform.</t>
  </si>
  <si>
    <t>AI-Powered Dynamic User Interview Workflow</t>
  </si>
  <si>
    <t>Automates AI-driven user interviews using n8n forms, Groq LLM, Redis session management (via Upstash), and Google Sheets for transcript storage. It dynamically asks interview questions, records answers in sessions, and displays transcripts on completion.</t>
  </si>
  <si>
    <t>Adaptive RAG Query Processor</t>
  </si>
  <si>
    <t>An n8n workflow utilizing Google Gemini and Qdrant vector store to classify user queries into Factual, Analytical, Opinion, or Contextual types, and adaptively retrieve and generate precise answers with tailored strategies for each query type.</t>
  </si>
  <si>
    <t>AI-Powered Appointment Scheduler Chatbot</t>
  </si>
  <si>
    <t>An n8n workflow integrating OpenAI GPT-4, Microsoft Outlook API, and LangChain to create an intelligent personal assistant chatbot. It handles calendar availability, books meetings, and manages enquiries with timezone-aware scheduling and email notifications for a seamless appointment booking experience.</t>
  </si>
  <si>
    <t>Fastmail Email Auto-Reply with GPT-4</t>
  </si>
  <si>
    <t>Automates email reply drafts in Fastmail using IMAP email triggers, Fastmail JMAP API, and OpenAI GPT-4. Extracts incoming email content, generates personalized responses, and uploads replies as drafts for review and sending.</t>
  </si>
  <si>
    <t>Slack AI Assistant with Google Gemini</t>
  </si>
  <si>
    <t>An n8n workflow that receives Slack messages via webhook, processes them with Google Gemini AI and Langchain memory, and sends contextual AI-powered replies back to Slack channels, enabling interactive and persistent AI assistance within Slack.</t>
  </si>
  <si>
    <t>Trustpilot Reviews Insight Generator</t>
  </si>
  <si>
    <t>Automates scraping Trustpilot reviews, stores embeddings in Qdrant vector DB, clusters reviews using K-means, summarizes insights via OpenAI GPT-4, and exports results to Google Sheets. Stack: n8n (automation), Trustpilot (reviews), Qdrant (vector DB), OpenAI (LLM), Google Sheets.</t>
  </si>
  <si>
    <t>Slack to Linear AI Ticket Creator</t>
  </si>
  <si>
    <t>Automates support ticket creation by monitoring Slack with ticket emoji, uses OpenAI GPT for summarizing, titling, prioritizing issues, and creates tickets in Linear. Tech: Slack API, Linear API, OpenAI (ChatGPT) via n8n nodes.</t>
  </si>
  <si>
    <t>YouTube Video Comment Analysis &amp; Reporting</t>
  </si>
  <si>
    <t>Automates analysis of YouTube video details and up to 100 comments using YouTube Data API, OpenAI GPT-4o-mini, and n8n. Generates detailed creator reports with sentiment, themes, engagement, and content suggestions. Saves reports to Google Drive and sends via Gmail.</t>
  </si>
  <si>
    <t>Daily Meeting Summary with Gemini AI &amp; Slack</t>
  </si>
  <si>
    <t>Automates daily meeting summaries by retrieving Google Calendar events, processing them with Google Gemini AI model, and sending concise summaries to a Slack channel. Uses Google Calendar API, Google PaLM API, Slack API for seamless team communication.</t>
  </si>
  <si>
    <t>Telegram AI Assistant with Baserow Memory</t>
  </si>
  <si>
    <t>An AI-powered Telegram assistant integrating OpenAI GPT-4o mini, Baserow databases for long-term memory and notes, Postgres chat memory, with voice, photo processing, and personalized responses. Automates note-taking, memory recall, and multi-modal input handling.</t>
  </si>
  <si>
    <t>AI-Powered Gmail Spam &amp; Marketing Filter</t>
  </si>
  <si>
    <t>An n8n workflow that automates Gmail inbox cleaning by classifying emails as unwanted, marketing, or spam using Google Gemini AI. It deletes flagged emails and sends Telegram notifications about deletions or skips. Integrates Gmail API, Google PaLM AI, and Telegram API.</t>
  </si>
  <si>
    <t>Tech Radar AI Insight &amp; Sync</t>
  </si>
  <si>
    <t>Automates syncing Tech Radar data from Google Sheets into MySQL and Google Docs, enriches it using Google Gemini embeddings and Pinecone vector store, and provides AI-powered querying via RAG and SQL agents for strategic tech adoption insights across multiple companies.</t>
  </si>
  <si>
    <t>Telegram AI Study Assistant for Signal Processing</t>
  </si>
  <si>
    <t>An n8n workflow integrating Telegram API, OpenAI (including transcription and GPT models), Google Gemini, Airtable, and Langchain tools to build an AI-powered interactive tutor for signal processing students via Telegram, featuring memory, calculator, Wikipedia lookup, and content/email agent tools.</t>
  </si>
  <si>
    <t>AI Chatbot for BambooHR Policies &amp; Benefits</t>
  </si>
  <si>
    <t>An AI-powered chatbot built in n8n using BambooHR API, OpenAI LLMs, Supabase vector DB, Langchain tools, and text splitting to assist employees with company policies, benefits, and contact info by searching documents and BambooHR employee data.</t>
  </si>
  <si>
    <t>AI-Powered Incident Management with NocoDB</t>
  </si>
  <si>
    <t>Automates incident ticketing by integrating NocoDB for data storage, OpenAI GPT-4o-mini for AI-driven incident categorization, Slack and SMTP for notifications. Streamlines issue reporting, AI prioritization, and timely alerts for clients and assignees.</t>
  </si>
  <si>
    <t>AI-Powered Email Automation &amp; Management</t>
  </si>
  <si>
    <t>Automates email reading, summarization, reply drafting, and approval using IMAP, Gmail, OpenAI (GPT-4o-mini), Qdrant vector DB, Google Drive, and DeepSeek AI. Enhances business email workflows with AI-driven summarization, classification, retrieval, and human feedback integration.</t>
  </si>
  <si>
    <t>Daily Email Summarizer with OpenAI</t>
  </si>
  <si>
    <t>Automates fetching Gmail emails from the past 24 hours, summarizes key points and action items using OpenAI GPT-4o-mini, and sends a styled HTML summary email daily at 7 AM. Integrates Gmail API, n8n scheduling, data aggregation, and OpenAI for AI-powered email digest.</t>
  </si>
  <si>
    <t>AI-Driven HR Job Application Workflow</t>
  </si>
  <si>
    <t>Automates job applications with a custom form, uploads CVs to Google Drive, stores data in Airtable, uses OpenAI GPT for candidate scoring, generates interview questions, emails candidates, schedules interviews via Google Calendar, and tracks hiring stages.</t>
  </si>
  <si>
    <t>AI-Powered Resume &amp; Interview Screening</t>
  </si>
  <si>
    <t>Automates hiring by extracting data from resumes submitted via forms, scoring candidates using Google Gemini LLM, ElevenLabs AI voice interviews, and updating Notion ATS &amp; Google Sheets for holistic candidate evaluation and interview management.</t>
  </si>
  <si>
    <t>Automated AI CV Screening &amp; Notification</t>
  </si>
  <si>
    <t>This n8n workflow automates candidate CV screening using Google Gemini (PaLM) AI for resume analysis and ratings, sends email confirmations to applicants and notifications to HR, and logs candidate data in Google Sheets. It integrates Gmail, Google Sheets, PDF extraction, and LangChain AI models to streamline HR processes.</t>
  </si>
  <si>
    <t>YouTube AI Assistant Workflow</t>
  </si>
  <si>
    <t>An n8n workflow that automates YouTube content insight extraction using YouTube Data API, OpenAI, Apify, and PostgreSQL. It supports channel and video details retrieval, comment analysis, video transcription, thumbnail evaluation, and integrates AI agent conversational tools to help creators optimize and plan content.</t>
  </si>
  <si>
    <t>PDF &amp; Image Text Extraction to CSV via Vertex AI</t>
  </si>
  <si>
    <t>Automate extraction of text from PDFs and images stored in Google Drive using Vertex AI (Google Gemini) and Openrouter APIs. Converts extracted data into categorized CSV files and uploads them back to Google Drive, streamlining document data processing workflows.</t>
  </si>
  <si>
    <t>Airtable to telli AI Voice Call Automation</t>
  </si>
  <si>
    <t>Automate scheduling AI voice-agent calls by syncing Airtable CRM contacts with telli's API. Uses Airtable Trigger node, HTTP requests to telli's /add-contact and /schedule-call endpoints. Ideal for lead qualification, reminders, and feedback calls.</t>
  </si>
  <si>
    <t>AI Speech Coach via Telegram</t>
  </si>
  <si>
    <t>This n8n workflow integrates Telegram, Google Gemini (PaLM) API, OpenAI Whisper transcription, and LangChain to provide AI-powered speech coaching. It processes text and voice messages, offers feedback, generates refined speeches, and manages conversation memory for iterative improvement—all via Telegram chat.</t>
  </si>
  <si>
    <t>PDF to WordPress Blog Creator with Human Approval</t>
  </si>
  <si>
    <t>Automates converting PDFs into SEO-friendly WordPress blog drafts using OpenAI GPT for content, Pollinations.ai for images, with Gmail for human approval and Telegram notifications for publishing updates.</t>
  </si>
  <si>
    <t>WP CF7 Contact Form Auto Response &amp; Classification</t>
  </si>
  <si>
    <t>Automates classification and drafting of responses to WordPress Contact Form 7 inquiries using Google Gemini AI and Gmail API. Saves categorized responses to Google Sheets, streamlining customer support for businesses handling diverse requests.</t>
  </si>
  <si>
    <t>Gmail AI Auto-Responder Draft Creator</t>
  </si>
  <si>
    <t>Automates Gmail replies by detecting if an incoming email needs a response using OpenAI GPT-4o, then drafts professional replies in the thread via Gmail API. Utilizes n8n workflow with Gmail OAuth2, LangChain nodes, and OpenAI GPT models for smart email management.</t>
  </si>
  <si>
    <t>Daily Meeting Summarizer with Gemini AI &amp; Slack</t>
  </si>
  <si>
    <t>Automates daily retrieval and summarization of Google Calendar meetings using Google Gemini AI model and Langchain Calendar AI Agent, then posts concise summaries back to a Slack channel. Integrates Google Calendar API, Google Gemini (PaLM) AI, Slack API, and n8n automation.</t>
  </si>
  <si>
    <t>Automate LinkedIn Posts from Notion with AI</t>
  </si>
  <si>
    <t>n8n workflow automates daily LinkedIn posts by fetching content and images from Notion databases, enhancing text using OpenAI's GPT, and publishing to LinkedIn. Includes scheduled triggers, OpenAI API, Notion API, and LinkedIn OAuth integration for seamless social media management.</t>
  </si>
  <si>
    <t>AI Web Search Agent with Memory</t>
  </si>
  <si>
    <t>An n8n workflow combining OpenAI's GPT-4o-mini, SearchAPI.io, and LangChain to create an AI agent that performs web searches on demand. It uses SearchAPI as a tool and retains recent chat context with a sliding memory buffer for smarter responses.</t>
  </si>
  <si>
    <t>Notion to Pinecone Vector Index via Google Gemini</t>
  </si>
  <si>
    <t>Automates capturing new Notion pages, filters out non-text blocks, concatenates content, generates 768-dim embeddings using Google Gemini (PaLM) API, and inserts vectors with metadata into Pinecone vector store for semantic search and retrieval.</t>
  </si>
  <si>
    <t>n8n Workflow Backup to GitHub</t>
  </si>
  <si>
    <t>Automates backing up all n8n workflows to a GitHub repo daily. Uses n8n API and GitHub API to export workflows as JSON files organized in YYYY/MM folders. Includes Slack notifications for start, completion, and failures, ensuring reliable versioned backup.</t>
  </si>
  <si>
    <t>Automated WordPress Blog Creator with GPT</t>
  </si>
  <si>
    <t>An n8n workflow automating WordPress blog posts using OpenAI GPT-4 for content and titles, PostgreSQL to track category usage, and WordPress REST API to publish posts and upload media automatically on a schedule.</t>
  </si>
  <si>
    <t>Notion to Linear Issue Importer</t>
  </si>
  <si>
    <t>Automates issue creation in Linear from Notion blocks. Uses Notion API to fetch tasks, OpenAI GPT-4 to shorten titles, and Linear GraphQL API to create issues and assign team members based on extracted data. Ideal for integrating task management between Notion and Linear.</t>
  </si>
  <si>
    <t>Spotify Track Archiving &amp; AI Playlist Classifier</t>
  </si>
  <si>
    <t>Automate monthly archiving of Spotify liked tracks into Google Sheets, enrich with Spotify audio features, and classify tracks into playlists using Anthropic Claude 3.5 AI. Integrates Spotify API, Google Sheets, and AI for seamless music organization and historical tracking.</t>
  </si>
  <si>
    <t>Qualys VM Scan Automation with Slack Alerts</t>
  </si>
  <si>
    <t>Automates vulnerability scan launching and monitoring using the Qualys API, converting XML to JSON in n8n. The workflow loops to check scan status until finished, posting summaries and links to Slack channels for real-time updates. Uses n8n, Qualys API, and Slack integration.</t>
  </si>
  <si>
    <t>Qualys Report Automation &amp; Slack Delivery</t>
  </si>
  <si>
    <t>Automates Qualys security report generation using Qualys API and n8n. Fetches report templates, launches reports, polls for completion, downloads results, converts XML to JSON, and posts reports to Slack for SOC teams. Uses n8n HTTP, XML, Slack nodes.</t>
  </si>
  <si>
    <t>AI-Powered Content Generator &amp; Organizer</t>
  </si>
  <si>
    <t>Automates content creation using OpenAI GPT-4O-MINI API, organizing outputs in Google Drive and Google Sheets. Collects user inputs via web form, generates and formats article outlines and sections, uploads docs to Drive, and tracks with Sheets.</t>
  </si>
  <si>
    <t>AI Lead Qualification &amp; Notification Automation</t>
  </si>
  <si>
    <t>Automates lead processing by integrating ERPNext, OpenAI GPT, Google Sheets/Docs, and Microsoft Outlook. Uses an AI agent to analyze lead notes, validate inquiries, find relevant contacts, and generate notification emails summarizing customer requests for prompt action.</t>
  </si>
  <si>
    <t>TechFin Customer Support Automation</t>
  </si>
  <si>
    <t>Automates customer support by integrating Voiceflow, Zendesk, Google Sheets, Google Calendar, and Airtable via n8n workflows. It fetches customer data, creates Zendesk tickets, schedules meetings, and logs transcripts for product analysis, streamlining tech customer success processes.</t>
  </si>
  <si>
    <t>Telegram AI Audio Translator (55 Languages)</t>
  </si>
  <si>
    <t>Automates translation of Telegram voice messages using OpenAI's speech-to-text and chat models. Supports 55 languages, converting speech to text, auto-detecting language, translating between native and target languages, and replying with translated text and audio. Tech: Telegram API, OpenAI API, n8n.</t>
  </si>
  <si>
    <t>YouTube Video Chapter Generator</t>
  </si>
  <si>
    <t>Automates generating YouTube video chapters by extracting captions via YouTube API, processing transcripts with Google Gemini AI, and updating video descriptions. Integrates n8n, YouTube OAuth2 API, Google Gemini PaLM model, and Langchain nodes for structured output.</t>
  </si>
  <si>
    <t>AI Social Media Publisher from WordPress</t>
  </si>
  <si>
    <t>Automates social media posting from WordPress content using AI-generated, platform-tailored captions and images. Integrates WordPress, Google Sheets, OpenRouter (Gemini 2.0), OpenAI, and APIs for X (Twitter), Facebook, Instagram, and LinkedIn for multi-platform publishing.</t>
  </si>
  <si>
    <t>Selenium Web Scraper with OpenAI Analysis</t>
  </si>
  <si>
    <t>An advanced n8n workflow integrating Selenium via Docker, Google Search, and OpenAI GPT-4 to extract, analyze, and retrieve web data even behind login or restricted access. Supports cookie injection, screenshots, proxy use, and AI-based info extraction for dynamic web scraping.</t>
  </si>
  <si>
    <t>Telegram AI Personal Assistant</t>
  </si>
  <si>
    <t>An n8n workflow integrating Telegram, OpenAI GPT-4o, Tavily web search API, and specialized agent workflows for email, calendar, contacts, and content creation. It processes user commands via chat, routes requests to proper agents, transcribes voice messages, and replies seamlessly.</t>
  </si>
  <si>
    <t>Auto Video Upload &amp; Description for TikTok/Instagram</t>
  </si>
  <si>
    <t>Automates video processing by monitoring a Google Drive folder, extracting audio with OpenAI, generating social media descriptions, and uploading to TikTok and Instagram via upload-post.com API. Includes Telegram error alerts.</t>
  </si>
  <si>
    <t>AI Pitch Deck Analyzer &amp; Q&amp;A Chatbot</t>
  </si>
  <si>
    <t>Automates pitch deck ingestion from Airtable, converts PDFs to images using Stirling PDF API, transcribes pages to markdown via AI Vision (OpenAI GPT-4o), extracts structured startup data, updates Airtable records, and builds a Qdrant vector store for AI-powered pitch deck Q&amp;A chatbot.</t>
  </si>
  <si>
    <t>Automated AI-Powered JIRA Issue Resolver</t>
  </si>
  <si>
    <t>An n8n workflow automates the management of unresolved JIRA issues using OpenAI GPT-4 models, Jira and Notion APIs, and Slack integration. It classifies issues, attempts AI-based resolution via knowledgebase search, performs sentiment analysis, posts comments, closes tickets, and notifies Slack channels, enhancing customer support efficiency.</t>
  </si>
  <si>
    <t>AI-Powered User Interview Workflow</t>
  </si>
  <si>
    <t>Automates user interviews with AI-driven question generation and session management using n8n forms, Langchain AI agent (Groq Chat Model), Redis for session storage, and Google Sheets for transcript saving. Efficient tool for scalable qualitative research.</t>
  </si>
  <si>
    <t>TheHive Slack Integration for SOC Case Management</t>
  </si>
  <si>
    <t>Automates TheHive case updates via Slack using TheHive API and Slack Block Kit. Features include case creation notifications, status/severity/TLP/PAP updates, assignee changes, and task additions with interactive Slack modals. Ideal for SOC teams to streamline incident response.</t>
  </si>
  <si>
    <t>AI Meeting Prep &amp; WhatsApp Notification</t>
  </si>
  <si>
    <t>Automates meeting preparation by checking upcoming Google Calendar events, extracting attendee details from invites, summarizing recent Gmail and LinkedIn correspondence using OpenAI GPT-4, and sending concise WhatsApp pre-meeting notifications. Integrates Google Calendar, Gmail, Apify web scraping, and WhatsApp API.</t>
  </si>
  <si>
    <t>Automated Factoid Email Subscription Service</t>
  </si>
  <si>
    <t>An n8n workflow that automates sending personalized educational fact emails using Airtable for subscriber data, LangChain AI for content and image generation (Groq and OpenAI APIs), Gmail for delivery, and web forms for subscription management.</t>
  </si>
  <si>
    <t>Automated API Schema Crawler &amp; Extractor</t>
  </si>
  <si>
    <t>An n8n workflow that automates researching API documentation for services, scraping relevant pages using Apify, extracting REST API operations with Google Gemini LLM, storing data via Qdrant vector DB, and saving results in Google Sheets and Drive. Tech stack: Google Sheets, Google Drive, Apify web scraper, Qdrant vector store, Google Gemini LLM, n8n orchestrator.</t>
  </si>
  <si>
    <t>Email Header Authentication &amp; IP Analysis</t>
  </si>
  <si>
    <t>Automates email header analysis using Microsoft Graph API and IPQualityScore API to extract and evaluate SPF, DKIM, DMARC authentication and IP reputation, enabling detection of spam, phishing, and email spoofing threats.</t>
  </si>
  <si>
    <t>AI Chat Assistant for Airtable Data</t>
  </si>
  <si>
    <t>An n8n workflow integrating OpenAI Chat (including LangChain) with Airtable API to enable conversational querying, data retrieval, filtering, aggregation, and analysis of Airtable bases. Includes tools for dynamic search filter generation, code processing, and map image creation.</t>
  </si>
  <si>
    <t>Slack-ServiceNow Incident Search Bot</t>
  </si>
  <si>
    <t>An n8n workflow integrating Slack API and ServiceNow API to let Slack users search for ServiceNow incidents by priority and state via a Slack modal interface. It sends incident summaries to a selected Slack channel or DM, enhancing IT service management communication.</t>
  </si>
  <si>
    <t>Automated Candidate Shortlisting for ERPNext</t>
  </si>
  <si>
    <t>n8n workflow automates recruitment by integrating ERPNext with AI models (Google Gemini) to evaluate resumes against job descriptions, scoring and justifying candidate fit. Uses PDF extraction, HTTP API, and communication via Outlook and WhatsApp.</t>
  </si>
  <si>
    <t>Airtable PDF Data Extractor with AI</t>
  </si>
  <si>
    <t>Automates extraction of data from PDFs in Airtable using dynamic prompts and AI/LLM. Utilizes Airtable API, n8n nodes, and OpenAI models to update records based on webhook-triggered events. Ideal for enriching Airtable data with AI-powered document processing.</t>
  </si>
  <si>
    <t>AI-Powered Calendar Appointment Scheduler</t>
  </si>
  <si>
    <t>An intelligent n8n workflow using OpenAI GPT-4, Microsoft Outlook API, and Langchain to handle customer chat, check calendar availability, suggest free slots within UK business hours, and book appointments or escalate to human support with detailed email notifications.</t>
  </si>
  <si>
    <t>Spotify to YouTube Playlist Sync</t>
  </si>
  <si>
    <t>Automates one-way synchronization from a Spotify playlist to a YouTube playlist using Spotify, YouTube Data API v3, and Supabase. It matches tracks by title, artist, and duration, updates playlists, manages deletions, and stores data persistently, with optional Discord notifications.</t>
  </si>
  <si>
    <t>n8n DeepResearcher Automated Research</t>
  </si>
  <si>
    <t>Automates deep multi-step research using OpenAI (o3-mini) and Google Gemini LLMs, Apify web scraping, and Notion API to recursively generate, refine, and compile research insights into detailed reports in Notion. Ideal for complex topic exploration with configurable depth and breadth.</t>
  </si>
  <si>
    <t>AI Phone Agent with RetellAI &amp; RAG</t>
  </si>
  <si>
    <t>An AI phone agent workflow using RetellAI for voice calls, OpenAI GPT-4o-mini for transcript summarization, RAG with Qdrant vector DB for knowledge retrieval, and Google Calendar for appointment booking. Sends summaries via Telegram and automates customer support calls effectively.</t>
  </si>
  <si>
    <t>CallForge Sales Call AI Insights</t>
  </si>
  <si>
    <t>Automates extraction of structured insights from sales call transcripts using n8n with Azure OpenAI GPT-4o-mini models. Provides detailed marketing, sales, and product feedback analysis, competitor comparison, and integration status to support sales, marketing, and product teams.</t>
  </si>
  <si>
    <t>Email to Notion Automation</t>
  </si>
  <si>
    <t>Automates processing of incoming Gmail emails using OpenAI GPT-4, extracts tasks and summaries, and creates detailed pages in Notion databases. Uses Airtable to manage routing and labels to prevent duplicate processing.</t>
  </si>
  <si>
    <t>Slack Weekly Team Activity Report</t>
  </si>
  <si>
    <t>Automates the creation of weekly team activity reports from Slack messages using Slack API and Google Gemini LLM. It fetches last week's messages, summarizes threads, generates individual and team reports, and posts them back to Slack every Monday at 6am.</t>
  </si>
  <si>
    <t>Auto SEO Blog Writer with GPT-4, Perplexity &amp; WordPress</t>
  </si>
  <si>
    <t>Automates full SEO blog content creation: collects fresh research via Perplexity API, generates SEO-optimized articles with GPT-4o, publishes to WordPress, sends Gmail &amp; Slack notifications, and logs to Notion. Integrates OpenAI, Perplexity, WordPress, Gmail, Slack, and Notion via n8n.</t>
  </si>
  <si>
    <t>Survey Response Insights Generator</t>
  </si>
  <si>
    <t>Automates in-depth survey analysis by importing Google Sheets responses, vectorizing with OpenAI embeddings, clustering via K-means in Qdrant, and summarizing insights with GPT-4. Exports detailed sentiment and trends back to Sheets for actionable survey insights.</t>
  </si>
  <si>
    <t>YouTube RSS Feed Notifier with Email &amp; Telegram</t>
  </si>
  <si>
    <t>Automates monitoring of YouTube channels via RSS feeds, fetching video details using YouTube Data API, and delivers custom notifications via Gmail (individual or digest emails) and Telegram. Includes OpenAI for generating responsive HTML email cards. Ideal for content creators and marketers.</t>
  </si>
  <si>
    <t>Automated AI Graphic Design Workflow</t>
  </si>
  <si>
    <t>n8n workflow automates graphic design from prompt to final image review using Ideogram API, OpenAI GPT-4 for image prompt evaluation, Google Drive and Sheets for storage and logging, and Gmail for notifications. Tailored for creative teams producing audience-optimized visuals.</t>
  </si>
  <si>
    <t>Automated Website Content SEO Audit</t>
  </si>
  <si>
    <t>This n8n workflow generates a detailed SEO content audit report for up to 1000 pages of any website using DataForSEO On-Page API and Google Search Console API. It analyzes technical SEO, content quality, metadata, linking, and performance, delivering a branded HTML report with key recommendations.</t>
  </si>
  <si>
    <t>Telegram AI Bot with Human-in-the-Loop Handoff</t>
  </si>
  <si>
    <t>An n8n workflow integrating Telegram, Redis, and OpenAI GPT-4o-mini for a state-driven chatbot that collects customer info, performs AI onboarding and after-sales support, and seamlessly hands off dialogs to human agents using human-in-the-loop with session memory and conversation summaries.</t>
  </si>
  <si>
    <t>UTM Link &amp; QR Generator with GA Reports</t>
  </si>
  <si>
    <t>Automates UTM link creation with custom parameters, stores links in Airtable, generates QR codes via QuickChart, and schedules Google Analytics reports analyzed by OpenAI GPT-4. Integrates OpenAI, Airtable, Google Analytics, Gmail, and QuickChart APIs for marketing campaign tracking.</t>
  </si>
  <si>
    <t>AI Instagram Caption Generator with Airtable</t>
  </si>
  <si>
    <t>Automates creation of Instagram captions by integrating Airtable editorial plans with OpenAI's GPT-4 via n8n. Uses Airtable for briefing and background info on target audience, then generates creative, CTA-focused captions tailored for social media posts.</t>
  </si>
  <si>
    <t>AI-Powered Visual Regression Testing Workflow</t>
  </si>
  <si>
    <t>Automates visual regression testing by comparing webpage screenshots using Google Gemini AI vision model, Apify screenshot API, Google Drive &amp; Sheets, and Linear for issue tracking. Detects UI changes and reports them automatically.</t>
  </si>
  <si>
    <t>AI SQL Agent with Dynamic Charting</t>
  </si>
  <si>
    <t>An n8n workflow that integrates OpenAI GPT-4 with a SQL database to answer user data queries. It dynamically determines if a chart is needed, generates Chart.js definitions via OpenAI, and produces visual charts using Quickchart.io for enhanced data analysis and visualization.</t>
  </si>
  <si>
    <t>AI Workplace Discrimination Analysis</t>
  </si>
  <si>
    <t>Automates extraction and analysis of workplace discrimination patterns by scraping Glassdoor reviews using ScrapingBee, analyzing demographic ratings with OpenAI, and visualizing disparities via QuickChart. Identifies biased experiences across demographic groups with statistical insights.</t>
  </si>
  <si>
    <t>Semantic Web Search &amp; Result Re-Ranking</t>
  </si>
  <si>
    <t>An n8n workflow that uses Brave Search API for web queries combined with advanced LLMs (OpenAI GPT, Anthropic Claude, Google Gemini) to generate, refine, and semantically re-rank search results for precise info retrieval. Ideal for research with AI-powered query optimization and detailed result extraction.</t>
  </si>
  <si>
    <t>Shopify to Google Sheets Product Sync</t>
  </si>
  <si>
    <t>Automates syncing Shopify product data (title, tags, description, price) to Google Sheets using Shopify GraphQL API and Google Sheets API. Includes pagination, cursor tracking, daily schedule, and incremental updates for efficient product management.</t>
  </si>
  <si>
    <t>Service Page SEO Blueprint Generator</t>
  </si>
  <si>
    <t>An n8n workflow that analyzes competitor service pages and user intent using Jina Reader API and Google Gemini AI. It generates a detailed SEO content blueprint with competitor insights, user intent analysis, gap identification, and optimized page outline to maximize conversions.</t>
  </si>
  <si>
    <t>OpenSea NFT Insights via AI &amp; Telegram</t>
  </si>
  <si>
    <t>An n8n workflow that integrates Telegram, OpenAI GPT-4o Mini, and OpenSea API agent workflows to deliver AI-powered real-time NFT market analysis, collection stats, listings, and ownership insights directly via Telegram chat.</t>
  </si>
  <si>
    <t>AI-Powered Autonomous Research Workflow</t>
  </si>
  <si>
    <t>An advanced n8n workflow automating deep research by generating search queries via LLM (OpenRouter), querying SerpAPI (Google Search), analyzing content with Jina AI, referencing Wikipedia, and synthesizing a comprehensive report using LangChain agents and memory buffers.</t>
  </si>
  <si>
    <t>WordPress RAG &amp; GenAI Content Chatbot</t>
  </si>
  <si>
    <t>An n8n workflow integrating WordPress API, OpenAI embeddings (text-embedding-3-small), GPT-4o-mini chat model, Supabase vector DB, and Postgres for chat memory. It automates content embedding, updates, and provides a semantic search chatbot using website content.</t>
  </si>
  <si>
    <t>AI-Powered WordPress Post Creator</t>
  </si>
  <si>
    <t>Automates creation of SEO-friendly WordPress draft posts from keywords using OpenAI GPT-4 for text and DALL-E for featured images, integrates Wikipedia for fact-checking, and uploads content and images via WordPress API.</t>
  </si>
  <si>
    <t>Clockify Time Logging Assistant for Slack</t>
  </si>
  <si>
    <t>An AI-powered n8n workflow integrating Clockify API and Slack to manage time entries via conversational chat. Uses OpenAI GPT for natural language processing, supports creating, updating, deleting time logs with user confirmation, and includes tools for date conversion and calculations.</t>
  </si>
  <si>
    <t>Real Estate Market Scanner &amp; Alert System</t>
  </si>
  <si>
    <t>Automates real estate property scanning using BatchData API. Schedules hourly searches, compares new and changed listings, filters high-equity absentee owner properties, and sends detailed email and Slack alerts to sales teams. Built with n8n, BatchData API, email SMTP, and Slack API.</t>
  </si>
  <si>
    <t>AI Knowledge Base Article Generator</t>
  </si>
  <si>
    <t>Automates creating and editing knowledge base articles using Langchain AI agents, Perplexity API for deep research, and OpenAI GPT models. Ensures high-quality content with iterative editorial feedback and publishes directly to Contentful CMS.</t>
  </si>
  <si>
    <t>AI Chatbot with Jina.ai Webpage Scraper</t>
  </si>
  <si>
    <t>An AI-powered chatbot workflow integrating Langchain and OpenAI's gpt-4o-mini model with Jina.ai's real-time web scraping tool. It scrapes live website data from user-supplied URLs, retains conversation memory, and delivers accurate, context-aware answers dynamically, ideal for research and support.</t>
  </si>
  <si>
    <t>SEO Blog Generator with GPT-4o &amp; Telegram</t>
  </si>
  <si>
    <t>Automates SEO blog post creation using OpenAI GPT-4o, integrated with Perplexity AI for research and Telegram for notifications. It generates blog drafts, SEO-friendly titles, slugs, metas, and merges content for streamlined content marketing workflows.</t>
  </si>
  <si>
    <t>AI-Powered Topic Monitoring &amp; Summarization</t>
  </si>
  <si>
    <t>Automates monitoring of RSS feeds with AI using OpenAI's GPT-4o-mini for relevance classification and article summarization, Jina AI for content extraction, Google Sheets for data storage, and Slack for delivering formatted summaries. Keeps teams informed about relevant topics efficiently.</t>
  </si>
  <si>
    <t>Suspicious Login Detection Workflow</t>
  </si>
  <si>
    <t>An n8n workflow for detecting suspicious logins using GreyNoise API for IP threat intelligence, IP-API for geolocation, UserParser for user agent analysis, and Postgres for login history. It prioritizes alerts and notifies via Slack and email for security response.</t>
  </si>
  <si>
    <t>AI-Powered WooCommerce Product Import &amp; SEO</t>
  </si>
  <si>
    <t>This n8n workflow automates WooCommerce product creation from Google Sheets, leveraging OpenRouter AI to generate SEO-optimized meta titles and descriptions per product. It updates WooCommerce via API and notifies progress via Telegram.</t>
  </si>
  <si>
    <t>AI Image Data Extraction API with Gemini</t>
  </si>
  <si>
    <t>Creates an API endpoint that extracts structured data from images using Google's Gemini AI (Flash Lite) model. The workflow fetches an image URL, converts it to base64, calls the Gemini API for OCR, and returns custom JSON with extracted fields, ideal for document and form automation.</t>
  </si>
  <si>
    <t>AI-Powered Scheduled WordPress Blog Publisher</t>
  </si>
  <si>
    <t>Automates generation, scheduling, and publishing of SEO-optimized WordPress blog posts using GPT-4o for content, Pexels API for images, and Google Sheets for data management. Features randomized delay for natural posting cadence.</t>
  </si>
  <si>
    <t>AI-powered GitHub Trending Auto Social Poster</t>
  </si>
  <si>
    <t>Automates curation of trending GitHub projects from Hacker News, fetching project details, generating tailored Twitter and LinkedIn posts using OpenAI GPT-4, and posting via X (Twitter) and LinkedIn APIs. Includes Airtable tracking and Telegram notifications.</t>
  </si>
  <si>
    <t>Gmail Email to Vector Embeddings Pipeline</t>
  </si>
  <si>
    <t>Automates extraction of Gmail emails, structuring metadata in PostgreSQL and generating vector embeddings with Ollama's nomic-embed-text model stored in PGVector for semantic search and analysis. Built with n8n, Gmail API, PostgreSQL, and Ollama embeddings.</t>
  </si>
  <si>
    <t>HR &amp; IT Helpdesk Chatbot with Voice Support</t>
  </si>
  <si>
    <t>An n8n workflow integrating Telegram, OpenAI for text and audio transcription, PostgreSQL vector DB, and Langchain AI agent to build an interactive HR &amp; IT helpdesk chatbot that answers employee queries with internal policy data from PDFs.</t>
  </si>
  <si>
    <t>AI WhatsApp Chatbot: Text, Voice, Image, PDF</t>
  </si>
  <si>
    <t>An AI-powered WhatsApp chatbot built with n8n integrates WhatsApp API, OpenAI GPT-4o-mini for chat, image analysis, audio transcription, and PDF extraction. It processes text, voice, images, and PDFs to generate intelligent, context-aware replies for versatile user interactions.</t>
  </si>
  <si>
    <t>Zoom AI Meeting Assistant</t>
  </si>
  <si>
    <t>Automates Zoom meeting data retrieval, transcript extraction, and participant info to generate formal meeting summaries using OpenAI GPT-4. Integrates with ClickUp for task creation and Microsoft Outlook for scheduling follow-ups. Sends summary emails via SMTP.</t>
  </si>
  <si>
    <t>AI-Powered Google Calendar Assistant</t>
  </si>
  <si>
    <t>An n8n workflow integrating OpenAI GPT-4 via Langchain with Google Calendar API to create, update, get, and delete calendar events intelligently. Handles single and attendee events, using AI to interpret user queries and manage schedules seamlessly.</t>
  </si>
  <si>
    <t>AI-Powered Blog Content Creator</t>
  </si>
  <si>
    <t>Automates blog writing by combining the Tavily search API for real-time web data with Anthropic's AI language model to craft well-structured, SEO-optimized HTML content with proper citations and a natural tone.</t>
  </si>
  <si>
    <t>AI-Powered Gmail Assistant</t>
  </si>
  <si>
    <t>An AI-driven email management workflow integrating OpenAI GPT-4o with Gmail API to automate composing, sending, replying, drafting, labeling, and managing emails efficiently. Designed for professional HTML emails signed as 'Nate'.</t>
  </si>
  <si>
    <t>Daily Financial News Summary Emailer</t>
  </si>
  <si>
    <t>Automates daily extraction of top financial news from ft.com using HTTP request and CSS selectors, summarizes with Google Gemini AI, and emails a structured HTML recap via Microsoft Outlook. Ideal for investors seeking concise market updates.</t>
  </si>
  <si>
    <t>AI Chatbot with Long Term Memory &amp; Telegram</t>
  </si>
  <si>
    <t>An AI chatbot workflow integrating OpenAI GPT models with long-term memory and note storage in Google Docs. It processes Telegram messages, retrieves and saves user memories and notes, and provides personalized, context-aware responses via Telegram.</t>
  </si>
  <si>
    <t>Sync Stripe Charges to HubSpot Contacts</t>
  </si>
  <si>
    <t>Automates syncing of Stripe charge data with HubSpot contacts using Stripe API to fetch charges and customers, then updating/creating HubSpot contact fields with total spend via HubSpot API. Includes scheduling, deduplication, and field management.</t>
  </si>
  <si>
    <t>URL &amp; IP Threat Intel Scan and Report</t>
  </si>
  <si>
    <t>An n8n workflow integrating VirusTotal and Greynoise APIs to scan URLs and IPs for threat intelligence. It accepts URLs/IPs via webhook or form, performs DNS lookups, submits to VirusTotal for URL scanning, queries Greynoise for IP context, merges results, and sends detailed reports via Slack and email.</t>
  </si>
  <si>
    <t>Google Maps Data Scraper with SERPAPI &amp; Sheets</t>
  </si>
  <si>
    <t>Automate scraping of Google Maps data using SERPAPI API in n8n, processing results, removing duplicates, and updating a Google Sheets document with detailed place info like phone, website, ratings, and reviews. Includes scheduling and error handling.</t>
  </si>
  <si>
    <t>Lead Scoring and Outreach Automation</t>
  </si>
  <si>
    <t>Automates lead collection via an n8n form, validates emails using Hunter API, scores leads with MadKudu, manages contacts in HubSpot, and sends personalized Gmail outreach emails. Integrates MadKudu, Hunter, HubSpot OAuth2, Gmail OAuth2, and n8n Form Trigger nodes to streamline lead qualification and engagement.</t>
  </si>
  <si>
    <t>Automated Social Media Insights for Meetings</t>
  </si>
  <si>
    <t>Daily fetches Google Calendar meetings, enriches attendees via Clearbit, retrieves LinkedIn and Twitter posts via RapidAPI, summarizes social activities using OpenAI GPT-4, and emails personalized summaries via Gmail. Tech: Google Calendar, Clearbit, RapidAPI LinkedIn &amp; Twitter APIs, OpenAI GPT-4, Gmail.</t>
  </si>
  <si>
    <t>Lead Capture &amp; CRM Enrichment Automation</t>
  </si>
  <si>
    <t>Automates lead capture via n8n Form Trigger, validates emails with Hunter.io, enriches lead data using Clearbit API, and manages contacts and organizations in Pipedrive CRM. Streamlines lead collection and data enrichment for sales pipelines.</t>
  </si>
  <si>
    <t>WooCommerce Order Support Chatbot</t>
  </si>
  <si>
    <t>An n8n workflow integrating WooCommerce API, DHL tracking, and OpenAI GPT-4 to provide secure, AI-driven customer service chat. Supports encrypted user email, order lookup, shipping status retrieval, and interactive chat embedding for WooCommerce stores.</t>
  </si>
  <si>
    <t>GitLab Merge Request AI Code Reviewer</t>
  </si>
  <si>
    <t>Automates code review for GitLab merge requests by analyzing diffs and providing AI-generated feedback using OpenAI GPT-4o-mini. Integrates GitLab API, n8n workflow, and LangChain for automated, high-quality code review comments.</t>
  </si>
  <si>
    <t>Google Drive PDF Auto Translator with DeepL</t>
  </si>
  <si>
    <t>Automates translation of PDF documents in a specified Google Drive folder using the DeepL API. It downloads PDFs, sends them to DeepL for translation, polls for completion, and uploads translated PDFs back. Uses Google Drive OAuth2 and DeepL HTTP APIs.</t>
  </si>
  <si>
    <t>AI WordPress Post Creator</t>
  </si>
  <si>
    <t>Automates creating SEO-friendly WordPress draft posts using OpenAI GPT-4o-mini for article and chapter generation, Wikipedia for fact verification, and DALL-E for featured image creation in n8n workflow.</t>
  </si>
  <si>
    <t>Gmail Email Reply Draft with OpenAI</t>
  </si>
  <si>
    <t>Automates drafting email replies in Gmail by using OpenAI Assistant. It fetches emails with specific labels, sends message content to OpenAI, generates reply drafts, converts Markdown to HTML, creates RFC-compliant encoded drafts, and adds them back to Gmail threads. Utilizes Gmail API and OpenAI API within an n8n workflow.</t>
  </si>
  <si>
    <t>Email Promo to Podcast Audio Automation</t>
  </si>
  <si>
    <t>Automates conversion of Gmail CATEGORY_PROMOTIONS emails into concise audio podcasts. Uses Gmail API to fetch emails, OpenAI for text summarization, TikTok TTS API for speech synthesis, and Telegram API to send audio messages. Streamlines promo content consumption.</t>
  </si>
  <si>
    <t>Email Validation and CRM Lead Automation</t>
  </si>
  <si>
    <t>Automates email verification via CaptainVerify API, creates leads in SuiteCRM with validated data, syncs contacts with Brevo, and sends notifications to NextCloud Discussions about lead creation, invalid emails, and low credits. Triggered by Tally Forms submissions.</t>
  </si>
  <si>
    <t>AI Event Banner Generator with BannerBear</t>
  </si>
  <si>
    <t>Automates creating event banners by capturing details via n8n form, generating images with OpenAI DALL·E 3, optimizing uploads on Cloudinary, designing banners using BannerBear templates, and posting to Discord channels. Uses n8n workflow for seamless event promotion.</t>
  </si>
  <si>
    <t>AI-Powered Company Data Enrichment Workflow</t>
  </si>
  <si>
    <t>n8n workflow automates company research by leveraging OpenAI GPT-4, SerpAPI, and web scraping (ScrapingBee). It enriches Google Sheets rows with structured info like domain, LinkedIn URL, pricing, API availability, market type, and integrations, running on schedule or manual trigger.</t>
  </si>
  <si>
    <t>Slack to Google Calendar Event Automator</t>
  </si>
  <si>
    <t>Automates event creation and attendee management by monitoring Slack channel invites with calendar emoji, using OpenAI, SerpAPI, and Google Calendar APIs to parse event details, create events, and sync attendee reactions efficiently.</t>
  </si>
  <si>
    <t>AI-Powered Meeting Transcript Summarizer &amp; Scheduler</t>
  </si>
  <si>
    <t>Automates retrieval and AI summarization of Google Meet transcripts using Google APIs and OpenAI. Extracts meeting insights, suggests next steps, and auto-creates follow-up Google Calendar events with attendees for streamlined post-meeting management.</t>
  </si>
  <si>
    <t>HelloFresh Weekly Recipe Recommendation AI</t>
  </si>
  <si>
    <t>Automates fetching HelloFresh weekly menus, extracts recipe details, stores them in a Qdrant vector store and SQLite DB, and enables AI-powered recipe recommendations via Mistral Cloud embeddings and chat model, using Langchain, Qdrant, and n8n's workflow capabilities.</t>
  </si>
  <si>
    <t>AI-Powered Document Note Generator</t>
  </si>
  <si>
    <t>Automates note creation by watching a folder for new files, extracting content from PDF/DOCX/TXT, summarizing and vectorizing using Mistral Cloud and Qdrant, then generates study guides, timelines, and briefing docs via AI agents.</t>
  </si>
  <si>
    <t>AI Competitor Research &amp; Report Generator</t>
  </si>
  <si>
    <t>Automates competitor analysis by finding similar companies via Exa.ai, scraping Crunchbase, WellFound, LinkedIn, and review sites using Firecrawl and SerpAPI. Uses OpenAI GPT-4o for extracting structured company, product, and review data, and compiles detailed reports into Notion.</t>
  </si>
  <si>
    <t>AI-Powered PDF QA &amp; Appointment Scheduler</t>
  </si>
  <si>
    <t>An n8n workflow that integrates OpenAI GPT-4, Anthropic, Pinecone vector store, and Google Calendar API to load PDFs, create embeddings, enable Q&amp;A over documents, categorize emails with AI, and book calendar appointments via chat-based interface.</t>
  </si>
  <si>
    <t>Automates detailed insights generation from Google Sheets survey data by vectorizing responses with OpenAI embeddings, clustering with K-means in Qdrant vector store, and summarizing groups via GPT-4. Outputs enriched insights sheet with sentiment analysis.</t>
  </si>
  <si>
    <t>Automates extraction, clustering, and summarization of Trustpilot reviews using n8n workflow integrating OpenAI GPT-4, Qdrant vector store, and K-means clustering for actionable customer insights. Outputs results to Google Sheets for analysis.</t>
  </si>
  <si>
    <t>IT Support Slack AI Bot</t>
  </si>
  <si>
    <t>Automates IT support in Slack by integrating Slack Events API, OpenAI GPT-4o, and Confluence KB via n8n. It filters bot messages, acknowledges queries, uses AI with memory buffer, and fetches contextual info from Confluence for precise IT assistance.</t>
  </si>
  <si>
    <t>Notion AI Assistant Workflow Generator</t>
  </si>
  <si>
    <t>Generates an n8n AI Agent workflow to query any Notion database using the provided URL. Utilizes Notion API, Langchain AI nodes (Anthropic and OpenAI), JSON validation, and chat triggers for interactive assistant creation.</t>
  </si>
  <si>
    <t>AI Image Caption Generator with Overlay</t>
  </si>
  <si>
    <t>Automates generating descriptive captions for images using Google's Gemini AI model and overlays them on images with n8n's Edit Image node. Utilizes HTTP requests for image fetching, Langchain AI nodes for captioning, and code nodes for positioning text, enabling streamlined visual content creation.</t>
  </si>
  <si>
    <t>Automates website visual regression testing using Google Sheets for URLs, Apify for screenshots, Google Drive for storage, and Google Gemini AI Vision model for comparing changes. Results generate detailed reports in Linear.app.</t>
  </si>
  <si>
    <t>Daily Podcast Summary Email Automation</t>
  </si>
  <si>
    <t>Automates daily retrieval of top US podcasts by genre from Taddy API, crops audio via Aspose API, transcribes with OpenAI Whisper, summarizes using GPT-4o-mini, and emails summaries via Gmail for easy daily podcast insights.</t>
  </si>
  <si>
    <t>AI Calendar &amp; Notion Task Manager</t>
  </si>
  <si>
    <t>An AI-powered n8n workflow integrating OpenAI GPT-4, Google Calendar, and Notion APIs to automate scheduling events and managing tasks. It uses LangChain agents, chat triggers, and memory buffers to route user chat inputs to appropriate tools for calendar and task operations.</t>
  </si>
  <si>
    <t>AI-Powered Telegram Bot with Memory</t>
  </si>
  <si>
    <t>Automates Telegram conversations using OpenAI assistant with context memory via Supabase. Integrates Telegram Bot API, OpenAI Threads &amp; Assistants API, and Supabase database for user session tracking, enabling personalized, context-aware chatbot replies.</t>
  </si>
  <si>
    <t>AI Personal Assistant via Telegram</t>
  </si>
  <si>
    <t>An AI-powered Telegram assistant integrating OpenAI GPT-4o, Google Calendar, Gmail, and Baserow APIs for voice/text input processing, event and email summarization, task and contact management, enhancing productivity via conversational interface.</t>
  </si>
  <si>
    <t>Slack-ServiceNow Incident Lookup</t>
  </si>
  <si>
    <t>Automates incident retrieval from ServiceNow via Slack slash command using n8n workflow. Integrates Slack Webhook, ServiceNow API (Basic Auth), and conditional responses in Slack blocks, enabling seamless incident details inquiry and notifications directly in Slack channels.</t>
  </si>
  <si>
    <t>Gmail AI Auto Labeling Workflow</t>
  </si>
  <si>
    <t>An n8n workflow that uses Gmail API and OpenAI GPT to automatically read, categorize, and label incoming Gmail messages. It polls Gmail every 5 minutes, analyzes emails using OpenAI, matches or creates Gmail labels accordingly, and assigns labels, optimizing inbox organization.</t>
  </si>
  <si>
    <t>YouTube Video Metadata Auto Generator</t>
  </si>
  <si>
    <t>Automates YouTube metadata creation using n8n, OpenAI GPT-4o-mini, Google Docs API, and YouTube API. Generates SEO-optimized video titles, descriptions, tags, hashtags, affiliate and promo links for enhanced audience engagement and channel growth.</t>
  </si>
  <si>
    <t>AI-Powered JIRA Stale Issue Auto-Assignment</t>
  </si>
  <si>
    <t>Automates assignment of stale JIRA issues using OpenAI embeddings and Langchain. Utilizes Supabase vector database to find similar resolved issues and identifies best suited team members by workload, auto-assigning and commenting in JIRA to keep backlog manageable.</t>
  </si>
  <si>
    <t>Invoice Extraction from Outlook Emails</t>
  </si>
  <si>
    <t>Automates extraction of invoice data from Outlook emails using Microsoft Outlook API and Google Gemini 2.0 for AI-based document classification and OCR. Extracted invoice details are saved to Microsoft Excel, streamlining accounts receivable processing.</t>
  </si>
  <si>
    <t>AI-Powered Personalized Sales Email Generator</t>
  </si>
  <si>
    <t>Automates personalized sales email drafting using HubSpot CRM data, Gmail email correspondence, and Google Gemini AI models. It analyzes customer emails to build detailed personas, then crafts tailored outreach emails saved as Gmail drafts for review.</t>
  </si>
  <si>
    <t>Voice AI Appointment Scheduler with Google &amp; Airtable</t>
  </si>
  <si>
    <t>Automates appointment booking, rescheduling, and cancellation via a voice AI receptionist using Vapi, Google Calendar, and Airtable. Includes availability checks, event management, and logging call recordings and details for HVAC service scheduling.</t>
  </si>
  <si>
    <t>AI-Powered Outlook Calendar Assistant</t>
  </si>
  <si>
    <t>Automate Outlook calendar management via Slack with an AI agent using OpenAI for natural language understanding and Microsoft Outlook API for calendar event search, creation, and retrieval. Enables conversational calendar assistance and event handling.</t>
  </si>
  <si>
    <t>Instagram Auto Posting via Google Drive &amp; AI</t>
  </si>
  <si>
    <t>Automates Instagram Reel posting using Google Drive triggers, OpenAI for generating captions, Google Sheets for data management, and Facebook Graph API for publishing. Integrates Google Drive, OpenAI GPT-4o-mini, Google Sheets, and Meta APIs to streamline content upload to Instagram.</t>
  </si>
  <si>
    <t>Google Drive File Deduplication Automator</t>
  </si>
  <si>
    <t>Automates detection and handling of duplicate files in Google Drive using Google Drive API with n8n. Features configurable options to keep first or last duplicate and either flag by renaming or move duplicates to trash, improving file organization and storage efficiency.</t>
  </si>
  <si>
    <t>Automated Purchase Order Processing from Outlook XLSX</t>
  </si>
  <si>
    <t>Automates purchase order intake by monitoring Outlook emails with XLSX attachments, converts Excel to markdown, uses OpenAI LLM (gpt-4o-mini) to extract structured PO details, validates entries, and sends automated email confirmations or rejections, saving time on data entry and error checking.</t>
  </si>
  <si>
    <t>Google Drive Permissions Audit Workflow</t>
  </si>
  <si>
    <t>Automates daily auditing of recently modified Google Drive documents using Google Drive API, Google Sheets for reporting, and Gmail for sending alerts. Identifies files shared publicly or with external users, logs details in a new Google Sheet, and emails a summary report for improved access control.</t>
  </si>
  <si>
    <t>LinkedIn Profile Enrichment &amp; Ice Breaker Generator</t>
  </si>
  <si>
    <t>Automates LinkedIn profile enrichment using Bright Data API, generates personalized ice breakers with Anthropic Claude LLM, and updates results in Google Sheets. Uses n8n nodes like HTTP Request, Google Sheets, LangChain LLM, scheduled/manual triggers for seamless workflow automation.</t>
  </si>
  <si>
    <t>LinkedIn Job Scraper to Google Sheets</t>
  </si>
  <si>
    <t>Automates scraping of live LinkedIn job posts using Bright Data Dataset API. Cleans and flattens job data, then appends it to Google Sheets for easy use in job hunting or sales prospecting. Tech stack: Bright Data API, Google Sheets API, n8n nodes (Form, HTTP Request, Code, Wait, If).</t>
  </si>
  <si>
    <t>Monthly Financial Performance Report Automation</t>
  </si>
  <si>
    <t>Automates monthly financial reporting by querying MySQL ERP data, analyzing budgets vs actuals, projects, employees, and departments. Uses Google Gemini AI and Langchain tools for advanced financial analysis and generates styled HTML reports sent via Microsoft Outlook.</t>
  </si>
  <si>
    <t>Telegram-AI Task Manager with Google Tasks</t>
  </si>
  <si>
    <t>Automates task management via Telegram using AI to interpret messages and voice notes. Integrates Telegram Bot API, OpenAI GPT-4o-mini for NLP and transcription, LangChain MCP for AI orchestration, and Google Tasks API for task creation and updates.</t>
  </si>
  <si>
    <t>AI-Powered Gmail Email Organizer via Telegram</t>
  </si>
  <si>
    <t>Automates Gmail inbox management by retrieving emails, filtering processed emails, and using OpenRouter GPT-4.1 AI to categorize each email as necessary or unnecessary. Archives unneeded emails, applies labels to others, and reports results via Telegram. Integrates Gmail API, Telegram Bot API, and OpenRouter GPT-4.1.</t>
  </si>
  <si>
    <t>Client Feedback Routing &amp; HubSpot Logging</t>
  </si>
  <si>
    <t>Automates client conversation processing with OpenAI summarization, routes feedback to departments via email, and logs meeting notes in HubSpot using OAuth2. Uses n8n, Langchain, Gmail API, and HubSpot API to streamline client issue management.</t>
  </si>
  <si>
    <t>Automated Email Parsing &amp; HubSpot CRM Update</t>
  </si>
  <si>
    <t>Workflow automates email parsing using OpenAI GPT-4o-mini model, extracts contact info, searches/updates contacts in HubSpot CRM, and creates email engagement records. Integrates IMAP email, HubSpot OAuth2 API, and LangChain AI nodes for seamless CRM enrichment.</t>
  </si>
  <si>
    <t>MCP Server for Managing &amp; Executing n8n Workflows</t>
  </si>
  <si>
    <t>An n8n workflow serving as an MCP server to dynamically manage, list, add, remove, and execute tagged workflows. Uses Redis for memory, n8n API to fetch workflows, and integrates OpenAI GPT-4.1-mini model via Langchain to act as an AI agent that interacts with workflows.</t>
  </si>
  <si>
    <t>AI-Powered Hebrew Stock Analysis &amp; Email Reports</t>
  </si>
  <si>
    <t>Automates weekly stock analysis using Chart-img, Twelve Data, Alpha Vantage APIs combined with OpenAI GPT-4o for technical and sentiment insights. Generates detailed Hebrew reports with technical indicators, news sentiment, and sends styled HTML emails with recommendations.</t>
  </si>
  <si>
    <t>Meeting Attendee &amp; Company Research Automation</t>
  </si>
  <si>
    <t>Automates research on meeting attendees and their companies upon new Google Calendar event. Utilizes Google Calendar trigger, OpenAI GPT-4o with web search preview for person/company data, aggregates info, formats in Markdown/HTML, and sends report via Gmail API.</t>
  </si>
  <si>
    <t>Company Decision Maker Discovery Automation</t>
  </si>
  <si>
    <t>Automates extraction and enrichment of company and decision-maker data using Apollo.io APIs, Google Sheets, Slack, and OpenAI GPT-4o-mini for department classification and company summarization. Outputs curated contact lists and weekly reports for sales/marketing lead generation.</t>
  </si>
  <si>
    <t>Auto Instagram Content Creator with AI &amp; Google Sheets</t>
  </si>
  <si>
    <t>Automates Instagram post creation by generating unique content concepts, detailed AI image prompts, and captions using Google Gemini LLM, with image generation on Replicate Flux, managing ideas from Google Sheets and publishing through Instagram Graph API.</t>
  </si>
  <si>
    <t>AI-Powered JIRA Support Ticket Triage &amp; Resolution</t>
  </si>
  <si>
    <t>Automates triaging and resolution of JIRA support tickets using scheduled triggers, JIRA API, and OpenAI GPT-4o-mini for labeling, prioritizing, rewriting, and suggesting fixes by analyzing new and past resolved tickets with comments.</t>
  </si>
  <si>
    <t>Automated Support Ticket Creation from Gmail to Linear</t>
  </si>
  <si>
    <t>Workflow automates fetching Gmail support emails, removes duplicates, converts HTML to Markdown, uses OpenAI GPT-4o-mini to triage and label tickets, then creates issues in Linear.app. Tech stack: Gmail API, OpenAI API, Linear API, n8n automation platform.</t>
  </si>
  <si>
    <t>Automated HubSpot Onboarding &amp; Calendar Scheduler</t>
  </si>
  <si>
    <t>An n8n workflow automating new customer onboarding using HubSpot CRM, OpenAI GPT-4 for personalized welcome emails, and Google Calendar for scheduling calls. Integrates HubSpot API, Gmail, and Langchain for AI-powered calendar management and email generation.</t>
  </si>
  <si>
    <t>MS Teams Weekly AI Team Activity Report</t>
  </si>
  <si>
    <t>Automates weekly summaries of individual and team activities on Microsoft Teams using OpenAI GPT-4.1 LLM. Fetches last week's channel messages, groups by user, generates personalized and team reports, converts markdown to HTML, and posts back to Teams channel every Monday morning.</t>
  </si>
  <si>
    <t>Raw Material Inventory &amp; Approval Automation</t>
  </si>
  <si>
    <t>An n8n workflow automating raw material receipt, stock updates, issue requests, and approvals. Integrates webhooks, Google Sheets, Supabase DB, and Gmail to streamline inventory management and send low stock alerts with email notifications.</t>
  </si>
  <si>
    <t>Invoice to Notion Expense Tracker with AI &amp; Telegram</t>
  </si>
  <si>
    <t>Automates financial tracking by extracting invoice data from Telegram images using Google Gemini AI, storing structured expenses in Notion, and sending summarized reports with charts back via Telegram. Integrates Google Gemini, Notion API, Telegram Bot, and QuickChart.</t>
  </si>
  <si>
    <t>AI-Powered Web Data to Vector DB Workflow</t>
  </si>
  <si>
    <t>Automates extraction, formatting, and vectorization of web data using Bright Data API, Google Gemini models, Langchain nodes, and Pinecone vector database for building AI-ready datasets for LLMs.</t>
  </si>
  <si>
    <t>AI YouTube Playlist &amp; Video Summarizer</t>
  </si>
  <si>
    <t>An n8n workflow using Google Gemini AI, Redis for context, Qdrant vector DB, and YouTube transcript extraction to summarize and analyze YouTube playlists or videos. Converts video content into searchable knowledge bases with interactive chat capabilities.</t>
  </si>
  <si>
    <t>Hacker News AI Video Content Creator</t>
  </si>
  <si>
    <t>Automates creating summary videos from Hacker News articles using OpenAI for analysis, Leonardo.ai for image generation, RunwayML and Creatomate for video creation, and uploads results to cloud storages and social platforms.</t>
  </si>
  <si>
    <t>Auto Sync Google Sheets to Postgres DB</t>
  </si>
  <si>
    <t>Automates syncing specified Google Sheets data into PostgreSQL tables with dynamic schema detection. Uses Google Drive and Sheets APIs, PostgreSQL, plus Google Gemini LLM for natural language SQL queries and schema introspection, enabling conversational database querying.</t>
  </si>
  <si>
    <t>AI Customer &amp; Sales Support Chatbot</t>
  </si>
  <si>
    <t>An AI-driven customer support and sales assistant for Apple Case products integrating OpenAI GPT-4.1 with Google Sheets for inventory and order management. Handles stock queries, places orders, updates inventory, and interacts via chat with memory and tool calls.</t>
  </si>
  <si>
    <t>AI Exam Question Generator from Google Docs</t>
  </si>
  <si>
    <t>Automates creating open and multiple-choice exam questions from Google Docs content using OpenAI embeddings, Google Gemini LLM, and Qdrant vector database for retrieval-augmented generation and question-answering.</t>
  </si>
  <si>
    <t>LinkedIn Leads Scraper &amp; Enrichment Workflow</t>
  </si>
  <si>
    <t>Automates LinkedIn lead generation and enrichment using Apollo.io API for lead data, OpenAI GPT-3.5 for username extraction and profile/post summaries, RapidAPI LinkedIn &amp; Apify for profile/posts scraping, and Google Sheets for storage and workflow triggers.</t>
  </si>
  <si>
    <t>API Schema Crawler, Extractor &amp; Generator</t>
  </si>
  <si>
    <t>Automates researching, scraping, extracting, and generating API schemas from service websites using Google Search API, Apify web scraping, Google Gemini LLM, Qdrant vector DB, Google Sheets and Drive integration for managing and storing API documentation data and custom schemas.</t>
  </si>
  <si>
    <t>AI Outlook Email Auto Categorizer</t>
  </si>
  <si>
    <t>Automates categorization of Microsoft Outlook emails using n8n workflows integrated with Ollama's qwen2.5 AI model. Cleans email content, classifies into categories (action, junk, receipt, SaaS, community, business), updates Outlook labels and moves emails accordingly.</t>
  </si>
  <si>
    <t>AI Brand Voice Content Generator</t>
  </si>
  <si>
    <t>Automates creation of on-brand blog articles by analyzing existing content from n8n.io blog. Uses n8n nodes with OpenAI API for LLM analysis, HTML extraction, Markdown conversion, and Wordpress draft publishing. Captures article style, structure, and voice.</t>
  </si>
  <si>
    <t>WordPress SEO Content Automation with DeepSeek &amp; DALL-E</t>
  </si>
  <si>
    <t>Automates blog content creation for WordPress using DeepSeek R1 AI for SEO-friendly articles, OpenAI DALL-E 3 for cover images, and Google Sheets for idea input. Integrates WordPress API to publish drafts and update editorial plans seamlessly.</t>
  </si>
  <si>
    <t>Auto-Resolve Long-Lived Jira Issues with AI</t>
  </si>
  <si>
    <t>Automates detection, classification, and resolution of long-lived Jira issues using n8n workflows integrated with OpenAI GPT-4, Jira API, Notion, and Slack. Supports sentiment analysis, AI-driven knowledgebase search, and team notifications to improve customer support efficiency.</t>
  </si>
  <si>
    <t>Pinterest AI Analysis &amp; Content Suggestion Automation</t>
  </si>
  <si>
    <t>Automates Pinterest pin data collection via Pinterest API, stores data in Airtable, and leverages OpenAI's GPT-4o-mini AI models for trend analysis and content suggestions. Sends summarized marketing insights via Gmail, aiding content calendar planning and audience targeting.</t>
  </si>
  <si>
    <t>AI Pre-Meeting Assistant with Gmail, Google Calendar, LinkedIn</t>
  </si>
  <si>
    <t>Automates pre-meeting notifications by checking Google Calendar for upcoming events, extracting attendee info, summarizing recent emails (via Gmail) and LinkedIn activity (via Apify scraper), then sending concise, AI-generated WhatsApp reminders using OpenAI GPT models.</t>
  </si>
  <si>
    <t>Cybersecurity Ticket Enrichment with MITRE &amp; AI</t>
  </si>
  <si>
    <t>An n8n workflow that enriches Zendesk tickets using MITRE ATT&amp;CK data by embedding it into a Qdrant vector store and querying with OpenAI's GPT-4 and embeddings. It automates extraction of TTPs, remediation steps, and historical context from SIEM alerts using LangChain agents and structured parsers.</t>
  </si>
  <si>
    <t>Automated RFP Response Generator</t>
  </si>
  <si>
    <t>This n8n workflow automates RFP processing by extracting questions from PDF RFP documents using LLMs, generating answers via OpenAI Assistants enriched with company data, and compiling responses into Google Docs. Notifications are sent via Gmail and Slack upon completion.</t>
  </si>
  <si>
    <t>Local File AI Sync &amp; Q&amp;A with Qdrant &amp; Mistral</t>
  </si>
  <si>
    <t>Automates local folder monitoring and syncs file data as vector embeddings to Qdrant vector database. Uses Mistral Cloud AI for embeddings and chat model, enabling AI Q&amp;A on updated files. Stack: n8n, Local File Trigger, Qdrant API, Mistral Cloud, Langchain nodes.</t>
  </si>
  <si>
    <t>Auto Quote Video Creator with PiAPI &amp; ElevenLabs</t>
  </si>
  <si>
    <t>Automates creating cinematic vertical videos with quotes. Uses Google Sheets for input, PiAPI for AI image &amp; video generation, ElevenLabs for ambient audio, FFmpeg for video merging, and uploads final clips to YouTube.</t>
  </si>
  <si>
    <t>Automated 9:16 AI Image &amp; Video Content Creator</t>
  </si>
  <si>
    <t>This n8n workflow automates creating 9:16 aspect ratio short-form video scripts and AI-generated images using Airtable for content management, OpenAI GPT-4o-mini for script generation, and Leonardo.ai for prompt improvement and image generation. Perfect for branding and social media content production.</t>
  </si>
  <si>
    <t>AI-Driven Instagram Trend Content Creator</t>
  </si>
  <si>
    <t>Automates Instagram content creation by scraping top trending posts with RapidAPI, analyzing images with OpenAI GPT-4 Vision, generating unique AI images via Replicate Flux AI, and posting with Facebook Graph API. Sends Telegram notifications on status updates. Ideal for creators leveraging AI for engaging posts.</t>
  </si>
  <si>
    <t>AI SQL Query Generator from DB Schema</t>
  </si>
  <si>
    <t>An n8n workflow using MySQL, OpenAI GPT-4o, and LangChain to convert database schema into executable SQL queries via AI chat. It extracts schema from MySQL, stores locally, then generates SQL on chat input, executing queries and returning results seamlessly.</t>
  </si>
  <si>
    <t>AutoClip: Auto Video Clip Creator &amp; YouTube Uploader</t>
  </si>
  <si>
    <t>Automates creating motivational video clips by combining random quotes, video backgrounds, and music stored on Google Drive and Sheets. Uses n8n with Google Drive, Google Sheets, FFmpeg for video processing, and YouTube API for upload. Perfect for creators automating content production.</t>
  </si>
  <si>
    <t>AI Chatbot for YouTube Video Summarization</t>
  </si>
  <si>
    <t>An AI-powered n8n workflow that fetches YouTube video details and transcripts via YouTube Data API &amp; youtube-transcript package, then uses OpenAI GPT models for interactive summarization and analysis of video content through chat.</t>
  </si>
  <si>
    <t>LinkedIn Company AI Scoring &amp; CRM Update</t>
  </si>
  <si>
    <t>Automates LinkedIn company search via Ghost Genius API, scores leads with OpenAI GPT-4.1 AI based on customized criteria, and updates a Google Sheets CRM. Ideal for targeted B2B lead enrichment and qualification with batch processing and deduplication.</t>
  </si>
  <si>
    <t>Automated Weekly Reddit Trend PR Report</t>
  </si>
  <si>
    <t>Automates weekly discovery of trending Reddit posts on chosen topics. Extracts top comments, performs sentiment and content analysis with Anthropic Claude AI, enriches with article content via Jina API, then generates and uploads comprehensive PR story reports to Google Drive and shares via Mattermost. Tech stack: Reddit API, Anthropic Claude, Jina AI, Google Drive, Mattermost webhook.</t>
  </si>
  <si>
    <t>AI-Powered Instagram Trend Content Generator</t>
  </si>
  <si>
    <t>Automates Instagram content creation by scraping top trending posts via RapidAPI Instagram Scraper, filtering images, analyzing with OpenAI GPT-4 Vision, generating captions, creating images using Replicate Flux AI, and publishing via Facebook Graph API with Telegram notifications.</t>
  </si>
  <si>
    <t>Hacker News AI Video Content Generator</t>
  </si>
  <si>
    <t>Automates creating AI-generated video summaries from Hacker News articles using OpenAI for analysis, Leonardo.ai for images, RunwayML and Creatomate for video creation, with uploads to cloud storage and posting on social media platforms.</t>
  </si>
  <si>
    <t>AI-Powered SMS Appointment Scheduler</t>
  </si>
  <si>
    <t>Automates PC/laptop repair appointment scheduling via SMS using Twilio, Airtable, OpenAI's GPT, and Cal.com API. Manages sessions, handles booking actions (create/reschedule/cancel), and sends follow-ups with STOP opt-out support.</t>
  </si>
  <si>
    <t>AI-Powered Job Application with CV Parsing</t>
  </si>
  <si>
    <t>n8n workflow automates job applications by processing PDF CV uploads via form triggers, classifying documents with OpenAI, extracting relevant data using LLMs contextualized by job posts, and storing details including PDF in Airtable ATS. Includes multi-step user form with AI-assisted pre-fill.</t>
  </si>
  <si>
    <t>Telegram AI Multi-Format Chatbot</t>
  </si>
  <si>
    <t>An n8n workflow that creates a Telegram chatbot using OpenAI GPT-4o for conversational AI with memory buffer. It handles text and voice messages, transcribes audio with OpenAI API, and responds dynamically via Telegram API, enabling rich multi-format AI conversations.</t>
  </si>
  <si>
    <t>Gemini AI Video Content Analyzer</t>
  </si>
  <si>
    <t>Automate video analysis using Google's Gemini 2.0 API in an n8n workflow. Downloads video from URL, uploads it to Gemini cloud for AI-based detailed visual description generation, useful for marketing, content moderation, accessibility, and cataloging.</t>
  </si>
  <si>
    <t>Automated Lead Tracking &amp; Notification System</t>
  </si>
  <si>
    <t>This n8n workflow automates lead tracking by integrating Google Sheets, HubSpot CRM, Slack, and Gmail. It triggers on new Google Sheets entries, logs leads into HubSpot, sends alerts via Slack and Gmail, and includes follow-up reminders for hot leads to improve sales efficiency.</t>
  </si>
  <si>
    <t>HR &amp; IT Helpdesk Chatbot with Audio Transcription</t>
  </si>
  <si>
    <t>An n8n workflow that builds an AI-powered HR &amp; IT helpdesk chatbot using OpenAI GPT for text and audio transcription, Telegram for messaging, PostgreSQL with PGVector for vector storage, and LangChain tools for knowledge retrieval and chat memory.</t>
  </si>
  <si>
    <t>AI-Powered HR Job Application &amp; Interview Automation</t>
  </si>
  <si>
    <t>Automates job application intake, CV storage, AI-driven candidate scoring, questionnaire generation, interview scheduling, and communication using n8n, Airtable, Google Drive, Google Calendar, and OpenAI GPT models.</t>
  </si>
  <si>
    <t>An n8n workflow integrating ElevenLabs voice agent, OpenAI GPT language model, Qdrant vector store, and Google Drive for Document Retrieval-Augmented Generation (RAG). Automates voice Q&amp;A using AI embeddings, vector search, and real-time audio responses.</t>
  </si>
  <si>
    <t>CrowdStrike Detection to Jira &amp; Slack</t>
  </si>
  <si>
    <t>Automates cybersecurity alert handling by fetching new CrowdStrike detections, enriching them via VirusTotal API, creating Jira tickets, and notifying teams on Slack. Built with n8n featuring CrowdStrike, VirusTotal, Jira, and Slack integrations for streamlined incident management.</t>
  </si>
  <si>
    <t>Semantic Web Search Query &amp; Results Re-Ranker</t>
  </si>
  <si>
    <t>An n8n workflow that automates intelligent web search query generation and semantic re-ranking of results using Brave Web Search API and advanced language models (Google Gemini, Anthropic Claude, OpenAI GPT). It refines user questions, ranks top search results, and extracts key info for precise answers.</t>
  </si>
  <si>
    <t>Invoice Data Extraction &amp; Reconciliation</t>
  </si>
  <si>
    <t>Automates invoice processing by watching Gmail for PDF invoices, uploading them to LlamaParse API for parsing, extracting structured invoice data using OpenAI GPT-3.5, and appending results to Google Sheets for reconciliation. Incorporates label management to avoid duplicate processing.</t>
  </si>
  <si>
    <t>Slack IT Support AI Bot</t>
  </si>
  <si>
    <t>An n8n workflow integrating Slack API, OpenAI GPT-4, and Confluence API to automate IT support queries via Slack. It verifies webhooks, filters bot messages, acknowledges user queries, fetches knowledge base results, and uses AI to generate tailored IT responses, improving IT helpdesk efficiency.</t>
  </si>
  <si>
    <t>AI WhatsApp Customer Support Assistant</t>
  </si>
  <si>
    <t>An AI-powered customer support chatbot for WhatsApp that dynamically crawls and extracts real-time website info using Langchain tools (list_links, get_page), OpenAI GPT-4o-mini, and Postgres memory. Enables brands to deliver on-demand, accurate support directly on WhatsApp.</t>
  </si>
  <si>
    <t>Automates Zoom meeting transcription processing to create summaries, action items, and schedule follow-ups using Zoom API, Anthropic Claude AI, ClickUp, and Microsoft Outlook integrations with n8n workflow automation.</t>
  </si>
  <si>
    <t>Notion RAG Chatbot with OpenAI &amp; Supabase</t>
  </si>
  <si>
    <t>An n8n workflow that enables retrieval-augmented generation (RAG) from live Notion data. It uses Notion API to fetch updated content, OpenAI GPT-4 for embeddings and chat models, and Supabase as a vector store to index knowledge base for context-aware Q&amp;A chatbot.</t>
  </si>
  <si>
    <t>GitLab Merge Request Auto Review &amp; Risk Assessment</t>
  </si>
  <si>
    <t>An n8n workflow automating GitLab MR review by fetching diffs, using Anthropic Claude AI for risk assessment, issues, recommendations, and test case generation, then posting comments and emailing relevant dev &amp; QA teams. Integrates GitLab API, Anthropic AI, and Gmail.</t>
  </si>
  <si>
    <t>YouTube Video Summarizer &amp; Telegram Q&amp;A with GPT-4o-mini</t>
  </si>
  <si>
    <t>Automates extracting YouTube video transcripts, segmenting and summarizing them using GPT-4o-mini, storing transcripts on Google Docs, and enabling interactive Q&amp;A about the video via Telegram chat. Uses n8n with YouTube Transcript API, Google Docs API, Telegram API, and OpenAI GPT-4o-mini.</t>
  </si>
  <si>
    <t>AI-Powered Personal Assistant with Google APIs</t>
  </si>
  <si>
    <t>An n8n workflow integrating Google Gemini Chat AI, Google Calendar, Gmail, and Google Sheets to create an AI personal assistant. It manages calendar events, emails, contacts in Sheets, and supports conversational interactions via an MCP server and client setup.</t>
  </si>
  <si>
    <t>AI Invoice &amp; Document Parser with LlamaParse</t>
  </si>
  <si>
    <t>Automates extraction, classification, and summarization of documents from Gmail using LlamaParse API, OpenAI GPT models, and Google Drive/Sheets. Extracts invoice details as JSON, saves files, sends Telegram notifications, and organizes data for streamlined accounting and insights.</t>
  </si>
  <si>
    <t>Weekly Online Marketing Report Generator</t>
  </si>
  <si>
    <t>Automates weekly retrieval, analysis, and reporting of online marketing data using Google Analytics, Google Ads API, Meta Ads (Facebook Graph API), and OpenAI GPT-4 for AI-powered insights and summaries. Sends detailed HTML email and Telegram report.</t>
  </si>
  <si>
    <t>AI Job Hunt POV Video Creator</t>
  </si>
  <si>
    <t>Automates creation of short-form job hunting videos using OpenAI for captions &amp; scripts, PiAPI Flux for image generation, Kling for video, ElevenLabs for voiceovers, Creatomate for final rendering, Google Sheets for ideas, and uploads to TikTok, Instagram, YouTube, Facebook, LinkedIn via upload-post.com.</t>
  </si>
  <si>
    <t>n8n Ultimate Selenium Web Scraper</t>
  </si>
  <si>
    <t>Automates advanced web scraping with Selenium and OpenAI GPT-4 integration. Uses Selenium Chrome container, residential proxies, Google search, cookie injection for session-based scraping, and AI-driven info extraction from screenshots and text for data on dynamic or login-protected websites.</t>
  </si>
  <si>
    <t>YouTube Video Analysis with Google Gemini AI</t>
  </si>
  <si>
    <t>n8n workflow that analyzes YouTube videos using Google Generative Language API (Gemini-1.5-flash) to create summaries, transcripts, timestamps, scene descriptions, and viral clip suggestions. It fetches video metadata via YouTube API and stores outputs in Google Drive and email.</t>
  </si>
  <si>
    <t>Telegram AI Document Chatbot with Supabase &amp; Gemini</t>
  </si>
  <si>
    <t>No-code Telegram bot using n8n that lets users upload PDFs, extracts text, creates embeddings with Google Gemini, stores them in Supabase vector DB, and answers document-based queries. Integrates Telegram API, Google Gemini LLM, Supabase, and optionally OpenWeatherMap.</t>
  </si>
  <si>
    <t>Daily AI Email Summary and Action Extractor</t>
  </si>
  <si>
    <t>Automates daily email retrieval from Gmail, uses OpenAI GPT-4o-mini to summarize key email info and extract action items, then emails a styled HTML report. Tech stack: Gmail API, OpenAI API, n8n workflow automation, with scheduling and aggregation nodes. Ideal for teams needing concise daily email digests.</t>
  </si>
  <si>
    <t>AI-Powered WordPress Blog Post Optimizer</t>
  </si>
  <si>
    <t>Automates WordPress blog content creation and SEO optimization using Google Sheets, OpenAI (DeepSeek), WordPress API, and Langchain. Generates titles, articles, images, drafts posts, and SEO meta tags, updating all data back to Google Sheets seamlessly.</t>
  </si>
  <si>
    <t>CoinMarketCap AI Crypto Analyst Bot</t>
  </si>
  <si>
    <t>An n8n AI workflow integrating OpenAI GPT-4o Mini with CoinMarketCap APIs via modular agents for real-time crypto market analytics, token data, exchange insights, and decentralized DEX liquidity. Outputs interactive replies through Telegram.</t>
  </si>
  <si>
    <t>Animated Story Creation with GPT-4o-mini, Midjourney, Kling &amp; Creatomate</t>
  </si>
  <si>
    <t>Automates creation of animated story videos using GPT-4o-mini for story prompts, Midjourney for images, Kling for video generation, and Creatomate for final video editing. Ideal for generating engaging animated content from text prompts via APIs.</t>
  </si>
  <si>
    <t>Outlook AI Email Categorizer &amp; Prioritizer</t>
  </si>
  <si>
    <t>Automates email categorization and prioritization in Microsoft Outlook. Integrates Microsoft 365, Monday.com CRM, Airtable, and OpenAI GPT-4 AI to analyze, categorize, and set priorities on incoming emails based on custom rules and contact data.</t>
  </si>
  <si>
    <t>Voiceflow Chatbot &amp; Calendar Integrator</t>
  </si>
  <si>
    <t>An n8n workflow integrating Voiceflow conversational agents with Google Calendar and Qdrant RAG system. Uses OpenAI GPT-4o-mini for LLM tasks, Qdrant for vector search, Google Drive for document handling, and webhooks for multi-channel chatbot, appointment, and order tracking automation.</t>
  </si>
  <si>
    <t>Monthly Spotify Track Archiving &amp; AI Playlist Classifier</t>
  </si>
  <si>
    <t>Automate monthly archiving of Spotify liked tracks and playlists into Google Sheets, then use Anthropic Claude 3.5 AI to classify tracks into playlists. Utilizes Spotify API, Google Sheets, and Anthropic AI for advanced music management.</t>
  </si>
  <si>
    <t>Video Frame Extraction and AI Narration</t>
  </si>
  <si>
    <t>Automates video downloading, frame extraction using OpenCV, script generation with GPT-4 multimodal LLM, and text-to-speech audio creation via OpenAI API. The workflow batches image frames, creates narration scripts, synthesizes voiceovers, and uploads results to Google Drive.</t>
  </si>
  <si>
    <t>AI SEO Keyword Research Automation</t>
  </si>
  <si>
    <t>Automates SEO keyword research using OpenAI GPT for topic expansion and competitor analysis, integrates DataForSEO API for keyword metrics, and manages workflow with NocoDB and Slack notifications. Generates actionable SEO strategies and content briefs for targeted content creation.</t>
  </si>
  <si>
    <t>AI-Powered Weekly Tech Newsletter</t>
  </si>
  <si>
    <t>Automates fetching tech news from multiple RSS feeds, processes with OpenAI embeddings and GPT-4 summarization, and sends a personalized weekly newsletter via Gmail. Uses n8n, OpenAI API, RSS feeds, and Gmail integration to deliver curated tech updates based on user interests.</t>
  </si>
  <si>
    <t>AI-Powered Email Summarization &amp; Reply Automation</t>
  </si>
  <si>
    <t>An n8n workflow integrating IMAP email triggers, Gmail, OpenAI GPT models, and Qdrant vector DB to summarize incoming emails, generate context-aware professional replies, classify human feedback, and send emails after review. Supports Gmail, Outlook, Google Drive docs, and uses LangChain components for advanced AI processing.</t>
  </si>
  <si>
    <t>WhatsApp AI Chatbot with RAG Knowledge Base</t>
  </si>
  <si>
    <t>An n8n workflow integrating WhatsApp Business API, OpenAI GPT-4o-mini, Langchain agent, Qdrant vector DB, and Google Drive to build an AI-powered chatbot for electronics stores. It uses a Retrieval-Augmented Generation (RAG) system to provide accurate product info &amp; support via WhatsApp.</t>
  </si>
  <si>
    <t>Notion DB AI Assistant Generator</t>
  </si>
  <si>
    <t>Generates an n8n AI Agent workflow to query any Notion database using URLs. Utilizes Notion API, Anthropic and OpenAI language models, LangChain agents, and advanced JSON validation. Automates creating custom AI chatbots for dynamic Notion DB schemas.</t>
  </si>
  <si>
    <t>Automated Daily n8n Workflow Backups to Google Drive</t>
  </si>
  <si>
    <t>Automates daily backup of n8n workflows by fetching workflow JSON via n8n API, saving to timestamped Google Drive folders using Google Drive API, retains only last 7 days backups with auto-deletion, and sends completion notifications via Telegram API.</t>
  </si>
  <si>
    <t>WordPress Content Chatbot with OpenAI &amp; Supabase</t>
  </si>
  <si>
    <t>An n8n workflow integrating WordPress API, OpenAI embeddings &amp; GPT-4o-mini, and Supabase vector DB. It fetches, filters, converts WP posts/pages to markdown, embeddings for search, and enables AI chat with website content using stored vectors and Postgres memory.</t>
  </si>
  <si>
    <t>WooCommerce AI Chatbot for Post-Sales Support</t>
  </si>
  <si>
    <t>An AI-powered chatbot workflow integrating WooCommerce, OpenAI, Qdrant vector DB, and Google Drive for secure, verified post-sales support. It automates order and tracking inquiries, FAQ answers, and escalates complex issues via Telegram for a seamless customer service experience.</t>
  </si>
  <si>
    <t>An n8n workflow automating deep research by generating multiple search queries with LLMs, fetching data via SerpAPI and Jina AI, extracting relevant info, and compiling comprehensive markdown reports. Integrates OpenRouter LLM, SerpAPI, Jina AI, and Wikipedia.</t>
  </si>
  <si>
    <t>AI Email Auto-Responder with Approval Workflow</t>
  </si>
  <si>
    <t>Automates email processing by reading IMAP messages, converting to Markdown, summarizing content, retrieving data from Qdrant vector DB, composing replies with OpenAI GPT and DeepSeek models, and sends responses after a YES/NO approval via Gmail. Tech: IMAP, Qdrant, OpenAI, DeepSeek, Gmail API.</t>
  </si>
  <si>
    <t>AI SQL Query Generator from Database Schema</t>
  </si>
  <si>
    <t>This n8n workflow uses MySQL to extract database schemas, stores them locally, and combines with OpenAI's GPT-4o via LangChain AI Agent to generate SQL queries based only on the schema and user chat input. It automates SQL generation without executing queries directly.</t>
  </si>
  <si>
    <t>WordPress Automated SEO Content &amp; Image Creator</t>
  </si>
  <si>
    <t>Automates SEO-friendly WordPress blog posts creation using Google Sheets for ideas, DeepSeek AI for article and title generation, OpenAI DALL-E 3 for cover images, and WordPress API for publishing and media uploading. Ideal for blog content managers.</t>
  </si>
  <si>
    <t>AI Agent with Long-Term Memory &amp; Tools Router</t>
  </si>
  <si>
    <t>An n8n workflow integrating OpenAI GPT-4o-mini and Google Docs for AI agent long-term memory storage and retrieval. It dynamically routes tasks like saving memories, retrieving them, and sending notifications via Gmail and Telegram to enhance AI chatbot contextual understanding and multi-channel communication.</t>
  </si>
  <si>
    <t>Parents Smart Assistant Bot</t>
  </si>
  <si>
    <t>An intelligent personal assistant for busy parents using Telegram, OpenAI (GPT-3.5, embeddings, audio transcription), Qdrant vector DB, Tavily web search, and Wikipedia API. It routes requests to specialized agents for calendar, email, contacts, content creation, and calculations, responding warmly in Hebrew.</t>
  </si>
  <si>
    <t>LinkedIn Lead Automation &amp; Enrichment</t>
  </si>
  <si>
    <t>Automates LinkedIn lead generation, data enrichment, and outreach using HDW LinkedIn API, OpenAI GPT-4 for ICP parsing and content summarization, and Google Sheets for data storage. Includes lead scoring, company research, and automated messaging workflows.</t>
  </si>
  <si>
    <t>Vision-Based AI Webpage Scraper with Sheets</t>
  </si>
  <si>
    <t>An advanced n8n workflow integrating Google Sheets, ScrapingBee API, and Google's Gemini-1.5-Pro AI model for vision-based scraping. It extracts structured e-commerce data from webpage screenshots and falls back to HTML scraping if needed, saving data back to Sheets.</t>
  </si>
  <si>
    <t>Multi-AI Chatbot for Postgres &amp; QuickCharts</t>
  </si>
  <si>
    <t>An n8n workflow featuring multi-agent AI chatbot integration with Postgres/Supabase for SQL querying and QuickChart for dynamic chart generation. Uses OpenAI GPT-4o-mini models and Langchain nodes to provide interactive data analysis and visualization within chat.</t>
  </si>
  <si>
    <t>AI Email Summarizer &amp; Auto Responder</t>
  </si>
  <si>
    <t>Automates email processing by reading IMAP emails, converting HTML to Markdown, summarizing content via DeepSeek/OpenAI, classifying and replying professionally using GPT-4o-mini, and storing context in Qdrant vector DB. Integrates IMAP, OpenAI, DeepSeek, Qdrant, Google Drive, SMTP.</t>
  </si>
  <si>
    <t>Gmail Automation MCP Server</t>
  </si>
  <si>
    <t>An n8n workflow serving as an MCP (multi-command processor) for Gmail. It integrates Gmail OAuth2 API with multiple nodes to perform email operations (get, search, reply, delete, label management, drafts, threads) via a webhook SSE server, enabling AI-driven email management.</t>
  </si>
  <si>
    <t>AI Lead Generator: Google Maps &amp; Website Scraper</t>
  </si>
  <si>
    <t>Automates business lead generation by scraping Google Maps and business websites using Apify actors, enhanced by OpenAI GPT-4o and SerpAPI for fallback data enrichment. Stores organized contact info and business data into Google Sheets for easy access and analysis.</t>
  </si>
  <si>
    <t>AI Chatbot with Long-Term Memory &amp; Telegram</t>
  </si>
  <si>
    <t>An advanced AI agent chatbot using OpenAI and LangChain in n8n workflow. It integrates Telegram for messaging, Google Docs for storing long-term memories and notes, and uses context windows for personalized, contextual conversations with memory management.</t>
  </si>
  <si>
    <t>AI-Powered Appointment Scheduling with Approval</t>
  </si>
  <si>
    <t>Automate appointment requests with multi-step n8n forms, AI enquiry classification and summarization (OpenAI), Gmail approval workflow, and Google Calendar event creation. Enhances user experience with terms acceptance and conditional scheduling.</t>
  </si>
  <si>
    <t>AI-Powered n8n Workflow Credential Explorer</t>
  </si>
  <si>
    <t>An n8n workflow that extracts credentials info from all workflows via n8n API, stores them in SQLite, and enables querying via an AI agent using OpenAI's Chat API. Simplifies searching which workflows use specific app credentials.</t>
  </si>
  <si>
    <t>Social Media Multi-Platform Publisher</t>
  </si>
  <si>
    <t>Automates posting photos/videos on TikTok, X, Facebook, YouTube, Instagram, Threads, LinkedIn via Upload-Post.com API. Uses n8n form trigger for uploads, then posts media with captions. Includes success/error feedback forms to users.</t>
  </si>
  <si>
    <t>Company Docs RAG Chatbot (Google Drive + Pinecone)</t>
  </si>
  <si>
    <t>Automates retrieval-augmented generation (RAG) for company documents stored in Google Drive. Uses Google Gemini (PaLM) for embeddings and chat, Pinecone for vector storage, and n8n workflow triggers for live updates. Enables AI chat assistant to answer HR queries from internal docs.</t>
  </si>
  <si>
    <t>Google Drive to Pinecone RAG with OpenRouter &amp; Gemini</t>
  </si>
  <si>
    <t>Automates document ingestion from Google Drive, splits text contextually, generates embeddings using Google Gemini, and stores vectors in Pinecone. Uses OpenRouter chat model and Langchain for AI context-aware chunking to enhance retrieval-based generation workflows.</t>
  </si>
  <si>
    <t>AI-Powered Outlook Email Categorizer</t>
  </si>
  <si>
    <t>Automates email categorization and prioritization in Microsoft Outlook using OpenAI GPT-4 model, Monday.com CRM, Airtable for rules and categories, and n8n workflow automation to organize and flag emails intelligently.</t>
  </si>
  <si>
    <t>AI-Powered WhatsApp Chatbot Workflow</t>
  </si>
  <si>
    <t>An n8n workflow that creates an AI chatbot for WhatsApp using WhatsApp API, Google Gemini (PaLM) for multimodal AI (audio, video, image), Langchain AI Agent, and Wikipedia tool integration. It processes and responds to varied message types intelligently.</t>
  </si>
  <si>
    <t>Automated Email Reply &amp; Feedback Logger</t>
  </si>
  <si>
    <t>An n8n workflow that triggers on receiving emails from specific senders, generates AI-powered replies using OpenAI GPT, sends email responses via Gmail, and logs both original emails and replies into Google Sheets. It also collects user feedback through webhooks to improve response quality.</t>
  </si>
  <si>
    <t>Automated YouTube &amp; Google Keyword Research</t>
  </si>
  <si>
    <t>An n8n workflow integrating NocoDB, DataForSEO API, and Social Flood API for automated multi-source keyword generation, filtering, and monthly search volume tracking for YouTube and Google. Ideal for SEO and content marketing automation.</t>
  </si>
  <si>
    <t>Slack AI Chatbot with RAG for Staff</t>
  </si>
  <si>
    <t>An AI-powered Slack chatbot for company staff that uses OpenAI and Anthropic models with Qdrant vector search to retrieve and answer employee queries from internal documents. Integrates Slack API, Google Drive, and Langchain nodes for seamless RAG support and real-time help.</t>
  </si>
  <si>
    <t>Google Ads Keyword Generator with Search Volumes</t>
  </si>
  <si>
    <t>Automates generation of SEO keywords with monthly search volumes using Google Ads API v18. Integrates n8n with Google Sheets for data storage. Helps SEO and marketing teams find valuable keywords for campaigns with competition and bid metrics.</t>
  </si>
  <si>
    <t>AI Auto-Tagging for WordPress Posts</t>
  </si>
  <si>
    <t>Automate blog post tagging in WordPress using n8n with OpenAI for AI-generated tags. Uses RSS feed triggers, WordPress REST API, and Langchain nodes for content analysis to enhance SEO and content categorization without manual input.</t>
  </si>
  <si>
    <t>UTM Link &amp; QR Code Generator with GA Reports</t>
  </si>
  <si>
    <t>Automates creation of UTM tagged links and QR codes, stores them in Airtable, and schedules Google Analytics reports analyzed by OpenAI GPT-4. Integrates n8n with OpenAI, Google Analytics, Airtable, and QuickChart APIs for streamlined marketing campaign tracking and executive reporting.</t>
  </si>
  <si>
    <t>AI-Powered Social Media Lead Outreach</t>
  </si>
  <si>
    <t>Automates social media analysis from LinkedIn and Twitter via RapidAPI, uses OpenAI GPT-4 for personalized cover letter and subject generation, integrates Google Sheets for lead management, and sends customized emails via SMTP. Ideal for marketers and lead gen pros.</t>
  </si>
  <si>
    <t>AI-Powered Google Calendar Reminder via Telegram</t>
  </si>
  <si>
    <t>An n8n workflow that fetches upcoming Google Calendar events (1 hour ahead), uses OpenAI GPT-4o-mini for generating friendly reminder messages, and sends them via Telegram. Prevents duplicate alerts for stress-free, personalized appointment notifications.</t>
  </si>
  <si>
    <t>Telegram AI Chat &amp; Dall-E Image Bot</t>
  </si>
  <si>
    <t>An n8n workflow integrating Telegram API with OpenAI GPT-4 and Dall-E 3 for conversational AI and image generation. It uses Langchain modules for context memory and tool execution, enabling interactive chat with image creation inside Telegram chats.</t>
  </si>
  <si>
    <t>Google Drive Audio Transcription &amp; Summary to Notion</t>
  </si>
  <si>
    <t>Automates transcription of audio files uploaded to a Google Drive folder using OpenAI Whisper, summarizes content with GPT-4 Turbo, and sends structured summaries to Notion. Integrates Google Drive, OpenAI API, and Notion for efficient audio documentation workflows.</t>
  </si>
  <si>
    <t>AI-Powered Telegram Voice Message Translator</t>
  </si>
  <si>
    <t>Telegram bot workflow translating voice messages between 55 languages using Telegram API, OpenAI's speech-to-text and chat models, n8n automation. Converts speech to text, auto-detects and translates languages, replies with text and audio in Telegram chat.</t>
  </si>
  <si>
    <t>AI Voice Chatbot with Memory &amp; TTS</t>
  </si>
  <si>
    <t>An AI voice chatbot workflow integrating OpenAI for speech-to-text, Google Gemini for contextual chat, LangChain memory for conversation context, and ElevenLabs for text-to-speech audio generation. Enables real-time voice interactions with maintained conversation memory.</t>
  </si>
  <si>
    <t>Slack to Linear AI Ticket Generator</t>
  </si>
  <si>
    <t>Automates support ticket creation by scanning Slack #n8n-tickets channel for messages tagged with 🎫, uses OpenAI to generate ticket title, summary, priority, and suggestions, and creates tickets in Linear. Utilizes Slack API, OpenAI GPT, and Linear API.</t>
  </si>
  <si>
    <t>WhatsApp AI Sales Agent with Product Brochure</t>
  </si>
  <si>
    <t>Automate customer support on WhatsApp using n8n integrated with OpenAI GPT-4 and vector search. Extracts Yamaha product brochure PDF, creates an in-memory vector store knowledge base, and runs an AI Sales Agent to answer customer queries via WhatsApp text messages.</t>
  </si>
  <si>
    <t>An n8n workflow integrating WhatsApp API with Google Gemini AI and Langchain tools to handle, analyze, and respond to various message types (audio, video, image, text) in WhatsApp chats using AI transcription, summarization, and multimodal content description.</t>
  </si>
  <si>
    <t>Video Frame Narration &amp; Voiceover Generator</t>
  </si>
  <si>
    <t>Automates video narration by downloading a video, extracting frames using OpenCV in Python, generating a script with OpenAI GPT-4 Vision LLM, creating TTS audio, and uploading results to Google Drive. Integrates HTTP, Python, Langchain, OpenAI APIs, and Google Drive.</t>
  </si>
  <si>
    <t>An n8n workflow integrating OpenAI GPT-4o, Langchain SQL Agent, and Quickchart.io to answer SQL queries and generate dynamic charts. It extracts user questions, runs SQL queries on PostgreSQL, classifies if charts are needed, and creates visualizations using OpenAI structured output and Quickchart.io.</t>
  </si>
  <si>
    <t>Automated CV Screening with OpenAI &amp; Supabase</t>
  </si>
  <si>
    <t>n8n workflow to download CV PDFs, extract text, and analyze candidate fit using OpenAI GPT-4o-mini with a structured JSON schema. Stores results in Supabase. Ideal for recruiters to automate initial resume screening and generate fitting scores and insights.</t>
  </si>
  <si>
    <t>AI-Powered Job Application Automation</t>
  </si>
  <si>
    <t>This n8n workflow automates job applications by accepting CV PDFs via form upload, using OpenAI LLM and text classification to validate and extract relevant candidate data based on a job posting, and saving to Airtable ATS. It enables a two-step form process with AI-assisted prefill and validation.</t>
  </si>
  <si>
    <t>Automate appointment requests processing with n8n multi-step forms, OpenAI AI text classification and summarisation, Gmail approval workflow, and Google Calendar integration for scheduling events. Provides user-friendly form UX and admin approval via email.</t>
  </si>
  <si>
    <t>AI-Powered On-Brand Blog Article Generator</t>
  </si>
  <si>
    <t>Automates generating brand-consistent blog drafts using n8n workflows. It scrapes latest articles from a blog, converts content to Markdown, analyzes style and voice with OpenAI LLMs, and creates new drafts saved to Wordpress for review.</t>
  </si>
  <si>
    <t>Real-Time AI Meeting Transcription System</t>
  </si>
  <si>
    <t>An n8n workflow that automates joining virtual meetings (Zoom, Google Meet) using Recall.ai API for real-time transcription, processes dialogue via OpenAI API, stores structured data in Supabase/Postgres, and creates AI-generated notes for meeting insights.</t>
  </si>
  <si>
    <t>An n8n workflow integrating Gmail and Microsoft Outlook triggers to capture emails, uses hcti.io API for HTML screenshot generation, OpenAI's ChatGPT-4 for phishing analysis, and auto-creates detailed Jira tickets with email data and screenshot attachments for streamlined phishing incident management.</t>
  </si>
  <si>
    <t>Email Phishing Detection &amp; Jira Reporting</t>
  </si>
  <si>
    <t>Automates detection of phishing emails from Gmail and Outlook using ChatGPT AI, captures email content and headers, generates email screenshots via hcti.io API, and logs detailed tickets with attachments in Jira for security review.</t>
  </si>
  <si>
    <t>Automated Meeting Task &amp; Event Manager</t>
  </si>
  <si>
    <t>Automates creation of tasks from Fireflies.ai meeting transcripts using OpenAI GPT-4o, stores tasks in Airtable, sends email notifications via Gmail, and schedules Google Meet events. Streamlines post-meeting follow-ups and client communications with AI-powered processing.</t>
  </si>
  <si>
    <t>Cybersecurity Incident Analysis with MITRE &amp; AI</t>
  </si>
  <si>
    <t>An n8n workflow integrating OpenAI GPT-4, MITRE ATT&amp;CK data from Google Drive, and Qdrant vector DB to analyze and enrich Zendesk security tickets. Automates TTP extraction, remediation advice, and historical pattern detection using Langchain agents and embeddings.</t>
  </si>
  <si>
    <t>Automates backup of all n8n workflows to a GitHub repository using GitHub API, HTTP requests, and internal subworkflows. It compares existing backup files with current workflows, creates or updates JSON files named by workflow ID, supporting version control and easy restore.</t>
  </si>
  <si>
    <t>AI Agent for Automated CV Screening &amp; Sorting</t>
  </si>
  <si>
    <t>Automates screening, sorting, and rating of candidate CV resumes against job descriptions using n8n with Google Drive, Google Docs, Google Sheets, Gmail, and Groq Llama 4 AI model integration. Moves CVs to folders, updates trackers, and sends notifications.</t>
  </si>
  <si>
    <t>Automated Zoom Meeting &amp; Stripe Payment Setup</t>
  </si>
  <si>
    <t>Automates event creation by integrating Zoom for meeting scheduling, Stripe for secure payment processing, and Google Sheets for data management. Sends email notifications via Gmail for presenters and participants, streamlining event setup and participant tracking with no-code automation.</t>
  </si>
  <si>
    <t>Telegram Voice/Text to SEO Social Content AI</t>
  </si>
  <si>
    <t>Automates Telegram incoming messages (voice or text), transcribes voice via OpenAI Whisper, researches topics with SerpAPI, generates SEO-optimized social media posts and photorealistic image prompts, then creates images via HuggingFace Stable Diffusion integration.</t>
  </si>
  <si>
    <t>Chinese Vocabulary Flashcard Generator</t>
  </si>
  <si>
    <t>Automates vocabulary learning by translating English words to Chinese, generating pinyin and example sentences via OpenAI, retrieving images from Pexels API, and updating Google Sheets and Drive. Uses Google Translate, Langchain AI, Pexels API, and Google Workspace APIs.</t>
  </si>
  <si>
    <t>YouTube Subscription Video Email Notifier</t>
  </si>
  <si>
    <t>Automate email notifications for new YouTube videos from your subscriptions. Uses YouTube Data API v3 for subscriptions, YouTube RSS for latest videos, filters out shorts, and sends thumbnail-rich emails via SMTP. Runs hourly by default.</t>
  </si>
  <si>
    <t>Telegram Pomodoro Productivity Bot</t>
  </si>
  <si>
    <t>Automates Pomodoro technique sessions via Telegram bot. Uses n8n workflow integrating Telegram API for commands, Google Sheets API for tracking sessions, and JavaScript code for managing user states. Helps schedule focused work and breaks, logging data for productivity insights.</t>
  </si>
  <si>
    <t>Discord AI Spam Moderation Workflow</t>
  </si>
  <si>
    <t>Automates spam detection and moderation on Discord using AI text classification (Langchain) and OpenAI GPT model. Retrieves messages, groups by user, flags spam, notifies moderators with human-in-the-loop decisions, and executes moderation actions with Discord bot integration.</t>
  </si>
  <si>
    <t>SEO-Optimized WordPress Blog Generator</t>
  </si>
  <si>
    <t>Automates SEO-optimized blog post creation for WordPress using Perplexity.ai for research, OpenAI GPT-4 mini for writing and HTML generation, WordPress API for publishing, and Telegram for success notifications. Ideal for content marketers and bloggers.</t>
  </si>
  <si>
    <t>CoinMarketCap Crypto AI Agent</t>
  </si>
  <si>
    <t>An AI-powered n8n workflow integrating CoinMarketCap APIs with OpenAI GPT-4o Mini for live cryptocurrency data analysis, including prices, metadata, market rankings, conversions, and global metrics. Enables advanced crypto queries using natural language and session memory.</t>
  </si>
  <si>
    <t>This n8n workflow automates detection and management of appointment requests from unread Gmail messages using OpenAI GPT-4 and Google Calendar APIs. It classifies emails, checks calendar availability, proposes meeting times, and replies, streamlining email scheduling tasks.</t>
  </si>
  <si>
    <t>Extract PDF &amp; Image Text to CSV via Vertex AI</t>
  </si>
  <si>
    <t>Automate extracting text from PDFs and images stored in Google Drive, using Google Vertex AI (Gemini) and Openrouter LLM APIs, converting data into categorized CSV files, then uploading results back to Drive for streamlined data processing.</t>
  </si>
  <si>
    <t>n8n Workflow Backup to GitLab</t>
  </si>
  <si>
    <t>Automates backup of n8n workflows to GitLab repository using n8n API and GitLab API. Supports manual and scheduled triggers, compares existing files, and updates or creates workflow JSON files tagged for backup.</t>
  </si>
  <si>
    <t>Line Chatbot with CBT AI Therapist</t>
  </si>
  <si>
    <t>An n8n workflow integrating Line Messaging API with Azure OpenAI to create a conversational CBT (Cognitive Behavioral Therapy) chatbot. Uses Langchain AI Agent powered by Azure OpenAI, handles text messages, provides therapy guidance, and sends replies via Line API with user-friendly loading animations.</t>
  </si>
  <si>
    <t>Gumroad Sales to MailerLite &amp; CRM Automation</t>
  </si>
  <si>
    <t>Automates post-purchase workflows by capturing Gumroad sales, adding customers to MailerLite email groups for automated sequences, and logging sales data to Google Sheets CRM. Uses Gumroad webhook, MailerLite API, and Google Sheets API to streamline customer onboarding and sales tracking.</t>
  </si>
  <si>
    <t>ConnectWise New Ticket Alerts to Teams</t>
  </si>
  <si>
    <t>Automates fetching new tickets from ConnectWise API, filters out previously sent tickets using Redis, groups them by company, and sends alert messages to Microsoft Teams chat. Uses n8n, ConnectWise API, Redis, and Microsoft Teams integration.</t>
  </si>
  <si>
    <t>HN 'Who is Hiring' Job Scraper</t>
  </si>
  <si>
    <t>n8n workflow scraping Hacker News 'Ask HN: Who is hiring?' posts using Algolia Search API and Hacker News API. It cleans and structures job posts with OpenAI GPT-4o-mini, then stores them in Airtable for easy job listing. Requires OpenAI and Airtable accounts.</t>
  </si>
  <si>
    <t>Typeform Feedback Collector</t>
  </si>
  <si>
    <t>An n8n workflow that triggers on Typeform feedback submissions, filters responses by usefulness score, and logs positive and negative feedback separately into Google Sheets using OAuth2 for authentication.</t>
  </si>
  <si>
    <t>ISS Position Updates via ActiveMQ Every Minute</t>
  </si>
  <si>
    <t>Automates fetching the International Space Station's real-time position every minute using WheretheISS.at API, processes the data with n8n nodes, and sends updates to an ActiveMQ topic via AMQP protocol for real-time tracking workflows.</t>
  </si>
  <si>
    <t>LinkedIn Profile Finder with Boolean Search</t>
  </si>
  <si>
    <t>An n8n workflow that generates Boolean search strings using OpenAI GPT-4O-MINI from job descriptions, performs authenticated Google searches, extracts LinkedIn profile URLs, and appends results to Google Sheets for sourcing candidates efficiently.</t>
  </si>
  <si>
    <t>ISS Position to AWS SQS Queue</t>
  </si>
  <si>
    <t>Automates fetching real-time ISS location using 'wheretheiss.at' API every minute and sends latitude, longitude, timestamp, and name details to AWS SQS queue. Tech stack: n8n, HTTP Request, AWS SQS, Cron node for scheduling.</t>
  </si>
  <si>
    <t>ISS Location Logger to BigQuery</t>
  </si>
  <si>
    <t>Automates fetching ISS real-time position via 'wheretheiss.at' API every minute, formats data, and stores name, latitude, longitude, and timestamp into Google BigQuery. Built with n8n workflows using HTTP Request, Cron, Set, and Google BigQuery nodes.</t>
  </si>
  <si>
    <t>Website Screenshot Capture &amp; Email Sender</t>
  </si>
  <si>
    <t>Automates capturing website screenshots (full and partial) via Uproc API, uploads them to Dropbox, and emails them using AWS SES. Triggered manually, it efficiently combines web automation, cloud storage, and email services for easy screenshot sharing.</t>
  </si>
  <si>
    <t>Calendly to Notion Contact Logger</t>
  </si>
  <si>
    <t>Automates capturing new Calendly invitee info and logs it into a Notion database. Uses Calendly API webhook to trigger on invitee creation and Notion API to add pages with invitee name, email, and status for streamlined contact management.</t>
  </si>
  <si>
    <t>AWS S3 to Transcribe Audio Workflow</t>
  </si>
  <si>
    <t>Automates transcription of audio files stored in AWS S3 using AWS Transcribe with automatic language detection. Built in n8n with AWS S3 and AWS Transcribe nodes, triggered manually to process all files in a specified bucket.</t>
  </si>
  <si>
    <t>Notion-SIGNL4 Alert Management Workflow</t>
  </si>
  <si>
    <t>Automates alert handling by integrating Notion database monitoring with SIGNL4 incident management. Uses n8n to process incoming alerts via webhook, update Notion status fields, and send or resolve SIGNL4 alerts accordingly. Tech stack: n8n, Notion API, SIGNL4 API.</t>
  </si>
  <si>
    <t>Daily Weather Updates via LINE Message</t>
  </si>
  <si>
    <t>Automate sending daily weather updates at 9 AM via LINE messenger using OpenWeatherMap API and n8n Cron trigger. Fetches Berlin temperature and sends a personalized notification via LINE Notify OAuth2 integration.</t>
  </si>
  <si>
    <t>Fetch &amp; Merge Multiple RSS Feeds</t>
  </si>
  <si>
    <t>This n8n workflow fetches RSS feeds from specified URLs (Medium and Dev.to for n8n content), reads and batches them, checks completion, and merges all feed items into a single dataset. Tech stack: n8n native nodes (RSS Feed Read, Function, IF, SplitInBatches) to automate RSS aggregation.</t>
  </si>
  <si>
    <t>HubSpot Contacts Pagination Fetcher</t>
  </si>
  <si>
    <t>n8n workflow to fetch HubSpot CRM contacts with automatic pagination handling using HubSpot API. It manages API keys, handles rate limiting by waiting between requests, and combines all paged results into a single dataset for further processing.</t>
  </si>
  <si>
    <t>Google Calendar Sync to Slack &amp; Philips Hue</t>
  </si>
  <si>
    <t>Automates syncing Google Calendar events to update Slack status and Philips Hue lights in real-time. Uses Google Calendar API, Slack API, and HTTP webhooks for Philips Hue integration. Ideal for visual and status-based meeting notifications in teams.</t>
  </si>
  <si>
    <t>Automated Recipe Finder and Email Sender</t>
  </si>
  <si>
    <t>This n8n workflow uses Edamam API to fetch recipes based on customizable criteria like diet, health, calories, and cooking time. It runs daily at 10am, selects random diet/health filters if set to random, compiles recipes, and emails them using Gmail SMTP.</t>
  </si>
  <si>
    <t>Google Sheets to Dropbox XLS Exporter</t>
  </si>
  <si>
    <t>Automates exporting Google Sheets data to an XLS file and uploads it to Dropbox every 15 minutes. Uses Google Sheets API, n8n spreadsheet conversion, and Dropbox API to keep backups or share spreadsheet updates seamlessly.</t>
  </si>
  <si>
    <t>Weekly Shopify Sales Report Automation</t>
  </si>
  <si>
    <t>Automates weekly extraction of Shopify orders, calculates total orders and revenue, records data in Google Sheets, and posts a summary to a Slack channel. Uses Shopify API, Google Sheets API via OAuth2, Slack API, and n8n Cron trigger.</t>
  </si>
  <si>
    <t>Calendly to Pipedrive + Slack Follow-up</t>
  </si>
  <si>
    <t>Automates meeting logs and follow-up reminders by triggering on new Calendly invites, creating Pipedrive activities, scheduling a feedback reminder after the meeting, and notifying the sales team in Slack. Integrates Calendly API, Pipedrive API, Slack API, and n8n for workflow orchestration.</t>
  </si>
  <si>
    <t>n8n GitHub Workflow Backup Automation</t>
  </si>
  <si>
    <t>Automates daily backup of n8n workflows to a GitHub repository. Uses n8n HTTP Request nodes with basic auth to fetch workflows, GitHub API nodes to create/edit JSON files, and cron scheduling. Ensures versioned workflow backups with commit metadata.</t>
  </si>
  <si>
    <t>Typeform to HubSpot Lead Automation</t>
  </si>
  <si>
    <t>Automates lead capture from Typeform surveys into HubSpot CRM, updating contact info and lifecycle stage, then sending a personalized Gmail follow-up. Uses Typeform API, HubSpot API, and Gmail OAuth2 for streamlined lead management and nurturing.</t>
  </si>
  <si>
    <t>HubSpot Deal Automation &amp; Notification</t>
  </si>
  <si>
    <t>Automates HubSpot deal processing using HubSpot API triggers, categorizes deals by stage, creates tickets with priority in HubSpot, logs lost deals in Airtable, sends Slack notifications on deal closure, and generates Google Slides presentations for scheduled demos.</t>
  </si>
  <si>
    <t>GitHub Issue Auto-Assignment</t>
  </si>
  <si>
    <t>Automates assignment of GitHub issues using GitHub API and OAuth2. Listens to issue and comment events, assigns issues to creators or commenters who request assignment via keywords. Built with n8n workflow automation, improving GitHub repository management.</t>
  </si>
  <si>
    <t>Zendesk Ticket Creator</t>
  </si>
  <si>
    <t>An n8n workflow to create Zendesk support tickets manually. Uses n8n's Manual Trigger node to initiate and the Zendesk node to create tickets via Zendesk API. Ideal for quick ticket generation in customer service automation.</t>
  </si>
  <si>
    <t>YCombinator News Scraper &amp; Emailer</t>
  </si>
  <si>
    <t>Automates fetching latest news from YCombinator using HTTP Request and HTML Extract nodes, merges data, exports to spreadsheet, and sends via email. Built with n8n workflow automation, utilizes web scraping and SMTP email delivery.</t>
  </si>
  <si>
    <t>Netlify Form Submission to Airtable</t>
  </si>
  <si>
    <t>Automates capturing Netlify form submissions and appends extracted name, email, and role data to Airtable. Uses Netlify Trigger webhook, n8n's Set node for data mapping, and Airtable API integration for database storage.</t>
  </si>
  <si>
    <t>GitHub Issue Auto-Assignment Bot</t>
  </si>
  <si>
    <t>Automates GitHub issue assignment using n8n with GitHub OAuth2 API. Listens to issue and comment events, assigns issues based on 'assign me' comments, and adds labels/comments accordingly to streamline issue management.</t>
  </si>
  <si>
    <t>Daily Google Calendar to Slack Reminder</t>
  </si>
  <si>
    <t>An n8n workflow that fetches all events from a Google Calendar, filters events for today's date in Asia/Qatar timezone, formats event details, and sends a daily summary message to a specified Slack channel. Uses Google Calendar API and Slack API with timezone and date/time manipulations.</t>
  </si>
  <si>
    <t>Google Drive File Creation Email Alert</t>
  </si>
  <si>
    <t>Workflow monitors a specific Google Drive folder for new files and sends an email notification upon creation. Uses Google Drive Trigger and SMTP email nodes in n8n to automate instant alerts for file updates.</t>
  </si>
  <si>
    <t>HubSpot Contact Enrichment with Clearbit</t>
  </si>
  <si>
    <t>Automates enriching HubSpot contacts using Clearbit API. When a HubSpot contact event triggers, it fetches contact details, retrieves extra data from Clearbit (job title, company, city), and updates the HubSpot contact. Uses HubSpot OAuth2 &amp; Clearbit APIs.</t>
  </si>
  <si>
    <t>Product Hunt Top 5 Posts to Discord</t>
  </si>
  <si>
    <t>Automates hourly fetching of the top 5 Product Hunt posts via GraphQL API, processes post data, and sends formatted summaries to a Discord channel using webhook. Uses n8n automation with Cron, GraphQL, Item Lists, Set, and Discord nodes.</t>
  </si>
  <si>
    <t>Onfleet Task Creation from Spreadsheet</t>
  </si>
  <si>
    <t>Automates creating Onfleet delivery tasks using data from Excel spreadsheets. Utilizes n8n nodes for reading binary files, parsing spreadsheets, and Onfleet API integration. Ideal for logistics teams to streamline task imports from customer or delivery data sheets.</t>
  </si>
  <si>
    <t>Email Enrichment &amp; Lemlist Lead Import</t>
  </si>
  <si>
    <t>Automates lead enrichment using Dropcontact API with data from Google Sheets, then imports enriched leads into Lemlist for email campaigns. Uses Google Sheets OAuth2, Dropcontact for contact verification, and Lemlist API to streamline B2B outreach.</t>
  </si>
  <si>
    <t>Calendly Leads to Notion via Dropcontact</t>
  </si>
  <si>
    <t>Automates lead capture from Calendly invitees, enriches data using Dropcontact API, and logs detailed lead info in Notion database, including contact, company, and scheduling details. Integrates Calendly webhook, Dropcontact API, and Notion API for streamlined CRM.</t>
  </si>
  <si>
    <t>CRM Contacts Sync Pipedrive &amp; HubSpot</t>
  </si>
  <si>
    <t>Automates syncing and updating contacts between Pipedrive CRM and HubSpot using n8n automation platform. Utilizes Pipedrive and HubSpot APIs to fetch, compare, and update person/contact records based on email and name data on a scheduled basis.</t>
  </si>
  <si>
    <t>Sync Contacts from Pipedrive to HubSpot</t>
  </si>
  <si>
    <t>Automates syncing of contact records from Pipedrive CRM to HubSpot CRM using n8n workflow. Utilizes Pipedrive and HubSpot APIs to fetch all contacts, merge them by email to avoid duplicates, and update HubSpot contacts every minute via a cron trigger.</t>
  </si>
  <si>
    <t>Telegram Receipt OCR to Airtable</t>
  </si>
  <si>
    <t>n8n workflow automates receipt processing by uploading images from Telegram to AWS S3, extracting text via AWS Textract, and appending the data to Airtable. Integrates Telegram Bot API, AWS S3 and Textract, Airtable API to digitize and store receipt info seamlessly.</t>
  </si>
  <si>
    <t>Google Drive to AWS S3 Sync</t>
  </si>
  <si>
    <t>An n8n workflow that triggers on Google Drive file updates in a specific folder and syncs files to an AWS S3 bucket with AES256 encryption. Uses Google Drive API, AWS S3 API, and n8n nodes for seamless cloud file synchronization.</t>
  </si>
  <si>
    <t>Image Labeling &amp; Cataloging Workflow</t>
  </si>
  <si>
    <t>Automates image search via Google Custom Search API, analyzes image content with AWS Rekognition, and saves image titles, links, and detected labels to Google Sheets. Utilizes HTTP Requests, AWS Rekognition, and Google Sheets APIs for efficient image metadata extraction and storage.</t>
  </si>
  <si>
    <t>Readwise to Telegram Sync</t>
  </si>
  <si>
    <t>An n8n workflow syncing Readwise articles updated after last sync to Telegram. It reads last sync time from a file, fetches new articles via Readwise API, filters articles, sends summaries to Telegram, and updates sync time. Uses Readwise API, Telegram Bot API, file system.</t>
  </si>
  <si>
    <t>Webhook JSON to XLSX Exporter</t>
  </si>
  <si>
    <t>An n8n workflow that accepts JSON data via a POST webhook, splits items in the JSON body, converts them into an XLSX spreadsheet file, and returns it as a downloadable binary response. Uses n8n built-in nodes: Webhook, Item Lists, Spreadsheet File, Respond to Webhook.</t>
  </si>
  <si>
    <t>Slack-Triggered GDPR Data Deletion</t>
  </si>
  <si>
    <t>An n8n workflow automating GDPR data deletion requests via Slack slash commands. It validates tokens, parses 'delete &lt;email&gt;' commands, triggers deletion workflows for Paddle, Customer.io, Zendesk, logs results in Airtable, and responds back on Slack. Integrates Slack API, Airtable, and custom workflows.</t>
  </si>
  <si>
    <t>Monthly Financial Metrics to Mattermost</t>
  </si>
  <si>
    <t>Automates monthly retrieval of financial metrics from ProfitWell API and posts key data (active customers, recurring revenue, growth rate) to a Mattermost channel using n8n workflow triggered by a cron schedule.</t>
  </si>
  <si>
    <t>Crypto Portfolio Value Updater</t>
  </si>
  <si>
    <t>Automates hourly updates of cryptocurrency prices and portfolio values using CoinGecko API and Airtable. Retrieves portfolio data, fetches current prices, updates records, and calculates total portfolio value for easy tracking and reporting.</t>
  </si>
  <si>
    <t>Tweet Generator with Hashtag &amp; Airtable Logging</t>
  </si>
  <si>
    <t>An n8n workflow that generates short tweets featuring random hashtags (#techtwitter, #n8n) using OpenAI's GPT-3 API, and then logs the tweet and hashtag into Airtable. Utilizes manual trigger, function node, HTTP Request to OpenAI, data set, and Airtable integration.</t>
  </si>
  <si>
    <t>Onfleet to QuickBooks Invoice Automation</t>
  </si>
  <si>
    <t>Automates invoice creation in QuickBooks Online upon new Onfleet task creation using Onfleet Trigger and QuickBooks API integration. Streamlines billing by triggering an invoice every time a delivery or task is initiated in Onfleet.</t>
  </si>
  <si>
    <t>Google Drive File Update to Onfleet Task</t>
  </si>
  <si>
    <t>Automate task creation in Onfleet when a specific Google Drive file is updated using Google Drive Trigger and Onfleet API in n8n workflow. Useful for seamless delivery or service task management linked to file changes.</t>
  </si>
  <si>
    <t>Automated Tech RSS to Telegram Alerts</t>
  </si>
  <si>
    <t>An n8n workflow that fetches multiple tech-related RSS feeds every 10 minutes, filters out new entries, categorizes content by keywords and URLs, and sends tailored alerts to distinct Telegram channels using Telegram API credentials. Automates timely tech news delivery.</t>
  </si>
  <si>
    <t>YouTube Channel Video Alerts to Telegram</t>
  </si>
  <si>
    <t>Automates fetching latest videos from a specific YouTube channel using YouTube API every 30 minutes, filters new videos, and sends notifications with video title and URL to Telegram via bot. Utilizes n8n, YouTube API, and Telegram API for workflow automation.</t>
  </si>
  <si>
    <t>Manage Cases in TheHive via n8n</t>
  </si>
  <si>
    <t>Automates creation, updating, and retrieval of cases in TheHive using n8n workflow. Utilizes TheHive API to handle case lifecycle from creation to modification and fetching detailed info, ideal for cybersecurity incident management.</t>
  </si>
  <si>
    <t>GitLab Backup Automation</t>
  </si>
  <si>
    <t>Automates backing up n8n workflows and credentials by exporting them, then committing and pushing changes to a GitLab repo using command line and cron scheduling.</t>
  </si>
  <si>
    <t>Slack Channel Setup and Messaging Automation</t>
  </si>
  <si>
    <t>Automates Slack workflow: creates a channel, invites users, posts a welcome message with attachments, and uploads files. Utilizes Slack API via n8n Slack nodes and HTTP Request node for fetching files. Ideal for team onboarding and communication setup.</t>
  </si>
  <si>
    <t>Automated Timesheet Report Generator</t>
  </si>
  <si>
    <t>An n8n workflow to generate timesheet reports with user avatars and task summaries. It fetches data, sorts tasks, retrieves avatars via HTTP, creates a styled Markdown report converted to HTML, and optionally emails the report. Uses n8n nodes: Function, HTTP Request, Markdown, and Email Send.</t>
  </si>
  <si>
    <t>User Request Management via Typeform &amp; ClickUp</t>
  </si>
  <si>
    <t>Automates workflow for managing user requests by integrating Typeform forms with ClickUp task management. It routes request types (document, presentation, update, workflow) to corresponding ClickUp lists using OAuth2 API. Enhances task tracking and team collaboration.</t>
  </si>
  <si>
    <t>HTTP Requests &amp; Pagination Demo Workflow</t>
  </si>
  <si>
    <t>An n8n workflow demonstrating common HTTP request use cases: fetching data from APIs (GitHub, Wikipedia, JSONPlaceholder), handling pagination, scraping HTML content, and splitting response bodies for easier data handling. Tech stack: n8n nodes (HTTP Request, HTML Extract, If, Set), GitHub API, Wikipedia, JSONPlaceholder REST API.</t>
  </si>
  <si>
    <t>Daily NASA Astronomy Picture to Telegram</t>
  </si>
  <si>
    <t>Automates daily sending of NASA's Astronomy Picture of the Day to a Telegram channel using NASA API, n8n Cron scheduling, and Telegram Bot API for photo delivery with captions.</t>
  </si>
  <si>
    <t>Sync Customer Data to Google Sheets</t>
  </si>
  <si>
    <t>Automates fetching customer data via n8n's Customer Datastore node, transforms fields using Set node, and upserts records into Google Sheets with OAuth2 API. Ideal for keeping customer info updated and organized in spreadsheets effortlessly.</t>
  </si>
  <si>
    <t>Weekly Google Sheets to MySQL Importer</t>
  </si>
  <si>
    <t>Automates weekly data import from Google Sheets to MySQL using Cron scheduling, Google Sheets API with OAuth2 for authentication, and MySQL node for insertion. Ideal for syncing spreadsheet data into a database automatically.</t>
  </si>
  <si>
    <t>Google Sheets to HTML Table via Webhook</t>
  </si>
  <si>
    <t>This n8n workflow reads data from a Google Sheets spreadsheet using Google Sheets API, converts the data into a Bootstrap-styled HTML table using a custom function, and serves it as an HTML response via a webhook. Ideal for dynamic table generation from sheet data.</t>
  </si>
  <si>
    <t>Typeform to Pipedrive Lead Automation</t>
  </si>
  <si>
    <t>Automates capturing Typeform survey responses to create and map leads, organizations, persons, and notes in Pipedrive CRM. Uses Typeform webhook trigger, JavaScript mapping for company size, and Pipedrive API nodes for CRM data entry.</t>
  </si>
  <si>
    <t>Asana to Notion Task Sync</t>
  </si>
  <si>
    <t>Automates syncing tasks from Asana to Notion via their APIs using n8n. Triggered by Asana updates, it creates or updates Notion database pages with task info and deadlines, ensuring task data consistency across both platforms.</t>
  </si>
  <si>
    <t>Company Logo and Info to Airtable</t>
  </si>
  <si>
    <t>Automates fetching company logos, icons, and details via Brandfetch API and stores them in Airtable. Includes n8n manual trigger, Brandfetch integration for company data, and Airtable append operation for database storage.</t>
  </si>
  <si>
    <t>Daily HubSpot to Mailchimp Contact Sync</t>
  </si>
  <si>
    <t>Automates daily syncing of new HubSpot contacts (created in the last day) to a Mailchimp mailing list using OAuth2 authentication for both APIs, triggered every day at 07:00 via n8n's cron node.</t>
  </si>
  <si>
    <t>Sync Mailchimp Contacts to HubSpot Daily</t>
  </si>
  <si>
    <t>Automates daily synchronization of updated Mailchimp members to HubSpot contacts using Mailchimp and HubSpot APIs. Tracks last execution timestamp to fetch only recent changes. Built with n8n workflow automation tool and cron scheduling.</t>
  </si>
  <si>
    <t>Pipedrive to Stripe Customer Sync</t>
  </si>
  <si>
    <t>Automates syncing updated Pipedrive deals with Stripe by checking deal won time changes, retrieving organization details, searching Stripe customers, and creating new customers if needed using Pipedrive and Stripe APIs in n8n.</t>
  </si>
  <si>
    <t>Stripe to Pipedrive Charge Logger</t>
  </si>
  <si>
    <t>Automates logging of successful Stripe charges to Pipedrive CRM by fetching charges since last run, enriching with customer and organization details via Stripe and Pipedrive APIs, then creating notes in Pipedrive. Scheduled daily at 8 AM using n8n workflow.</t>
  </si>
  <si>
    <t>Sync New Pipedrive Products to Stripe</t>
  </si>
  <si>
    <t>Automates product sync from Pipedrive CRM to Stripe. Uses Pipedrive trigger node, processes product data with Function and Set nodes, and creates products and prices via Stripe API calls. Ideal for streamlining e-commerce product management.</t>
  </si>
  <si>
    <t>Pipedrive Lead Enrichment &amp; Email Finder</t>
  </si>
  <si>
    <t>Automates lead enrichment and email discovery using Pipedrive CRM and Datagma API. It enriches new organizations with funding, traffic, and industry data, finds ideal sales contacts, verifies emails, and updates Pipedrive records for streamlined sales prospecting.</t>
  </si>
  <si>
    <t>Automated Weekly Stock Portfolio Reporter</t>
  </si>
  <si>
    <t>This n8n workflow fetches stock data from Baserow, scrapes live prices from Tradegate.de, calculates portfolio value changes, builds an HTML report, and sends it via SendGrid email. Integrates Baserow API, HTTP requests, HTML extraction, and SendGrid for automation.</t>
  </si>
  <si>
    <t>Google Drive to Pipedrive Lead Importer</t>
  </si>
  <si>
    <t>Automates importing leads from Google Drive spreadsheets into Pipedrive CRM. Uses Google Drive Trigger, Spreadsheet File parser, and Pipedrive API to create organizations, persons, leads, and notes, streamlining lead management and CRM updates.</t>
  </si>
  <si>
    <t>Google Sheets to Salesforce Account &amp; Contact Sync</t>
  </si>
  <si>
    <t>Automates syncing companies and contacts from a Google Sheet into Salesforce. Uses Google Sheets API and Salesforce API to read, search, create, and update accounts and contacts based on sheet data, ensuring no duplicates. Ideal for CRM data automation.</t>
  </si>
  <si>
    <t>Excel to Salesforce Account &amp; Contact Sync</t>
  </si>
  <si>
    <t>Automates syncing company accounts and contacts from Microsoft Excel to Salesforce using n8n. It reads Excel data, searches Salesforce for existing accounts, merges data, creates new accounts, and upserts contacts via Salesforce API.</t>
  </si>
  <si>
    <t>Excel to Salesforce CRM Importer</t>
  </si>
  <si>
    <t>Automates importing company and contact data from an Excel spreadsheet into Salesforce. Uses HTTP request to download the file, spreadsheet parsing, Salesforce API to search, create, and update accounts and contacts, deduplicating data along the way.</t>
  </si>
  <si>
    <t>Google Firestore CRUD - Create, Update, Get</t>
  </si>
  <si>
    <t>n8n workflow automates document creation, updating, and retrieval in Google Cloud Firestore using Firestore API and OAuth2 credentials. Ideal for backend data management and integration scenarios with Firestore database.</t>
  </si>
  <si>
    <t>GitHub Issues Notion Sync</t>
  </si>
  <si>
    <t>Automates synchronization of GitHub issues with a Notion database using GitHub webhook trigger and Notion API integration in n8n. It creates, updates, archives, and manages issue states inside Notion, enabling seamless issue tracking within a Notion workspace.</t>
  </si>
  <si>
    <t>Sync Shopify Customers to Zendesk Contacts</t>
  </si>
  <si>
    <t>Automates syncing updated customer data from Shopify to Zendesk by matching email addresses, creating new Zendesk users or updating existing ones including phone numbers. Uses Shopify webhook triggers and Zendesk API integration in n8n workflow.</t>
  </si>
  <si>
    <t>Shopify to Zendesk Order Ticket Sync</t>
  </si>
  <si>
    <t>Automates creation and tracking of Zendesk support tickets for updated Shopify orders using Shopify webhook and Zendesk API. Checks existing tickets by order ID to avoid duplicates, creating new tickets for new orders to streamline customer support workflows.</t>
  </si>
  <si>
    <t>Zendesk to Slack Ticket Sync</t>
  </si>
  <si>
    <t>Automates syncing of new Zendesk tickets to Slack threads using Zendesk API and Slack OAuth2. Creates or updates Slack threads with ticket info, keeping support communication organized across platforms.</t>
  </si>
  <si>
    <t>Zendesk to Asana Task Sync Automation</t>
  </si>
  <si>
    <t>Automates creation and updating of Asana tasks from new Zendesk tickets using Zendesk and Asana APIs via n8n workflow. It checks for existing tasks and appends comments or creates new tasks accordingly, streamlining ticket-to-task management.</t>
  </si>
  <si>
    <t>Mautic to Monday.com Contact Sync</t>
  </si>
  <si>
    <t>Automates contact creation in Monday.com from new Mautic leads using n8n. Integrates Mautic webhook trigger and Monday.com API to sync lead names and emails as board items, enabling CRM task automation and enhanced contact management.</t>
  </si>
  <si>
    <t>Shopify to Mautic New Customer Sync</t>
  </si>
  <si>
    <t>Automates syncing new Shopify customers to Mautic as contacts using Shopify webhook and Mautic API integration in n8n. Ensures first name, last name, and email transfer seamlessly for marketing automation.</t>
  </si>
  <si>
    <t>Zendesk to GitHub Issue Sync</t>
  </si>
  <si>
    <t>Automates syncing Zendesk tickets with GitHub issues by creating issues or comments when new tickets are received. Uses Zendesk API, GitHub API, and n8n workflows for seamless ticket and issue management.</t>
  </si>
  <si>
    <t>Zendesk to Jira Issue Synchronizer</t>
  </si>
  <si>
    <t>Automates synchronization between Zendesk tickets and Jira issues using n8n. It creates Jira issues for new Zendesk tickets or adds comments if an issue exists. Integrates Zendesk API and Jira Cloud API to keep data consistent.</t>
  </si>
  <si>
    <t>Automated Email Reply Handling &amp; CRM Sync</t>
  </si>
  <si>
    <t>This n8n workflow automates email reply categorization using OpenAI, managing leads in Lemlist and HubSpot, and notifying teams via Slack. It integrates Lemlist API, HubSpot CRM, Slack API, and OpenAI GPT for lead status updates, unsubscribes, deal creation, and follow-ups.</t>
  </si>
  <si>
    <t>Sync HubSpot Companies with Zendesk Organizations</t>
  </si>
  <si>
    <t>Automates syncing of recently modified HubSpot companies to Zendesk organizations every 5 mins using HubSpot and Zendesk APIs. Checks if organization exists to update or create. Uses n8n with HubSpot App Token and Zendesk API credentials.</t>
  </si>
  <si>
    <t>Zendesk-HubSpot Ticket Sync Automation</t>
  </si>
  <si>
    <t>Automates synchronization of support tickets and contacts between Zendesk and HubSpot using their APIs. Periodically updates or creates tickets in HubSpot from Zendesk tickets, manages contact data, and keeps external IDs in sync timestamps to enable seamless cross-platform support management.</t>
  </si>
  <si>
    <t>Company Profile Extractor &amp; Analyzer</t>
  </si>
  <si>
    <t>Automates extraction of company info from domains listed in Google Sheets. Uses HTTP requests, HTML extraction, OpenAI for AI-driven value proposition, industry, market &amp; audience classification, then updates Sheet. Tech: Google Sheets API, OpenAI API, n8n nodes.</t>
  </si>
  <si>
    <t>RabbitMQ to SMS Alert System</t>
  </si>
  <si>
    <t>An n8n workflow that listens to a RabbitMQ queue for temperature readings and sends SMS alerts via the Vonage API when a threshold is exceeded. It automates message processing using RabbitMQ trigger, conditional logic, and SMS notification.</t>
  </si>
  <si>
    <t>WooCommerce Product CRUD Workflow</t>
  </si>
  <si>
    <t>Automates creating, updating, and retrieving WooCommerce products using n8n's WooCommerce node and API integration. Enables manual execution to add a product, update its stock, and fetch product details seamlessly.</t>
  </si>
  <si>
    <t>WooCommerce to Mattermost Order Alert</t>
  </si>
  <si>
    <t>Automates sending a message on Mattermost when a new WooCommerce order is created. Uses WooCommerce API trigger and Mattermost API for real-time order notifications, improving team awareness and response speed for e-commerce operations.</t>
  </si>
  <si>
    <t>Export SQL Table to CSV File</t>
  </si>
  <si>
    <t>An n8n workflow that fetches data from a Microsoft SQL Server table and saves it as a CSV file. Utilizes Microsoft SQL API for querying, n8n spreadsheet node for CSV export, and supports further automation like emailing or uploading the file.</t>
  </si>
  <si>
    <t>Urgent Bug Alert from Linear to Slack</t>
  </si>
  <si>
    <t>Automates notifications for urgent bugs by triggering on Linear issue events, filtering by priority and label, transforming data, and sending alerts to Slack channels using Linear API, n8n workflow, and Slack API.</t>
  </si>
  <si>
    <t>API JSON to Google Sheets &amp; CSV Export</t>
  </si>
  <si>
    <t>Automates fetching JSON user data from randomuser.me via HTTP Request, then directly appends it into Google Sheets using Google Sheets API, and also converts selected data fields into a downloadable CSV file using n8n's Spreadsheet File node. Includes manual trigger and data mapping via Set node.</t>
  </si>
  <si>
    <t>Outlook Draft Email with Attachment Automation</t>
  </si>
  <si>
    <t>Automate creating, attaching files, and sending draft emails via Microsoft Outlook using n8n workflow. Integrates Microsoft Outlook API and HTTP Request node to fetch attachments, enabling streamlined email drafting and sending.</t>
  </si>
  <si>
    <t>Sync Discord Events to Google Calendar</t>
  </si>
  <si>
    <t>Automate syncing of Discord scheduled events to Google Calendar using Discord API and Google Calendar API. On a schedule, fetches events from a Discord server and creates or updates matching events in Google Calendar for seamless event management.</t>
  </si>
  <si>
    <t>Google Sheets to Discord Message Notifier</t>
  </si>
  <si>
    <t>Automates sending updated Google Sheets rows as formatted ASCII tables to a Discord channel using Google Sheets API, a custom JavaScript code node, and Discord webhooks. Ideal for real-time collaborative update notifications.</t>
  </si>
  <si>
    <t>Sync Outlook Calendar with Notion Database</t>
  </si>
  <si>
    <t>This n8n workflow automates syncing events from Microsoft Outlook Calendar to a Notion database. It fetches calendar events via Microsoft Graph API OAuth2, checks for existing pages in Notion, and creates or updates them accordingly.</t>
  </si>
  <si>
    <t>LangChain AI Chat &amp; Wikipedia Research</t>
  </si>
  <si>
    <t>An n8n workflow integrating OpenAI GPT-4o-mini via LangChain nodes for AI chat and a custom Wikipedia tool for research. It executes LLM chains and AI agents on manual trigger, enabling natural language queries and knowledge retrieval.</t>
  </si>
  <si>
    <t>LLM Data Parser with Auto-fixing</t>
  </si>
  <si>
    <t>n8n workflow using Langchain with OpenAI GPT-4o-mini to parse structured data about US states and cities. Includes prompt setup, validation via a JSON schema, and an auto-fixing LLM output parser to ensure data correctness and reprocess invalid outputs.</t>
  </si>
  <si>
    <t>Pinecone Vector DB Chat with Google Drive</t>
  </si>
  <si>
    <t>An n8n workflow that loads files from Google Drive, splits text content, embeds chunks using OpenAI embeddings, and inserts them into a Pinecone vector index. Enables chat interactions by retrieving relevant data chunks from Pinecone and answering via OpenAI GPT-4o-mini model.</t>
  </si>
  <si>
    <t>Slack AI Agent with Gilfoyle Persona</t>
  </si>
  <si>
    <t>An n8n workflow creating a Slack AI chat agent mimicking Gilfoyle's blunt persona from Silicon Valley. Uses Slack webhook, OpenAI GPT-4o-mini, LangChain AI agent with SerpAPI and Wikipedia tools, plus memory buffer for conversation context retention. Filters bot messages and posts AI replies in Slack channels.</t>
  </si>
  <si>
    <t>Google Drive Document Summarizer</t>
  </si>
  <si>
    <t>An n8n workflow that downloads a document from Google Drive, splits the text into chunks, and uses OpenAI GPT-4o-mini via Langchain to generate automated summaries. Integrates Google Drive API and OpenAI API for efficient document summarization.</t>
  </si>
  <si>
    <t>Customer Feedback Sentiment Analysis</t>
  </si>
  <si>
    <t>Automates capturing customer feedback via an n8n form, analyzes sentiment using OpenAI API, merges results with form data, and appends entries to Google Sheets. Integrates n8n formTrigger, OpenAI sentiment classification, and Google Sheets for streamlined feedback management.</t>
  </si>
  <si>
    <t>Email Validation &amp; Mailing List Automation</t>
  </si>
  <si>
    <t>Automates email capture and validation using n8n with Hunter.io for email verification and SendGrid to add valid emails to a mailing list, streamlining subscriber management via a custom form trigger.</t>
  </si>
  <si>
    <t>Sync Airtable Users to Mailchimp</t>
  </si>
  <si>
    <t>Automates user data synchronization by retrieving contact details from Airtable and creating subscriber entries in Mailchimp using n8n automation. Utilizes Airtable API, Mailchimp API, and a Cron trigger for scheduled execution to keep mailing lists updated.</t>
  </si>
  <si>
    <t>Google Calendar to Zoom Meeting Scheduler</t>
  </si>
  <si>
    <t>Automates scheduling Zoom meetings from Google Calendar events within the next 12 hours. Uses Google Calendar API to fetch events and Zoom API (OAuth2) to create meetings. Filters out canceled and specific event types to ensure relevant Zoom meetings are created.</t>
  </si>
  <si>
    <t>Google Sheets to Mailchimp Subscriber Sync</t>
  </si>
  <si>
    <t>Automates syncing email addresses from a Google Sheets range to a Mailchimp mailing list. Utilizes Google Sheets and Mailchimp APIs within n8n, triggered at set intervals to keep subscriber lists updated seamlessly.</t>
  </si>
  <si>
    <t>SMS Broadcast via Airtable &amp; Twilio</t>
  </si>
  <si>
    <t>Automates sending personalized SMS messages using Airtable to store contacts and Twilio API for messaging. Users trigger the workflow manually in n8n, which fetches phone numbers and names from Airtable and sends custom SMS via Twilio, streamlining bulk communication.</t>
  </si>
  <si>
    <t>Typeform Leads to WhatsApp via Twilio</t>
  </si>
  <si>
    <t>Automates sending Typeform survey leads directly to a WhatsApp number using Twilio. Utilizes Typeform webhook trigger, data parsing with n8n Set node, and Twilio API for messaging. Ideal for instant lead notification and follow-up.</t>
  </si>
  <si>
    <t>Twitter Mentions to RocketChat Alert</t>
  </si>
  <si>
    <t>Automates monitoring of @n8n_io Twitter mentions using Twitter API, filters new tweets, and posts notifications to RocketChat. Built with n8n nodes: Cron, Twitter, Function, Set, and RocketChat for real-time social media alerts.</t>
  </si>
  <si>
    <t>Twitter Search to Mattermost Alerts</t>
  </si>
  <si>
    <t>Automates Twitter search for 'n8n_io' using Twitter API every minute, filters new tweets, formats data, and sends detailed notifications to Mattermost channels. Utilizes Twitter OAuth1, n8n Cron, Function, Set, and Mattermost API nodes for real-time monitoring and alerting.</t>
  </si>
  <si>
    <t>Bulk Email Verification with Icypeas &amp; Google Sheets</t>
  </si>
  <si>
    <t>Automates bulk email verification using Icypeas API, Google Sheets for input data, and n8n for workflow orchestration. Reads emails from Google Sheets, authenticates via HMAC SHA1, and posts verification requests to Icypeas, streamlining large-scale email validation.</t>
  </si>
  <si>
    <t>AI Agent for Hacker News Top Posts</t>
  </si>
  <si>
    <t>An n8n workflow integrating Langchain's AI agent and OpenAI GPT-4o-mini to fetch, clean, and return the top 50 Hacker News posts in JSON. It uses n8n's Hacker News node and custom tool workflow features for interactive chat queries.</t>
  </si>
  <si>
    <t>Google Drive Folder File Sharing &amp; Link Generator</t>
  </si>
  <si>
    <t>Automates listing files from a specified Google Drive folder, changes their sharing status to public, and generates direct download links. Uses Google Drive API and n8n workflow automation to batch process files and produce shareable URLs efficiently.</t>
  </si>
  <si>
    <t>Crypto 24h Price Alert via Telegram</t>
  </si>
  <si>
    <t>Automates crypto price monitoring by fetching Binance's 24h ticker data, filters coins with ±15% changes, and sends aggregated alerts to a Telegram channel. Uses Binance HTTP API, n8n nodes, and Telegram Bot API for real-time market updates.</t>
  </si>
  <si>
    <t>Spotify Discover Weekly Auto-Archiver</t>
  </si>
  <si>
    <t>Automates weekly archiving of unique tracks from Spotify's Discover Weekly playlist to a user-created Archive playlist. Built with n8n using Spotify API, Cron scheduling, and data merging to prevent duplicates. Enhances music discovery management effortlessly.</t>
  </si>
  <si>
    <t>WordPress to Medium Blog Publisher</t>
  </si>
  <si>
    <t>Automates fetching latest blog posts from a WordPress site (using HTTP Request and HTML extraction), parses post titles and content, and publishes them on Medium via its API. Ideal for automated blog cross-posting and content repurposing.</t>
  </si>
  <si>
    <t>Strava to Beeminder Activity Logger</t>
  </si>
  <si>
    <t>Automates adding datapoints to Beeminder goals when new activities are created in Strava using Strava Trigger and Beeminder API nodes in n8n. Ideal for fitness tracking and goal monitoring.</t>
  </si>
  <si>
    <t>AI Chat Assistant with Memory &amp; Calculator</t>
  </si>
  <si>
    <t>An n8n workflow integrating OpenAI Assistant API with Langchain memory buffer and calculator tool to create a chat assistant supporting contextual memory and calculation capabilities. Enables conversational AI with session persistence and computation.</t>
  </si>
  <si>
    <t>Google Contacts: Create, Update &amp; Get Contact</t>
  </si>
  <si>
    <t>Automates creating, updating, and retrieving a contact in Google Contacts via n8n using the Google Contacts API with OAuth2. Enables workflow automation for managing contacts seamlessly within Google ecosystem.</t>
  </si>
  <si>
    <t>Daily Company News Email Reminder</t>
  </si>
  <si>
    <t>Automates sending daily emails with latest news about companies from your calendar meetings. Uses Google Calendar API to fetch meetings, NewsAPI to gather recent articles, and Gmail API to email formatted news summaries.</t>
  </si>
  <si>
    <t>HubSpot Contact Enrichment with ExactBuyer</t>
  </si>
  <si>
    <t>Automates enriching new HubSpot contacts using ExactBuyer API with OAuth2 authentication. On contact creation, it fetches the contact, uses email to get additional data from ExactBuyer, then updates HubSpot contact with enriched info like social profiles, job, and location.</t>
  </si>
  <si>
    <t>HubSpot Contact Outreach Automation</t>
  </si>
  <si>
    <t>Automates daily outreach emails to uncontacted HubSpot leads using Gmail and records engagement in HubSpot. Utilizes HubSpot API with OAuth2 for contact retrieval and engagement logging, plus Gmail API for sending personalized cold emails.</t>
  </si>
  <si>
    <t>Telegram AI Chatbot with OpenAI GPT</t>
  </si>
  <si>
    <t>An n8n workflow that triggers on Telegram messages, processes them using OpenAI GPT-4o-mini via Langchain AI Agent, and responds with helpful, emoji-rich replies. It integrates Telegram API and OpenAI API for interactive chat automation.</t>
  </si>
  <si>
    <t>HubSpot Contact Follow-Up Automation</t>
  </si>
  <si>
    <t>Automates follow-up outreach emails for HubSpot contacts using Gmail and HubSpot APIs via OAuth2. Runs daily at 9 am, filters contacts last contacted over 30 days ago with only one prior engagement, sends personalized emails, and records engagement in HubSpot CRM.</t>
  </si>
  <si>
    <t>Lead Qualification via Email Verification &amp; Scoring</t>
  </si>
  <si>
    <t>Automates lead qualification by collecting business emails via n8n form trigger, verifying email validity with Hunter API, scoring leads with MadKudu API, and sending Gmail alerts for high-fit leads. Integrates n8n, Hunter, MadKudu, and Gmail for smart lead management.</t>
  </si>
  <si>
    <t>Lead Qualification &amp; Notification via Form</t>
  </si>
  <si>
    <t>Automates lead capture from a web form using n8n Form Trigger, validates emails via Hunter API, scores leads with MadKudu API, and notifies qualified leads through Telegram. Ideal for smart B2B lead management and instant alerts.</t>
  </si>
  <si>
    <t>Google Indexing API Sitemap Automation</t>
  </si>
  <si>
    <t>Automates website URL indexing by extracting sitemap URLs, converting XML to JSON, and submitting each URL to Google's Indexing API with batch control and quota limit error handling. Tech: n8n, Google Indexing API, XML, HTTP Request.</t>
  </si>
  <si>
    <t>HubSpot Lead Alerts to Slack</t>
  </si>
  <si>
    <t>Automates lead monitoring by fetching new companies created in HubSpot within the last 5 minutes, filters those with annual revenue over $5M, and sends detailed Slack notifications to sales reps. Uses HubSpot API, Slack API, and n8n scheduling for real-time lead alerts.</t>
  </si>
  <si>
    <t>Euro Exchange Rate Webhook API</t>
  </si>
  <si>
    <t>An n8n workflow that fetches the latest Euro foreign exchange rates from ECB's XML API, converts the data to JSON, filters by requested currency via a webhook query, and responds with current exchange rate. Utilizes HTTP Request, XML to JSON conversion, and webhook triggers.</t>
  </si>
  <si>
    <t>Automated Viral Tweet Creator &amp; Scheduler</t>
  </si>
  <si>
    <t>An n8n workflow automating creation and scheduled posting of viral tweets every 6 hours using OpenAI GPT-4 Turbo for content generation and Twitter API for posting. Customizable influencer niche, style, and inspiration ensure on-brand, engagement-focused tweets.</t>
  </si>
  <si>
    <t>Slack Idea Capture to Notion Logger</t>
  </si>
  <si>
    <t>An n8n workflow enabling Slack slash command /idea to capture user ideas and log them automatically into a Notion database. It uses Slack Webhooks, Notion API, and n8n automation to streamline idea collection and collaboration.</t>
  </si>
  <si>
    <t>Slack Ideas to Google Sheets Logger</t>
  </si>
  <si>
    <t>Automates idea collection from Slack via a slash command (/idea), storing submissions in Google Sheets. Utilizes Slack API for command triggers, Google Sheets API for data storage, and n8n webhook and workflow nodes for integration and automation.</t>
  </si>
  <si>
    <t>Hourly RSS Feed Email Notifier</t>
  </si>
  <si>
    <t>An n8n workflow that checks multiple RSS feeds every hour for new posts published in the last hour and sends email notifications via Gmail. It uses RSS Feed Read, conditional date filtering, batching, and Gmail OAuth2 to keep users updated on fresh content automatically.</t>
  </si>
  <si>
    <t>Gmail Inbox Starred Email Archiver</t>
  </si>
  <si>
    <t>Automates Gmail inbox management by archiving all non-starred emails daily on workdays. Utilizes Gmail API via OAuth2 in n8n workflow to fetch emails, filter starred ones, and archive others, keeping inbox tidy and prioritized.</t>
  </si>
  <si>
    <t>Todoist Daily Task Automator</t>
  </si>
  <si>
    <t>Automates daily task creation in Todoist by copying template tasks with custom due dates from descriptions. Uses Todoist API, JavaScript for parsing, and n8n scheduling and filtering nodes to manage recurring daily tasks.</t>
  </si>
  <si>
    <t>n8n Slack Error Notifier</t>
  </si>
  <si>
    <t>An n8n workflow that triggers on any error in other workflows and sends a formatted alert message to a Slack channel (#alerts-n8n-workflows) using Slack API. Includes customizable error details and quick setup instructions.</t>
  </si>
  <si>
    <t>SEO Keyword Generator Webhook</t>
  </si>
  <si>
    <t>An n8n workflow that generates SEO keywords using Google Autocomplete API, processes XML response, aggregates and formats keyword suggestions into a clean array. Utilizes HTTP Request, XML parsing, and webhook nodes for dynamic keyword research automation.</t>
  </si>
  <si>
    <t>Telegram Error Alert Workflow</t>
  </si>
  <si>
    <t>An n8n error handling workflow that sends a Telegram alert with the failed workflow's name and execution link. Utilizes n8n errorTrigger, Set node, and Telegram API to notify via chat, ideal for monitoring automated workflows effectively.</t>
  </si>
  <si>
    <t>n8n Workflow Auto-Documenter</t>
  </si>
  <si>
    <t>This n8n workflow auto-generates concise documentation for n8n workflows using OpenAI's GPT-4. It accepts workflow JSON and title via a form, crafts a prompt, sends it to OpenAI API, and returns brief, SEO-friendly docs as HTML. Ideal for n8n users needing quick workflow summaries.</t>
  </si>
  <si>
    <t>Weekly Workflow Failure Reporter via Telegram</t>
  </si>
  <si>
    <t>Automates weekly reports of failed n8n workflow executions using n8n's API and Telegram Bot API. Fetches last 7 days' failed executions, compiles messages, and sends alerts to Telegram chat for prompt monitoring.</t>
  </si>
  <si>
    <t>Slack Command to ClickUp Task Creator</t>
  </si>
  <si>
    <t>Automate task creation in ClickUp from Slack slash commands. Uses Slack Webhook API, n8n for workflow automation, and ClickUp OAuth2 API to create tasks with command text. Simplifies managing tasks across Slack and ClickUp for teams.</t>
  </si>
  <si>
    <t>Automated Tweets Scheduler from Google Sheets</t>
  </si>
  <si>
    <t>n8n workflow automates posting tweets by fetching texts from a Google Sheets document every 6 hours and posting them on X (Twitter) via API. It uses Google Sheets OAuth2 for reading and deleting rows and Twitter OAuth2 for posting tweets, enabling scheduled social media updates.</t>
  </si>
  <si>
    <t>YouTube Video Upload &amp; Playlist Management</t>
  </si>
  <si>
    <t>Automates uploading a video to YouTube, creating a playlist, and adding the uploaded video to it using n8n workflow nodes with YouTube OAuth2 API and local file reading.</t>
  </si>
  <si>
    <t>YouTube Video Description Auto-Updater</t>
  </si>
  <si>
    <t>An n8n workflow that automates updating YouTube video descriptions by appending custom text. Uses YouTube OAuth2 API and n8n core nodes like Set, If, Manual Trigger to fetch videos, check for description changes, and update descriptions efficiently.</t>
  </si>
  <si>
    <t>Telegram AI Image Processor</t>
  </si>
  <si>
    <t>An n8n workflow integrating Telegram and OpenAI APIs to receive text prompts via Telegram, generate AI images with OpenAI, and send images back to the user on Telegram. Enhances real-time interactive communication with AI-powered image generation.</t>
  </si>
  <si>
    <t>Groundhogg CRM Mailing Address Verifier</t>
  </si>
  <si>
    <t>An n8n workflow that verifies new contact mailing addresses in Groundhogg CRM using Lob API for US address validation. It triggers via webhook, checks address deliverability, and updates the CRM by tagging verified or unverified addresses to streamline contact data accuracy.</t>
  </si>
  <si>
    <t>Google Slides Dynamic Image Replacer</t>
  </si>
  <si>
    <t>Automates replacing images in Google Slides via a webhook. Uses Google Slides API and n8n workflow to identify images by alt text and update them dynamically with new URLs. Ideal for updating presentations programmatically with OAuth2 authentication.</t>
  </si>
  <si>
    <t>Elevenlabs Text-to-Speech Webhook</t>
  </si>
  <si>
    <t>API workflow in n8n converting text to speech using Elevenlabs API. Accepts POST requests with voice_id and text, returns generated speech binary. Uses custom HTTP auth and webhook nodes for seamless TTS automation.</t>
  </si>
  <si>
    <t>Keap Contact Address Verification Automation</t>
  </si>
  <si>
    <t>Automates mailing address verification for new Keap CRM contacts using Lob API via webhook triggers. Tags contacts as deliverable or non-deliverable to trigger follow-up actions. Tech stack: Keap CRM webhook, Lob address verification API, n8n workflow automation.</t>
  </si>
  <si>
    <t>Daily Show HN Trending Email Alert</t>
  </si>
  <si>
    <t>Automates daily scraping of Hacker News front page using HTTP Request and HTML Extract nodes in n8n. Filters for 'Show HN:' posts, formats results in a Function node, and sends summary emails via Send Email node every day at 13:00. Useful for tech enthusiasts.</t>
  </si>
  <si>
    <t>Airtable SEO Meta Tag Auto-Fill</t>
  </si>
  <si>
    <t>Automates filling missing SEO title tags and meta descriptions in Airtable by fetching URLs, scraping their HTML title and meta description using Airtable API and HTTP Request node in n8n. Updates Airtable records, streamlining SEO data management.</t>
  </si>
  <si>
    <t>DOCX to PDF File Converter</t>
  </si>
  <si>
    <t>Automates converting DOCX documents to PDF using ConvertAPI. Downloads a DOCX file, sends it to ConvertAPI for format conversion, and saves the resulting PDF to disk. Utilizes HTTP requests, file handling, and ConvertAPI authentication.</t>
  </si>
  <si>
    <t>AI Movie Recommender with MongoDB</t>
  </si>
  <si>
    <t>An AI agent using OpenAI's chat model integrated with MongoDB aggregation to recommend and store favorite movies. It processes chat inputs, queries movies collection, and updates favorites, combining Langchain memory buffer and n8n workflows for seamless AI-driven movie management.</t>
  </si>
  <si>
    <t>n8n Default Error Handler Workflow</t>
  </si>
  <si>
    <t>An n8n workflow for automated error handling: detects workflow failures, fetches error workflow info via n8n API, updates workflows lacking error handlers, and sends failure notifications via Gmail OAuth2 email. Runs daily via schedule trigger.</t>
  </si>
  <si>
    <t>AI Web Scraper &amp; API Data Agent</t>
  </si>
  <si>
    <t>An n8n workflow using OpenAI's Chat Models, Langchain agents, and Firecrawl API to scrape web content and call external APIs for data. It enables AI agents to fetch, process, and respond with live web and API data in a streamlined manner.</t>
  </si>
  <si>
    <t>AI-Powered n8n Workflow Credential Query Agent</t>
  </si>
  <si>
    <t>This n8n workflow extracts and stores workflow credential metadata from the n8n API into a SQLite database, then uses OpenAI's GPT model with Langchain integration to create an AI agent that can query these credentials via natural language. It enables users to find workflows by app credentials via AI-powered SQL querying using n8n, SQLite, and OpenAI APIs.</t>
  </si>
  <si>
    <t>Auto Save Email Attachments to Google Drive</t>
  </si>
  <si>
    <t>This n8n workflow monitors Gmail for new emails with attachments, downloads them, and automatically uploads the files to Google Drive. It uses the Gmail Trigger node, a Function node to manage binary data, and Google Drive API integration to streamline file saving and organization.</t>
  </si>
  <si>
    <t>GitHub Repo Release Notifier with Slack</t>
  </si>
  <si>
    <t>Automates daily checks of latest GitHub releases for specified repos (n8n-io/n8n, home-assistant/core) using GitHub API, and sends Slack notifications for new releases. Utilizes n8n workflow with HTTP Request, Schedule Trigger, Slack nodes.</t>
  </si>
  <si>
    <t>Stripe Checkout Sessions Fetch &amp; Filter</t>
  </si>
  <si>
    <t>An n8n workflow that retrieves all Stripe checkout sessions from the last 20 days using Stripe API, paginates results, then splits and filters them by custom fields like nickname and job title for easy data processing and visualization.</t>
  </si>
  <si>
    <t>Confluence Page Creator from Template</t>
  </si>
  <si>
    <t>Automates creating Atlassian Confluence pages using REST API. Fetches a template, replaces placeholders with webhook input data, and posts a new page to a target space. Uses HTTP Basic Auth with Atlassian API keys and supports dynamic content generation.</t>
  </si>
  <si>
    <t>Daily Backup of n8n Workflows to Bitbucket</t>
  </si>
  <si>
    <t>Automates daily backup of all n8n workflows to a specified Bitbucket repository. Uses n8n API to fetch workflows, Bitbucket API for storage, and handles rate limiting with dynamic wait times to ensure smooth, uninterrupted backups.</t>
  </si>
  <si>
    <t>Zendesk Unassigned Tickets to Slack</t>
  </si>
  <si>
    <t>Automates sending unassigned Zendesk tickets with status and subject to a Slack channel using Zendesk API, Slack API, and n8n workflow automation. Runs daily at 16:30 to keep teams informed about pending support tickets.</t>
  </si>
  <si>
    <t>Candidate Resume AI Qualification</t>
  </si>
  <si>
    <t>Automates candidate resume screening by downloading PDFs from Google Drive, converting them to images via Stirling PDF API, then analyzing with Google's Gemini multimodal LLM to assess fit for a specific role. Uses n8n, Google Drive, Stirling PDF API, and Google Gemini.</t>
  </si>
  <si>
    <t>Passport Photo AI Validator Workflow</t>
  </si>
  <si>
    <t>An n8n workflow using Google Drive, Google Gemini AI vision model, and Langchain for AI-based validation of passport photos per UK government guidelines with structured output parsing.</t>
  </si>
  <si>
    <t>Google Ads SEO Keyword Volume Fetcher</t>
  </si>
  <si>
    <t>An n8n workflow using Google Ads API to fetch SEO keyword monthly search volumes, historical trends, difficulty scores, and competition metrics. Ideal for keyword research automation with up to 20 keywords input and customizable database integration.</t>
  </si>
  <si>
    <t>Automated Alert to Azure DevOps Task</t>
  </si>
  <si>
    <t>n8n workflow automates querying Elasticsearch daily at 12:15 to detect alerts and creates work items in Azure DevOps if alerts exist using Cron, Elasticsearch API, and Azure DevOps REST API with Basic Auth.</t>
  </si>
  <si>
    <t>Image Upload &amp; Optimization Workflow</t>
  </si>
  <si>
    <t>Automates image hosting on ImgBB with API key, optimizes images via ReSmush.it API, and optionally generates AI images using OpenAI. Converts local image files to optimized URLs for easy web use, combining ImgBB, ReSmush.it &amp; OpenAI in n8n.</t>
  </si>
  <si>
    <t>Sync YouTube Playlist Tracks to Spotify</t>
  </si>
  <si>
    <t>An n8n workflow to automate syncing tracks from a YouTube playlist to a Spotify playlist, avoiding duplicates. Uses YouTube and Spotify APIs with OAuth2, batch processing, dataset comparison, and track search for seamless playlist updates.</t>
  </si>
  <si>
    <t>Elastic Alert Email Notifier</t>
  </si>
  <si>
    <t>Automates monitoring of PRISM Elastic alerts and sends email notifications via Microsoft Graph API using OAuth2. Utilizes n8n nodes: Schedule Trigger, HTTP Request, If, and Email API integration for real-time alert management and communication.</t>
  </si>
  <si>
    <t>n8n Workflow GitHub Backup</t>
  </si>
  <si>
    <t>Automates backup of n8n workflows to a GitHub repository using n8n API and GitHub API. Periodically fetches workflows, checks for changes, and commits new or updated JSON files to GitHub for version control and safe storage.</t>
  </si>
  <si>
    <t>Auto-Update Zoom Meeting &amp; WP Redirect</t>
  </si>
  <si>
    <t>Automates creating Zoom recurring meetings via OAuth2, updates a WordPress page with a meta refresh redirect to the Zoom join URL, and notifies a Slack channel. Uses Zoom API, WordPress API, Slack API and a cron trigger for scheduling.</t>
  </si>
  <si>
    <t>Webflow Form to Google Sheets Logger</t>
  </si>
  <si>
    <t>Automates capturing form submissions from Webflow via webhook, processes data with custom JS, and appends it to Google Sheets. Uses Webflow API, Google Sheets API, and n8n code node for seamless form data archival and timestamping.</t>
  </si>
  <si>
    <t>Automated Weekly Dinner Meal Planner</t>
  </si>
  <si>
    <t>Scheduled weekly automation using n8n to create dinner meal plans from Mealie API. It fetches recipes by category, randomly selects configured number, and posts meal plans with configurable offsets. Utilizes HTTP authentication and JavaScript code for randomization.</t>
  </si>
  <si>
    <t>GitHub Release Notifier via Email</t>
  </si>
  <si>
    <t>Automates daily checks for the latest GitHub repo release using GitHub API, converts the release notes from Markdown to HTML, and sends an email notification via SMTP if a new release occurred in the last day.</t>
  </si>
  <si>
    <t>AI Chat Agent for Supabase PostgreSQL</t>
  </si>
  <si>
    <t>An n8n workflow integrating OpenAI and Supabase PostgreSQL to create an AI assistant that dynamically generates and executes SQL queries based on user chat input, enabling conversational database interaction and smart data retrieval without SQL expertise.</t>
  </si>
  <si>
    <t>YouTube Transcript Summarizer &amp; Telegram Notifier</t>
  </si>
  <si>
    <t>Automates retrieval of YouTube video transcripts, extracts and summarizes the content using OpenAI GPT-4o-mini via LangChain, then sends summarized insights via Telegram. Utilizes YouTube API, OpenAI, LangChain, and Telegram API for content analysis and notification.</t>
  </si>
  <si>
    <t>OnThisDay Hacker News Highlights Digest</t>
  </si>
  <si>
    <t>Automates daily collection of Hacker News front-page headlines for the same calendar day across multiple years, analyzes tech trends using Google Gemini LLM, and sends a categorized Markdown summary with source links via Telegram. Uses n8n, HTTP requests, HTML extraction, and Google PaLM API.</t>
  </si>
  <si>
    <t>Jira to Telegram Issue Notification</t>
  </si>
  <si>
    <t>Automates sending Jira issue updates to specific Telegram users. Uses Jira webhooks, processes events like issue creation, updates, and assignee changes, and sends formatted messages via Telegram Bot API. Ideal for teams tracking Jira tasks via Telegram.</t>
  </si>
  <si>
    <t>YouTube Video Summarizer</t>
  </si>
  <si>
    <t>Automates summarization of YouTube videos by extracting transcripts via Apify API and generating concise summaries using OpenAI's GPT via LangChain in n8n workflows. Ideal for content creators and researchers to quickly get key insights from long videos.</t>
  </si>
  <si>
    <t>PDF Data Extraction with Claude &amp; Gemini</t>
  </si>
  <si>
    <t>An n8n workflow that downloads a PDF from Google Drive, converts it to base64, and extracts data using AI models Claude 3.5 Sonnet and Google Gemini 2.0 Flash. Enables prompt customization to tailor extraction, comparing results from two top NLP APIs seamlessly.</t>
  </si>
  <si>
    <t>Google Drive PII Remover</t>
  </si>
  <si>
    <t>Automates removal of personally identifiable information (PII) from CSV files in Google Drive. Uses Google Drive API to monitor and process files, extracts data, identifies PII columns via OpenAI GPT-4o-mini, removes sensitive data, and uploads sanitized files back to Drive.</t>
  </si>
  <si>
    <t>Upwork Job Scraper &amp; Notifier</t>
  </si>
  <si>
    <t>Automates scraping of fresh Upwork job posts using Apify API, filters based on working hours, stores unique jobs in MongoDB, and sends notifications to Slack #general channel. Utilizes MongoDB, Slack API, Apify, and n8n's scheduling for continuous job updates.</t>
  </si>
  <si>
    <t>WooCommerce Rank Math SEO Updater</t>
  </si>
  <si>
    <t>Automates updating Rank Math SEO metadata on WooCommerce products via WordPress REST API. Utilizes n8n workflow with HTTP Request node and WordPress API credentials to set SEO title, description, and canonical URL, improving product SEO efficiently.</t>
  </si>
  <si>
    <t>GitLab Merge Request Automation</t>
  </si>
  <si>
    <t>An n8n workflow automating GitLab merge request lifecycle: checks, creates MRs, adds comments, closes or merges them. Uses GitLab API via HTTP Requests and includes scheduling, conditional logic, and wait timers for pipeline completion.</t>
  </si>
  <si>
    <t>Google Drive Workflow Backup Automation</t>
  </si>
  <si>
    <t>Automates scheduled backups of n8n workflows by exporting workflow data as JSON files and saving them into date-stamped folders on Google Drive. Utilizes n8n API, Google Drive OAuth2, and scheduled triggers for streamlined backup management.</t>
  </si>
  <si>
    <t>Export WordPress Posts to Google Drive CSV</t>
  </si>
  <si>
    <t>This n8n workflow exports published WordPress posts by fetching them via WordPress API, adjusts relevant fields, converts data to CSV, and uploads the file to Google Drive using service account authentication. Ideal for automated WordPress content backups or integrations.</t>
  </si>
  <si>
    <t>Daily Server Update Notification Emailer</t>
  </si>
  <si>
    <t>Automates daily checks of upgradable packages on a VPS via SSH, formats the list into HTML, and sends email notifications through SMTP to alert server admins about pending updates. Utilizes SSH node, JavaScript code node, and SMTP email in n8n.</t>
  </si>
  <si>
    <t>VPS Resource Monitor and Alert System</t>
  </si>
  <si>
    <t>Automates VPS resource checks (CPU, RAM, Disk) every 15 minutes via SSH commands. Uses n8n schedule trigger, SSH node for system stats, SQL merge and IF node for threshold comparison, and sends email alerts via SMTP if usage exceeds 80%.</t>
  </si>
  <si>
    <t>Bulk File Upload to Google Drive</t>
  </si>
  <si>
    <t>An n8n workflow for batch uploading multiple files via a form to Google Drive. It checks for an existing folder by name, creates the folder if missing, and uploads files preserving original names. Uses Google Drive API, n8n form trigger, and custom JS code for file handling.</t>
  </si>
  <si>
    <t>Exponential Backoff Retry for Google APIs</t>
  </si>
  <si>
    <t>This n8n workflow implements an exponential backoff strategy to handle rate limits and errors when interacting with Google APIs (e.g., Google Sheets). It uses n8n nodes including Google Sheets API via service account, code node for backoff logic, wait node for delays, and error handling to retry up to 5 times with increasing delays.</t>
  </si>
  <si>
    <t>Export Postgres Data to Excel File</t>
  </si>
  <si>
    <t>This workflow connects to a PostgreSQL database to run a SQL query retrieving product names and EANs, converts the result into an Excel spreadsheet, and saves it as a binary XLS file locally. Utilizes Postgres node, Spreadsheet File node, and Write Binary File node in n8n.</t>
  </si>
  <si>
    <t>AI Linux SysAdmin via SSH Automation</t>
  </si>
  <si>
    <t>An n8n workflow that enables an AI agent (GPT-4o via OpenAI API) to act as a Linux system administrator. It receives chat commands, interprets user intent for Linux VPS management, generates safe SSH commands, and executes them remotely using SSH node, enhancing VPS management automation.</t>
  </si>
  <si>
    <t>WordPress Article Text-to-Speech Automation</t>
  </si>
  <si>
    <t>Automates retrieval of WordPress articles, generates summaries or transcriptions with OpenAI GPT-4o-mini, converts text to speech using Eleven Labs API, uploads MP3 to WordPress, and updates the post. Integrates WordPress API, LangChain, OpenAI, and Eleven Labs TTS.</t>
  </si>
  <si>
    <t>AI Video Generator with HeyGen &amp; n8n</t>
  </si>
  <si>
    <t>Automates AI video creation using HeyGen API within n8n. Input text, avatar, and voice IDs to generate and monitor video status. Utilizes HTTP Request, Wait, and If nodes for orchestration. Perfect for creating customizable AI avatar videos programmatically.</t>
  </si>
  <si>
    <t>Automated n8n Workflow Backup to Google Drive</t>
  </si>
  <si>
    <t>This n8n workflow automatically backs up all n8n workflows daily at 01:30 by retrieving them via the n8n API, encoding the data into JSON files, and uploading them to a specified Google Drive folder. Tech stack: n8n, n8n API, Google Drive API.</t>
  </si>
  <si>
    <t>Google Doc Auto-Fill from Web Form</t>
  </si>
  <si>
    <t>This workflow collects form input via n8n Form Trigger, copies a Google Docs template, and replaces placeholders with submitted form data using Google Drive and Google Docs APIs. Enables dynamic document generation from user-submitted fields.</t>
  </si>
  <si>
    <t>Real Estate Appointment Voice Reminder</t>
  </si>
  <si>
    <t>An automated workflow using Google Calendar API, OpenAI GPT-4o-mini for message creation, ElevenLabs Text-to-Speech API to generate voice reminders, and Gmail for sending MP3 voice appointment reminders. Designed for real estate agents to remind clients professionally.</t>
  </si>
  <si>
    <t>Shopify Orders to Google Sheets Sync</t>
  </si>
  <si>
    <t>Automates retrieving Shopify store orders using Shopify API, handles pagination with page_info, and appends/upserts order data (id, note, email, processed_at) into Google Sheets via Google Sheets API. Includes scheduling and manual triggers.</t>
  </si>
  <si>
    <t>Squarespace to Mailchimp Contact Sync</t>
  </si>
  <si>
    <t>Automates adding Squarespace newsletter signups to Mailchimp audience using Google Sheets and Mailchimp APIs. Scheduled or manual triggers ensure new contacts sync despite Squarespace-Mailchimp limitations, improving newsletter audience management.</t>
  </si>
  <si>
    <t>Telegram Chinese Vocabulary Tutor Bot</t>
  </si>
  <si>
    <t>An n8n workflow automating a Telegram bot to tutor users in Chinese vocabulary using Google Sheets for word lists, OpenAI GPT-4o-mini via Langchain for interactive MCQs, with session memory and feedback. Ideal for language learners.</t>
  </si>
  <si>
    <t>Shopify Automated Fulfillment Workflow</t>
  </si>
  <si>
    <t>An n8n workflow automating Shopify order fulfillment by fetching unfulfilled orders, filtering those older than 24 hours, retrieving fulfillment orders via Shopify API, and marking them fulfilled with customer notification. Uses Shopify REST API and n8n core nodes.</t>
  </si>
  <si>
    <t>n8n AI Assistant for Tool Discovery</t>
  </si>
  <si>
    <t>An n8n workflow integrating Langchain chat triggers, OpenAI GPT-4o-mini, and n8n Multi-Channel Platform API to provide an AI assistant. It interacts with users' chat queries about n8n, dynamically looks up and executes relevant tools, delivering tailored, actionable responses on n8n usage and resources.</t>
  </si>
  <si>
    <t>MediaMarkt Deals Email Notifier</t>
  </si>
  <si>
    <t>Automates retrieval of MediaMarkt Spain deals using BrightData proxy, extracts and classifies deal info with OpenAI GPT-4o-mini, generates HTML emails via n8n Document Generator, and emails personalized top deals based on user-selected categories. Tech stack: BrightData API, OpenAI API, SMTP email, n8n workflow automation.</t>
  </si>
  <si>
    <t>AI Supply Chain SQL Assistant with BigQuery</t>
  </si>
  <si>
    <t>Workflow integrates OpenAI GPT-4o-mini with an AI agent specialized in SQL for supply chain analytics on BigQuery. It processes user chat input, generates SQL, executes it on Google BigQuery, and returns structured shipment performance results.</t>
  </si>
  <si>
    <t>Notion To Do to Slack Reminder</t>
  </si>
  <si>
    <t>Automates daily checks of Notion to-dos assigned to a specific user, sending reminders via Slack DMs. Utilizes Notion API for task retrieval and Slack API for messaging, triggered every morning at 8AM to streamline task management and notifications.</t>
  </si>
  <si>
    <t>Weekly Missing Project Budget Alert</t>
  </si>
  <si>
    <t>Automates weekly monitoring of open external projects with zero budgeted cost from a MySQL database. Uses n8n's MySQL, Switch node for cost center routing, and Microsoft Outlook API to send tailored HTML email alerts to respective cost center teams for timely budget updates.</t>
  </si>
  <si>
    <t>Gmail Newsletter to LinkedIn Auto Posts</t>
  </si>
  <si>
    <t>An n8n workflow that reads newsletters from Gmail, uses OpenAI to extract and summarize key news items, then auto-generates witty LinkedIn posts for each item. Integrates Gmail API, OpenAI API (o3-mini-2025-01-31 model), and LinkedIn API for seamless content automation.</t>
  </si>
  <si>
    <t>Automated Resume Screener from Gmail to Sheets</t>
  </si>
  <si>
    <t>This n8n workflow automates screening resumes received as email attachments in Gmail. It extracts PDF text, uses OpenAI GPT-4o-mini via Langchain to analyze and score resumes, extracts contact info, and saves results to a Google Sheets document. Tech stack: Gmail API, Google Sheets API, OpenAI GPT-4o-mini, Langchain integration.</t>
  </si>
  <si>
    <t>Incident Resolution &amp; Notification Automation</t>
  </si>
  <si>
    <t>Automates incident status updates by integrating PagerDuty, Jira, and Mattermost via n8n. Resolves incidents in PagerDuty, updates Jira issue status, and posts closure notifications to Mattermost channels, streamlining IT incident management workflows.</t>
  </si>
  <si>
    <t>Dynamic Line Chart Generator with Google Drive Upload</t>
  </si>
  <si>
    <t>Creates a dynamic line chart from JSON data using QuickChart API in n8n and uploads the image to Google Drive. Includes a manual trigger, customizable input data, and flexible chart options for easy visualization and sharing.</t>
  </si>
  <si>
    <t>Error Notification via Mattermost &amp; Twilio</t>
  </si>
  <si>
    <t>An n8n workflow that triggers on errors, sends detailed error notifications to Mattermost, and then sends an SMS alert via Twilio. Utilizes n8n errorTrigger node, Mattermost API, and Twilio API to provide real-time monitoring and multi-channel alerting.</t>
  </si>
  <si>
    <t>Upload Photo to SharePoint via Microsoft Graph</t>
  </si>
  <si>
    <t>Automates uploading a photo to a SharePoint folder using Microsoft Graph API with OAuth2 client credentials. Utilizes HTTP Request and Set nodes in n8n to authenticate, fetch test image, set destination, and upload binary data securely.</t>
  </si>
  <si>
    <t>OpenAI Image Generation and Editing Workflow</t>
  </si>
  <si>
    <t>An n8n workflow using OpenAI's GPT-image-1 model to generate images from prompts and edit them by adding elements like masks with horns. Features manual trigger, multipart upload, and conversion between base64 and binary PNG files. Ideal for creative image automation.</t>
  </si>
  <si>
    <t>Facebook Lead Ads to KlickTipp Automation</t>
  </si>
  <si>
    <t>Automates lead capture from Facebook Lead Ads into KlickTipp CRM. Utilizes Facebook Lead Ads Trigger and KlickTipp API nodes in n8n to sync lead data with mapped custom fields and tags for personalized email campaigns and segmentation.</t>
  </si>
  <si>
    <t>Lead Capture &amp; WhatsApp CRM Automation</t>
  </si>
  <si>
    <t>An n8n workflow automating lead capture via webhook, logging leads in Google Sheets, adding contacts to FluentCRM via its API, sending welcome emails, and WhatsApp messages using Whinta API, then updating CRM tags. Streamlines lead nurturing for small businesses using Google Sheets, FluentCRM, SMTP, and Whinta.</t>
  </si>
  <si>
    <t>Google Autocomplete Keyword Generator A-Z</t>
  </si>
  <si>
    <t>An n8n workflow that generates keyword queries by appending each letter A-Z to a base keyword, queries Google Autocomplete API to retrieve popular search suggestions, and aggregates results. Utilizes n8n code nodes, HTTP request node, and batch processing to prevent API blocking.</t>
  </si>
  <si>
    <t>AI-Triaged Support Ticket Creation</t>
  </si>
  <si>
    <t>Automates support ticket creation by monitoring a Microsoft Outlook shared inbox, using OpenAI GPT-4o-mini to triage and label tickets, then creating issues in JIRA. Tech stack: Outlook API, OpenAI LLM, JIRA API, n8n automation platform.</t>
  </si>
  <si>
    <t>Web Scraper &amp; Product Extractor with GPT-4</t>
  </si>
  <si>
    <t>Automates scraping product data via Brightdata API, cleans HTML, and extracts structured info using OpenRouter GPT-4.1 and Langchain parsers, storing results in Google Sheets. Ideal for e-commerce and market research workflows.</t>
  </si>
  <si>
    <t>OpenAI Email Classifier &amp; Extractor</t>
  </si>
  <si>
    <t>An n8n workflow automating email processing: reads emails via IMAP, extracts PDF attachments, classifies emails into categories using OpenAI GPT-4o, and extracts applicant details with LangChain nodes. Ideal for automating job application and inquiry triage.</t>
  </si>
  <si>
    <t>Automated PDF to HTML Converter</t>
  </si>
  <si>
    <t>An n8n workflow that triggers on new PDFs in Google Drive, uses PDF.co API to convert PDFs to HTML, and saves the HTML back to Google Drive. Automates document conversion using Google Drive and PDF.co API for efficient web-ready file creation.</t>
  </si>
  <si>
    <t>Clockify to Syncro Time Tracker Sync</t>
  </si>
  <si>
    <t>Automates time entry synchronization from Clockify to Syncro MSP using n8n. It captures time tracking data via webhook, matches users, updates or creates timers on Syncro via API, and logs entries in Google Sheets. Tech stack: Clockify API, Syncro MSP API, Google Sheets, n8n workflow automation.</t>
  </si>
  <si>
    <t>NameCheap Dynamic DNS Updater</t>
  </si>
  <si>
    <t>Automates updating DNS records on NameCheap via their Dynamic DNS API. Uses n8n workflow with Cron for scheduling, IP check to avoid redundant updates, and HTTP Request nodes for API calls. Ideal for users managing dynamic IPs on multiple subdomains.</t>
  </si>
  <si>
    <t>TheHive &amp; SIGNL4 Alert Automation</t>
  </si>
  <si>
    <t>An automated security alert system using TheHive API for incident management and SIGNL4 for alert notifications and resolution. It includes webhook triggers, conditional checks, and supports efficient security operations automation.</t>
  </si>
  <si>
    <t>Crosspost Articles to Medium &amp; Dev.to</t>
  </si>
  <si>
    <t>Automates posting of articles received via webhook to Medium (using Medium API) and Dev.to (using their REST API). Uses n8n webhook node for data intake and formats posts in Markdown for seamless cross-platform publishing.</t>
  </si>
  <si>
    <t>Shopify to Odoo Product Sync</t>
  </si>
  <si>
    <t>Automates syncing of new Shopify products to Odoo ERP by detecting new product creation events via Shopify API webhook and updating/creating matching products in Odoo using its API. Built with n8n using Shopify Trigger, Odoo nodes, and custom JS code.</t>
  </si>
  <si>
    <t>Google Webpage Entity Extraction</t>
  </si>
  <si>
    <t>Extract named entities from any webpage by sending its URL to a webhook that fetches content and uses Google Natural Language API. Tech stack: n8n, HTTP Request, Google Cloud Natural Language API. Returns structured entity data like people, locations, orgs with salience.</t>
  </si>
  <si>
    <t>Email Threat Analysis Automation</t>
  </si>
  <si>
    <t>Automates email threat detection by reading IMAP emails, creating cases in TheHive, analyzing attachments with Cortex analyzers, and updating observables like domain, IP, and email using TheHive and Cortex APIs for cybersecurity incident response.</t>
  </si>
  <si>
    <t>Zammad Support Tickets Summary</t>
  </si>
  <si>
    <t>Automates daily retrieval and categorization of Zammad support tickets using Zammad API, filtering by status, and sends a summary notification to Zulip chat for customer support teams, scheduled via cron for standup meetings.</t>
  </si>
  <si>
    <t>CFP Submission Selection &amp; Visualization</t>
  </si>
  <si>
    <t>An n8n workflow integrating Airtable, Bannerbear, and Trello to automate selection and visualization of conference talks scoring above 15. It pulls submissions from Airtable, creates custom banners via Bannerbear API, and organizes selected proposals on Trello boards.</t>
  </si>
  <si>
    <t>Automated Receipt Expense Tracker</t>
  </si>
  <si>
    <t>An n8n workflow that automates expense tracking by capturing receipt images via Typeform, extracting details with Mindee's OCR API, and storing expenses in Airtable for easy management and review.</t>
  </si>
  <si>
    <t>Workflow Failure SMS Alert via Twilio</t>
  </si>
  <si>
    <t>This n8n workflow uses an Error Trigger node and Twilio API integration to send an SMS notification when any workflow fails. It helps monitor workflow executions by alerting users immediately via SMS, ensuring quick response to failures.</t>
  </si>
  <si>
    <t>Figma to Jira Auto Version Commenter</t>
  </si>
  <si>
    <t>Automates updating Jira issues with design version info from Figma using n8n. Integrates Figma webhook (file version updates) and Jira Cloud API to find issues and add version comments. Requires Figma Commit Plugin and Jira credentials configured.</t>
  </si>
  <si>
    <t>Perplexity AI Research Assistant</t>
  </si>
  <si>
    <t>An n8n workflow integrating Perplexity AI's Sonar model via HTTP API to answer research queries. It formats user prompts, sends them to Perplexity AI, and extracts clean, in-depth responses for knowledge discovery and content research automation.</t>
  </si>
  <si>
    <t>AI Pizza Order Chatbot with OpenAI &amp; HTTP APIs</t>
  </si>
  <si>
    <t>This n8n workflow implements Pizzaro, an AI-powered pizza ordering chatbot using OpenAI (ChatGPT) and Langchain nodes. It manages customer orders by retrieving product info, processing orders, and checking status via HTTP webhooks, enhanced with calculator and memory tools.</t>
  </si>
  <si>
    <t>Slack GitHub User Info Fetcher</t>
  </si>
  <si>
    <t>An n8n workflow that fetches GitHub user details including name, company, location, avatar, and emails via GitHub GraphQL API, triggered by Slack messages using Slack webhook and OAuth2 integration.</t>
  </si>
  <si>
    <t>Google Sheets to Mautic Contact Sync</t>
  </si>
  <si>
    <t>Automates syncing contacts from Google Sheets to Mautic CRM every 5 minutes using Google Sheets API and Mautic API via n8n workflow.</t>
  </si>
  <si>
    <t>Product Feedback Collector &amp; Manager</t>
  </si>
  <si>
    <t>Automates collecting product feedback via Typeform, stores responses in Airtable, and routes low-score feedback to Trello for team review. Integrates Typeform API, Airtable API, and Trello API to streamline feedback management and prioritize action items efficiently.</t>
  </si>
  <si>
    <t>GPT-4o Chatbot with Brave Search Integration</t>
  </si>
  <si>
    <t>An AI chatbot workflow using n8n, featuring GPT-4o via OpenAI, Brave Search API through MCP Client Tools, and short-term memory. It processes chat queries, executes web searches, and provides enriched responses, ideal for developers integrating AI search chatbots.</t>
  </si>
  <si>
    <t>IoT Sensor Data Logger via MQTT &amp; InfluxDB</t>
  </si>
  <si>
    <t>An n8n workflow that uses MQTT to receive temperature and humidity data from a remote ESP32 with DHT22 sensor, processes the data with JavaScript, and stores it into an InfluxDB time-series database via HTTP API. Ideal for IoT sensor monitoring.</t>
  </si>
  <si>
    <t>OpenAI Text-to-Speech Workflow</t>
  </si>
  <si>
    <t>An n8n workflow that converts text to speech using OpenAI's TTS API. It accepts text and voice parameters, sends an authenticated HTTP POST request to the OpenAI audio/speech endpoint, and outputs an .mp3 audio file. Designed for easy manual or automated triggering.</t>
  </si>
  <si>
    <t>Twitter Sentiment ETL Pipeline</t>
  </si>
  <si>
    <t>Automates daily extraction of #OnThisDay tweets via Twitter API, stores raw tweets in MongoDB, analyzes sentiment using Google Cloud Natural Language API, saves enriched data in PostgreSQL, and sends positive sentiment alerts to Slack. Built with n8n integration platform.</t>
  </si>
  <si>
    <t>Weather Info Fetcher via Webhook</t>
  </si>
  <si>
    <t>An n8n workflow that fetches current weather data for a specified city using OpenWeatherMap API triggered by a webhook. It extracts temperature, humidity, wind speed, description, and city info, delivering structured weather details. Built with n8n, OpenWeatherMap API.</t>
  </si>
  <si>
    <t>Weather SMS Notification via Webhook &amp; Airtable</t>
  </si>
  <si>
    <t>n8n workflow receives POST webhook with user data, stores it in Airtable, fetches current weather via OpenWeatherMap API for the specified city, then sends weather details by SMS using Twilio. Integrates Webhook, Airtable, OpenWeatherMap, and Twilio APIs.</t>
  </si>
  <si>
    <t>Receipt OCR to Airtable Logger</t>
  </si>
  <si>
    <t>Automates receipt data extraction using Mindee OCR API from uploaded receipts via webhook, then logs categorized expense details like merchant, date, total, and currency into Airtable. Uses n8n webhook, Mindee OCR, and Airtable API for expense tracking automation.</t>
  </si>
  <si>
    <t>Receipt Data Extraction via Mindee API</t>
  </si>
  <si>
    <t>Automates extracting detailed information from receipt images using Mindee OCR API. Retrieves an image via HTTP request, then extracts structured data like totals, dates, and vendor info. Useful for expense tracking and accounting automation.</t>
  </si>
  <si>
    <t>Weekly Coffee Group Bot for Mattermost</t>
  </si>
  <si>
    <t>Automates weekly virtual coffee meetups by grouping Mattermost users into random teams of 3 and sending invites via Google Calendar. Utilizes Mattermost API, Google Calendar API, cron scheduling, and JavaScript for dynamic group creation to foster team bonding.</t>
  </si>
  <si>
    <t>Daily Language Learning with Hacker News</t>
  </si>
  <si>
    <t>Automates daily extraction of top 3 Hacker News article titles, extracts and translates unique words to German using LingvaNex API, stores results in Airtable, and sends a curated vocabulary list via SMS with Vonage API.</t>
  </si>
  <si>
    <t>WooCommerce New Product Alert to Slack</t>
  </si>
  <si>
    <t>Automates notifications in Slack for new WooCommerce product creations. Utilizes WooCommerce API webhook trigger to capture new product events and Slack API to send detailed messages including product name, price, sale price, link, and creation date to a specified Slack channel.</t>
  </si>
  <si>
    <t>n8n Workflow GitHub Backup Sync</t>
  </si>
  <si>
    <t>Automates backup and synchronization of n8n workflows to a GitHub repo using n8n HTTP Request, GitHub API, and JavaScript. It detects new, changed, or identical workflows and updates GitHub accordingly. Scheduled to run daily for workflow backup automation.</t>
  </si>
  <si>
    <t>OpenAI Image Editing with Chat Trigger</t>
  </si>
  <si>
    <t>Automate image editing using OpenAI ImageGen API triggered by chat messages. Uses n8n workflow with HTTP Request node to call OpenAI, converts response to file, supports image input via chat webhook, enabling seamless AI-based image editing and integration into custom automations.</t>
  </si>
  <si>
    <t>WooCommerce New Order Alert to Slack</t>
  </si>
  <si>
    <t>An n8n workflow that triggers on new WooCommerce orders over $100 and sends detailed notifications to a Slack channel. Integrates WooCommerce webhook API with Slack API to automate real-time order alerts for efficient sales tracking.</t>
  </si>
  <si>
    <t>Google Sheets to Orbit Member Sync</t>
  </si>
  <si>
    <t>Sync and upsert member and activity data from Google Sheets to Orbit workspace using Google Sheets API and Orbit API integration in n8n. Automates community metrics management with OAuth2 authentication and data merging by GitHub usernames.</t>
  </si>
  <si>
    <t>Automizy Contact List Management</t>
  </si>
  <si>
    <t>This n8n workflow uses Automizy's API to create a contact list, add a new contact, update contact tags, and retrieve all contacts in the list. It automates email marketing contact management seamlessly.</t>
  </si>
  <si>
    <t>Daily Weather Push Notifications via Pushcut</t>
  </si>
  <si>
    <t>Automates sending daily 9AM weather updates for Berlin using OpenWeatherMap API and Pushcut push notifications in n8n. Ideal for timely personalized weather alerts leveraging cron scheduling and No-Code automation.</t>
  </si>
  <si>
    <t>Matrix Room Creation &amp; Invitation Workflow</t>
  </si>
  <si>
    <t>Automates creating a Matrix chat room, inviting members from another room, and sending a welcome message. Utilizes Matrix API for room and user management, with conditional logic to avoid re-inviting the creator, enabling seamless community onboarding.</t>
  </si>
  <si>
    <t>WooCommerce Customer Sync to Mautic</t>
  </si>
  <si>
    <t>Automates syncing WooCommerce customers to Mautic CRM using WooCommerce webhooks and Mautic API with OAuth2. Checks if customer exists in Mautic, then creates or updates contact. Ideal for seamless marketing integration and CRM updates.</t>
  </si>
  <si>
    <t>Daily Weather SMS via Vonage</t>
  </si>
  <si>
    <t>Automates sending daily weather updates for Berlin at 9 AM using OpenWeatherMap API and Vonage SMS service via n8n workflow with Cron scheduling.</t>
  </si>
  <si>
    <t>WooCommerce New Product Announcement to Twitter &amp; Telegram</t>
  </si>
  <si>
    <t>Automates announcing new WooCommerce products on Twitter and Telegram. Uses WooCommerce webhook trigger, Twitter API, and Telegram API to post customized new product messages instantly, enhancing social media marketing and customer engagement.</t>
  </si>
  <si>
    <t>Google Sheets to Mattermost Alert</t>
  </si>
  <si>
    <t>Automates monitoring of a Google Sheet using OAuth2, checks for new entries every 45 minutes, and sends real-time Mattermost notifications with new data details. Utilizes n8n workflow nodes: Google Sheets API, custom JavaScript function, interval trigger, and Mattermost API.</t>
  </si>
  <si>
    <t>AI Chat Enhancer with Bright Data Search</t>
  </si>
  <si>
    <t>Enhances chat responses by integrating Google Gemini AI with real-time web search via Bright Data MCP Client tools (Google, Bing, Yandex). Automates AI agent queries, uses memory buffering, and sends notifications via webhook. Ideal for informed, dynamic chat assistants.</t>
  </si>
  <si>
    <t>Telegram AI Messaging Agent (Text/Audio/Image)</t>
  </si>
  <si>
    <t>An n8n workflow integrating Telegram Bot API and OpenAI to handle Telegram messages via webhook. It processes text, voice (audio), and images with AI models for transcription, classification, and analysis, enabling intelligent interaction and automation.</t>
  </si>
  <si>
    <t>AI-Powered Google Calendar MCP Server</t>
  </si>
  <si>
    <t>This n8n workflow integrates OpenAI's GPT-4o model with Google Calendar API to build an AI assistant managing calendar events via MCP server-client tools. It supports creating, updating, deleting, and searching events, plus additional AI utilities like text case conversion, joke retrieval, and random user data generation.</t>
  </si>
  <si>
    <t>Typeform to Airtable with Slack Alert</t>
  </si>
  <si>
    <t>Automates form submission handling by triggering on Typeform responses, extracting name and email, appending them to Airtable, and sending a Slack notification. Uses Typeform API, Airtable API, and Slack API for seamless data flow and real-time alerts.</t>
  </si>
  <si>
    <t>Invoice Email Alert &amp; Approval Automation</t>
  </si>
  <si>
    <t>Automates invoice detection from Gmail using IMAP, extracts total amounts with Mindee Invoice API, sends Slack alerts, and emails finance manager for high-value invoices above $1000. Integrates Gmail, Mindee, Slack, and SMTP for seamless invoice workflow.</t>
  </si>
  <si>
    <t>Daily Weather Push Notification</t>
  </si>
  <si>
    <t>Automates daily weather updates for Berlin via OpenWeatherMap API, sending temperatures as push notifications using Pushover. Triggered by a Cron job running at 9 AM. Ideal for users wanting timely, automatic local weather alerts on their devices.</t>
  </si>
  <si>
    <t>SecurityScorecard Report Automation</t>
  </si>
  <si>
    <t>An n8n workflow automating the generation and download of full SecurityScorecard reports for a given domain using the SecurityScorecard API. It triggers manually and sequentially fetches, limits, then downloads JSON scorecard data for security insights.</t>
  </si>
  <si>
    <t>GetResponse to Airtable Subscriber Logger</t>
  </si>
  <si>
    <t>Automates capturing new GetResponse email subscribers via webhook and appends their name and email to an Airtable base. Uses GetResponse API webhook triggers and Airtable API integration to streamline email list management.</t>
  </si>
  <si>
    <t>QuickBooks Invoice Automation Workflow</t>
  </si>
  <si>
    <t>Automates customer creation, invoice generation, and email sending in QuickBooks using OAuth2 API integration within n8n workflow. Streamlines accounting tasks by chaining customer creation, invoice creation, and invoice emailing efficiently.</t>
  </si>
  <si>
    <t>Twitter Mention Alert to Slack</t>
  </si>
  <si>
    <t>Automates monitoring Twitter for mentions of a specified company every 10 minutes using Twitter API; formats tweet info and posts alerts to Slack channel. Utilizes n8n, Twitter OAuth1 API, Slack API.</t>
  </si>
  <si>
    <t>MailerLite Subscriber Management Workflow</t>
  </si>
  <si>
    <t>n8n workflow integrates with MailerLite API to create, update, and retrieve email subscribers. It automates managing subscriber data including custom fields like city using MailerLite nodes triggered manually. Ideal for email marketing automation.</t>
  </si>
  <si>
    <t>Weather Info via Webhook API</t>
  </si>
  <si>
    <t>An n8n workflow that provides current weather data via a webhook. Utilizes OpenWeatherMap API to fetch temperature and 'feels like' info based on city query parameters, returning formatted weather details in English.</t>
  </si>
  <si>
    <t>Typeform to PDF Invoice Automation</t>
  </si>
  <si>
    <t>Automates invoice generation by triggering on Typeform submissions and using APITemplate.io to create customized PDF invoices. Utilizes Typeform API for form data capture and APITemplate.io API for dynamic PDF creation and download.</t>
  </si>
  <si>
    <t>Wise Transfer Event to Airtable Logger</t>
  </si>
  <si>
    <t>Automates logging of Wise money transfer events into Airtable by triggering on transfer state changes using Wise API, then fetching transfer details and appending structured data (ID, date, reference, amount) to Airtable. Integrates Wise API and Airtable with n8n workflow.</t>
  </si>
  <si>
    <t>Google Trends Data Extract &amp; Summarize</t>
  </si>
  <si>
    <t>Automates extraction of Google Trends data using Bright Data proxy and web unlocker, followed by structured data extraction and summarization via Google Gemini AI (PaLM). Outputs summaries via email and webhook, enabling insightful trend analysis.</t>
  </si>
  <si>
    <t>Daily Birthday Reminders from Google Contacts to Slack</t>
  </si>
  <si>
    <t>Automates daily retrieval of Google Contacts with birthdays, filters for today's birthdays, and sends reminders to Slack channels using Google Contacts API and Slack API. Scheduled to run at 8 AM daily, ideal for team and personal birthday notifications.</t>
  </si>
  <si>
    <t>AI-Assisted Human-in-Loop Email Reply System</t>
  </si>
  <si>
    <t>Automates email handling by using IMAP to read emails, converts content to Markdown, summarizes it with Langchain OpenAI models, generates professional replies via AI, and integrates human approval before sending replies via SMTP. Tech stack: n8n, OpenAI GPT-4, Langchain, IMAP/SMTP.</t>
  </si>
  <si>
    <t>Telegram Files to Google Drive Auto-Saver</t>
  </si>
  <si>
    <t>Automates saving files received via Telegram messages directly to Google Drive using Telegram API and Google Drive API in an n8n workflow. Ideal for backing up or organizing documents sent on Telegram automatically.</t>
  </si>
  <si>
    <t>Telegram AI Chatbot with Multi-Session Management</t>
  </si>
  <si>
    <t>An AI-powered Telegram chatbot workflow using OpenAI GPT-4o-mini and Langchain for conversational AI, integrated with Google Sheets for multi-session management, command handling (/new, /current, /resume, /summary, /question), and context-based memory. Enables robust user chat experience via Telegram API.</t>
  </si>
  <si>
    <t>Email Natural Language to SQL Query</t>
  </si>
  <si>
    <t>An n8n workflow that converts natural language questions about a PostgreSQL email metadata database into SQL queries using the Ollama language model. It automates schema extraction, enforces strict schema adherence, and returns query results from the emails_metadata table.</t>
  </si>
  <si>
    <t>Typeform Feedback Sentiment &amp; Task Automator</t>
  </si>
  <si>
    <t>Automates processing of Typeform feedback by analyzing sentiment with Google Cloud NLP. Positive feedback triggers entries to Notion and Trello, and notifications sent via Slack. Integrates Typeform, Google Cloud Natural Language API, Notion, Trello, and Slack for streamlined feedback management.</t>
  </si>
  <si>
    <t>Telegram AI Agent with LangChain &amp; DALL·E Integration</t>
  </si>
  <si>
    <t>An n8n workflow creating a Telegram AI chatbot using LangChain nodes and OpenAI's GPT-4o for conversational AI, with DALL·E-3 for image generation. It listens to Telegram messages, maintains context memory, generates AI responses, and sends text or AI-generated images back to users.</t>
  </si>
  <si>
    <t>Amazon Ads AI Optimization Workflow</t>
  </si>
  <si>
    <t>Automate Amazon Ads report processing with Google Drive, Excel/CSV data extraction, and GPT-4o AI analysis to generate actionable optimization recommendations. Uses n8n nodes, Google Drive API, OpenAI GPT-4o, and Gmail to email insights for bid, budget, and keyword strategies.</t>
  </si>
  <si>
    <t>AI Summary Generator for WordPress Posts</t>
  </si>
  <si>
    <t>Automates adding AI-generated summaries to WordPress posts using OpenAI (GPT-4o-mini), Google Sheets for tracking, and Slack for notifications. Converts post HTML to Markdown, classifies summarized content, updates posts via WP REST API, and logs activity efficiently.</t>
  </si>
  <si>
    <t>AI Chat Agent with SerpAPI Search</t>
  </si>
  <si>
    <t>An n8n workflow combining OpenAI GPT-4o-mini chat model, SerpAPI for live search, and a window buffer memory to create an AI Agent that responds to chat messages dynamically with up-to-date information from the web.</t>
  </si>
  <si>
    <t>AI Agent for Webpage Content Extraction</t>
  </si>
  <si>
    <t>An n8n workflow combining LangChain AI (ReAct agent) and OpenAI GPT-4 to fetch, clean, and convert webpage HTML content to Markdown. It uses HTTP requests, regex for HTML body extraction, and options to simplify or fully preserve content for intelligent web data retrieval and processing.</t>
  </si>
  <si>
    <t>Airtable AI Assistant Workflow</t>
  </si>
  <si>
    <t>An n8n workflow integrating OpenAI GPT-4o-mini and Airtable API to process user chat requests, query Airtable bases and tables, and perform data aggregation and visualization. Enables dynamic, AI-driven interactions for managing Airtable data.</t>
  </si>
  <si>
    <t>AI Chat Agent for Google Search Console Data</t>
  </si>
  <si>
    <t>An n8n workflow integrating OpenAI GPT-4o and Google Search Console API via OAuth2, using Postgres for chat memory. Enables natural language chat to query, retrieve, and display Search Console insights with a friendly AI agent, supporting customizable date ranges and dimensions.</t>
  </si>
  <si>
    <t>AI Chat Agent with Wiki &amp; Weather Tools</t>
  </si>
  <si>
    <t>An n8n workflow integrating Ollama LLM chat model, Wikipedia and Open-Meteo APIs, plus LangChain memory, to create a conversational AI assistant. It uses buffered chat history, fetches weather by coordinates, and retrieves Wikipedia info to answer user queries interactively.</t>
  </si>
  <si>
    <t>AI-Powered HR CV Processing &amp; Evaluation</t>
  </si>
  <si>
    <t>Automates job application processing: candidates submit CVs via a form, PDFs are extracted, AI extracts qualifications and personal data using LangChain and OpenAI GPT-4o-mini, evaluates fit against a company profile, and logs results to Google Sheets. Integrates Google Drive and Sheets APIs.</t>
  </si>
  <si>
    <t>AI Agent with Hacker News Data Fetcher</t>
  </si>
  <si>
    <t>An n8n workflow integrating LangChain AI agent with OpenAI chat and Hacker News API to fetch and process top posts data. Enables querying Hacker News popular posts through AI chat, combining AI and real-time data fetch for interactive insights.</t>
  </si>
  <si>
    <t>AI Chat Agent with Wikipedia &amp; Web Search Tools</t>
  </si>
  <si>
    <t>An n8n workflow creating a conversational AI agent using OpenAI GPT-4o-mini, integrated with LangChain memory buffer, Wikipedia and SerpAPI search tools. It processes manual chat inputs and leverages external knowledge sources to answer queries contextually.</t>
  </si>
  <si>
    <t>Stock Market Q&amp;A AI Workflow</t>
  </si>
  <si>
    <t>An n8n workflow leveraging OpenAI embeddings, Qdrant vector store, and Google Drive PDFs to enable Q&amp;A over stock market documents. It extracts data via Google Drive, processes with OpenAI and LangChain, and answers queries through a webhook API.</t>
  </si>
  <si>
    <t>Automates sentiment classification of customer feedback using an OpenAI API with form input, then logs categorized responses into Google Sheets for easy tracking and analysis.</t>
  </si>
  <si>
    <t>AI Data Extraction for Baserow PDFs</t>
  </si>
  <si>
    <t>Automates extraction of data from PDFs uploaded to Baserow tables using dynamic user-defined prompts and OpenAI's LLM API. It integrates Baserow webhook events, Baserow API, PDF extraction, and LangChain LLM nodes within n8n to auto-fill table fields based on PDF content and field descriptions.</t>
  </si>
  <si>
    <t>AI Social Media Caption Creator</t>
  </si>
  <si>
    <t>Automates generating creative Instagram captions using n8n workflow with OpenAI GPT-4 and Airtable. It triggers on new Airtable records with briefing data, enriches context via background info, crafts captions via a Langchain AI Agent, and updates Airtable editorial plans seamlessly.</t>
  </si>
  <si>
    <t>Children's Storytelling Automation on Telegram</t>
  </si>
  <si>
    <t>Automates creating and sharing children’s English stories on Telegram using OpenAI GPT-3.5 for story and character generation, DALL-E for illustrations, and Telegram API for delivery every 12 hours.</t>
  </si>
  <si>
    <t>AI Email Auto-responder &amp; Summarizer</t>
  </si>
  <si>
    <t>Automates email response by reading IMAP emails, converting content to markdown, summarizing with DeepSeek and OpenAI models, classifying, and generating concise replies reviewed and sent automatically. Integrates Google Drive for document vectorization with Qdrant and uses OpenAI and DeepSeek APIs.</t>
  </si>
  <si>
    <t>Stock Earnings Report RAG Analysis Workflow</t>
  </si>
  <si>
    <t>Automates financial analysis of Google's last 3 quarters earnings by loading PDFs from Google Drive, creating embeddings via Google Gemini, storing/retrieving with Pinecone vector DB, and generating detailed markdown reports saved to Google Docs using AI agents.</t>
  </si>
  <si>
    <t>AI Social Media Auto-Poster from Hacker News</t>
  </si>
  <si>
    <t>Automates curation and posting of trending GitHub projects from Hacker News to Twitter and LinkedIn using OpenAI GPT-4, Airtable, Telegram, and n8n. Extracts GitHub links, generates engaging content, schedules posts, and prevents duplicates.</t>
  </si>
  <si>
    <t>Podcast Transcript Summarizer &amp; Digest Generator</t>
  </si>
  <si>
    <t>Automates summarization of podcast transcripts using n8n with LangChain, OpenAI GPT-3.5 &amp; GPT-4, and Wikipedia API. Extracts key topics, generates questions, researches explanations, formats as HTML, and emails a comprehensive episode digest.</t>
  </si>
  <si>
    <t>Automated RSS News Aggregator &amp; Trello Notifier</t>
  </si>
  <si>
    <t>n8n workflow aggregating news from multiple RSS feeds, filtering recent articles, formatting them in Markdown, and posting summaries as Trello card comments with email notifications. Integrates RSS, Trello API, and Gmail via OAuth2 for streamlined team updates.</t>
  </si>
  <si>
    <t>OpenAI Travel Assistant with Google Drive Docs</t>
  </si>
  <si>
    <t>Builds a custom OpenAI-powered travel assistant integrated with Google Drive to upload and convert travel agency documents to PDF, updating assistant knowledge. Uses OpenAI GPT-4o-mini, Langchain memory buffer, and Google Drive API for contextual chat interaction.</t>
  </si>
  <si>
    <t>USDT ERC-20 Wallet Balance Monitor with Telegram</t>
  </si>
  <si>
    <t>Automates monitoring of USDT ERC-20 wallet balances using Etherscan API. Sends Telegram notifications on balance changes. Utilizes n8n workflow with Cron triggers, HTTP request node for Etherscan API, JavaScript code for change detection, and Telegram node for alerts.</t>
  </si>
  <si>
    <t>Hugging Face Paper Auto-Import to Notion</t>
  </si>
  <si>
    <t>Automates daily extraction of research papers from Hugging Face, uses HTML scraping, OpenAI GPT-4O for abstract analysis, and stores enriched metadata in Notion. Integrates Hugging Face API, OpenAI API, and Notion API for academic paper management.</t>
  </si>
  <si>
    <t>Typeform Feedback Sentiment to Mattermost</t>
  </si>
  <si>
    <t>Automates sentiment analysis of event feedback submitted via Typeform using Google Cloud Natural Language API, then sends a sentiment score and message to a Mattermost channel. Integrates Typeform, Google NLP, and Mattermost for real-time feedback monitoring.</t>
  </si>
  <si>
    <t>Bing Copilot Search Results Summarizer</t>
  </si>
  <si>
    <t>Automates extraction and summarization of Bing Copilot search results using Bright Data API for data scraping and Google Gemini AI for natural language processing and structured data formatting. Delivers structured JSON data and concise summaries via webhooks.</t>
  </si>
  <si>
    <t>OpenAI Image Generator via Web Form</t>
  </si>
  <si>
    <t>An n8n workflow that generates images using OpenAI's GPT-Image-1 model. It accepts prompt and size inputs through a web form, calls the OpenAI API, converts the base64 image data to a file, and returns the generated image for download. Uses OpenAI API and n8n form/webhook nodes.</t>
  </si>
  <si>
    <t>Google Drive to Pinecone FAISS Chatbot</t>
  </si>
  <si>
    <t>Automates document ingestion from Google Drive, splits text for processing, generates OpenAI embeddings, stores/retrieves in Pinecone vector DB, enabling chatbot Q&amp;A with LangChain in n8n workflows.</t>
  </si>
  <si>
    <t>AI-Driven WordPress Post Categorizer</t>
  </si>
  <si>
    <t>Automates WordPress blog post categorization using OpenAI's language model integrated via n8n. Fetches posts, classifies by predefined taxonomy, and updates categories natively in WordPress. Ideal for content strategists seeking efficient organization and SEO improvements.</t>
  </si>
  <si>
    <t>Automated Company Review &amp; News Insights</t>
  </si>
  <si>
    <t>An n8n workflow integrating OpenAI GPT-4, SerpApi, and Notion API to automate gathering and analyzing company reviews, news, and product offerings. It scrapes review sites, summarizes pros/cons, tracks sentiment, and updates Notion for competitive analysis.</t>
  </si>
  <si>
    <t>AI Passport Photo Validator</t>
  </si>
  <si>
    <t>n8n workflow that imports portrait photos from Google Drive, resizes images, and uses Google Gemini AI vision model to validate passport photo compliance against UK government criteria. Includes structured output parsing for automation.</t>
  </si>
  <si>
    <t>Twitter Sentiment Filter &amp; Strapi Sync</t>
  </si>
  <si>
    <t>Automates fetching recent English tweets about Strapi or n8n.io every 30 mins, filters out retweets/old tweets, analyzes sentiment using Google Cloud Natural Language API, and stores only positive sentiment tweets and form submissions into a Strapi CMS collection.</t>
  </si>
  <si>
    <t>OpenAI Fine-Tuning Workflow with Google Drive</t>
  </si>
  <si>
    <t>Automates fine-tuning of OpenAI GPT models using training data stored on Google Drive. Uses n8n with Google Drive API to download a .jsonl training file, uploads it to OpenAI for fine-tuning, and triggers a custom fine-tuned GPT-4o-mini chat model via Langchain integration for interactive AI responses.</t>
  </si>
  <si>
    <t>Auto Remove &amp; Replace Image Backgrounds on Google Drive</t>
  </si>
  <si>
    <t>Automates background removal and replacement for images in Google Drive using Photoroom API and Google Drive integration. It watches a folder, processes images with customizable settings (background color, padding, output size), and uploads the results back to Drive.</t>
  </si>
  <si>
    <t>Automated YouTube to X Post Generator</t>
  </si>
  <si>
    <t>This n8n workflow automates fetching the latest YouTube videos, uses OpenAI GPT-4O-MINI to generate engaging X (Twitter) posts under 220 characters, and posts them automatically via the X API. It also logs posts in Google Sheets and supports Slack, Discord, and Gmail notifications.</t>
  </si>
  <si>
    <t>Gmail to Telegram Keyword Alert</t>
  </si>
  <si>
    <t>This n8n workflow monitors Gmail for incoming emails and forwards only those with specific keywords (e.g., 'Urgent', 'Server Down') in the subject to a Telegram chat. It uses Gmail API for email triggers and Telegram API for messaging, enabling real-time filtered notifications.</t>
  </si>
  <si>
    <t>Weather Updates via Slack</t>
  </si>
  <si>
    <t>Automates fetching weather forecasts using OpenStreetMap and US National Weather Service APIs, then posts detailed weather info to Slack channels via OAuth2 authentication. Ideal for real-time weather notifications triggered by Slack messages.</t>
  </si>
  <si>
    <t>n8n AI Creator Leaderboard Stats</t>
  </si>
  <si>
    <t>An n8n workflow that fetches and aggregates n8n community creator and workflow stats from GitHub JSONs, merges data by username, filters per creator, and uses OpenAI's GPT-4o-mini AI agent to generate detailed Markdown reports on creator impact, workflow popularity, and community trends.</t>
  </si>
  <si>
    <t>n8n Workflow Deployment Automation</t>
  </si>
  <si>
    <t>Automates deployment of n8n workflows by monitoring a Google Drive folder for JSON workflow files. Uses Google Drive API, n8n API with authenticated requests to create workflows, apply tags, and move files between Drive folders, streamlining workflow management.</t>
  </si>
  <si>
    <t>Bitrix24 Chatbot Webhook Automation</t>
  </si>
  <si>
    <t>This n8n workflow implements a chatbot for Bitrix24 using webhook integration. It handles events like message addition, bot joining chat, app install, and bot deletion through Bitrix24 REST API. It validates tokens, processes messages, and registers the bot, enabling custom conversational automations within Bitrix24.</t>
  </si>
  <si>
    <t>AI Health Insurance Chatbot System</t>
  </si>
  <si>
    <t>This n8n workflow automates an AI-powered chatbot for health insurance inquiries using OpenAI assistants, PostgreSQL for chat memory, MySQL for product queries, and external APIs. It dynamically personalizes responses based on user data to recommend insurance plans and access knowledge bases.</t>
  </si>
  <si>
    <t>Line Pay Slip Text Extractor with Gemini AI</t>
  </si>
  <si>
    <t>An n8n workflow integrating LINE Messaging API, Google Gemini AI, and Google Sheets to extract and classify text from pay slip images or text messages. It auto-analyzes images with Gemini 2.0, parses key payment details, replies via LINE, and logs data into Google Sheets.</t>
  </si>
  <si>
    <t>OpenSea NFT Marketplace Agent</t>
  </si>
  <si>
    <t>AI-powered n8n workflow integrating OpenAI GPT-4o Mini with OpenSea API to fetch and analyze NFT listings, offers, orders, and trait-specific data. Enables informed NFT trading decisions with features like best offers, listings by collection, and detailed order lookups.</t>
  </si>
  <si>
    <t>Texas Tax Code AI Assistant</t>
  </si>
  <si>
    <t>An automated workflow using n8n that downloads Texas tax code PDFs, extracts sections, generates Mistral.ai embeddings, stores them in Qdrant vectorstore, and provides a chatbot powered by OpenAI to answer tax-related questions with precise citations.</t>
  </si>
  <si>
    <t>Automates building and updating a GPT-4-powered travel assistant using OpenAI API and Google Drive integration. It downloads travel documents, converts them to PDF, uploads to OpenAI, and enables interactive chat with context memory. Ideal for travel agencies seeking AI support.</t>
  </si>
  <si>
    <t>Image Object Extraction and Elasticsearch Indexing</t>
  </si>
  <si>
    <t>Automates image processing by using Cloudflare Detr-Resnet-50 AI to detect objects in images, crops identified objects, uploads them to Cloudinary, and indexes them in Elasticsearch for advanced image search by object. Built with n8n, Cloudflare Workers AI, Cloudinary, and Elasticsearch.</t>
  </si>
  <si>
    <t>WhatsApp AI Sales Chatbot with Vector Store</t>
  </si>
  <si>
    <t>An n8n workflow integrating WhatsApp API, OpenAI GPT-4o, and in-memory vector store to build an AI Sales Agent chatbot. It processes product brochure PDFs, creates embeddings and vector store for product catalog, handles WhatsApp messages, and replies with AI-powered responses.</t>
  </si>
  <si>
    <t>AI Auto-Categorize WordPress Posts</t>
  </si>
  <si>
    <t>Automate WordPress blog post categorization using OpenAI's language model with n8n. This workflow fetches all posts, applies AI-based taxonomy classification, and updates categories via the WordPress API, streamlining content organization for bloggers and marketers.</t>
  </si>
  <si>
    <t>Document Analysis &amp; Chatbot Workflow</t>
  </si>
  <si>
    <t>An n8n workflow that automates document submission, parsing (via LlamaIndex API), translation, analysis, and Q&amp;A chatbot interaction using Google Gemini models, Mistral embeddings, Pinecone vector DB, and Gmail for email delivery.</t>
  </si>
  <si>
    <t>Webflow Form to Discord Channel Automation</t>
  </si>
  <si>
    <t>Automates sending Webflow form submissions to Discord by creating dedicated channels per form via the Discord Bot API and Webflow API. Dynamically manages channels and notifies #general with links using n8n workflow automation.</t>
  </si>
  <si>
    <t>AI Health Insurance Chatbot with Database</t>
  </si>
  <si>
    <t>An AI-powered chatbot workflow integrating OpenAI assistants, PostgreSQL chat memory, MySQL product querying, and external APIs for personalized health insurance advice. Designed to capture user data, maintain session context, query product offers, and respond via chat with dynamic knowledge base access.</t>
  </si>
  <si>
    <t>AI Agent for Interactive Google Sheets Chat</t>
  </si>
  <si>
    <t>An n8n workflow integrating OpenAI GPT-3.5-turbo with Google Sheets via API, enabling users to query spreadsheet data conversationally. It includes custom tools to list columns, fetch rows, and get column values dynamically, making complex sheet data accessible through natural language.</t>
  </si>
  <si>
    <t>GitHub API Chatbot with RAG &amp; Pinecone</t>
  </si>
  <si>
    <t>An n8n RAG workflow that fetches GitHub OpenAPI specs, generates embeddings using OpenAI, indexes info in Pinecone vector DB, and enables chat queries with GPT-4o-mini. Provides contextual API guidance via conversational AI.</t>
  </si>
  <si>
    <t>AI Chat with Memory and Calculator Tools</t>
  </si>
  <si>
    <t>This n8n workflow enables an AI chat assistant using OpenAI's API with session memory management and a calculator tool via LangChain nodes, allowing interactive and context-aware conversations with users through a webhook trigger.</t>
  </si>
  <si>
    <t>AI-Powered Chat with PostgreSQL DB</t>
  </si>
  <si>
    <t>This n8n workflow enables interactive chat with a PostgreSQL database using OpenAI's GPT-4o-mini model and LangChain agent. It automatically generates and executes SQL queries based on user prompts, fetching schema and table info dynamically for accurate DB responses.</t>
  </si>
  <si>
    <t>Telegram AI Meetup Scheduler</t>
  </si>
  <si>
    <t>An n8n workflow integrating Telegram bot with OpenRouter LLM and Google Sheets API to provide AI-driven meetup scheduling assistance. It processes chat inputs, retrieves schedules from Google Sheets, converts them to markdown, and responds intelligently via Telegram.</t>
  </si>
  <si>
    <t>GitLab Merge Request AI Reviewer</t>
  </si>
  <si>
    <t>Automates code review for GitLab merge requests using GitLab API and OpenAI's LLM. It fetches code changes, parses diffs, and posts detailed, scored review comments directly to merge request discussions, streamlining code quality checks.</t>
  </si>
  <si>
    <t>Yelp Review Extractor &amp; Summarizer with LLM</t>
  </si>
  <si>
    <t>Automates extraction of Yelp business reviews using Bright Data API and processes data with Google Gemini LLM for structured analysis and summarization. Integrates web scraping, AI parsing, and webhook notifications for streamlined review insights.</t>
  </si>
  <si>
    <t>Lemlist Reply Automation with Slack &amp; OpenAI</t>
  </si>
  <si>
    <t>Automates handling of Lemlist email replies using OpenAI GPT-4 for classification and sends categorized alerts to Slack. Also manages unsubscribe and interested lead statuses via Lemlist API. Integrates Lemlist, OpenAI GPT-4, Slack, and n8n automation.</t>
  </si>
  <si>
    <t>Linear Bug Ticket Auto-Classifier</t>
  </si>
  <si>
    <t>Automates classification of bug tickets in Linear using OpenAI GPT-4. It filters issues that need triage, classifies bugs by team responsibility (customizable), updates Linear tickets, and notifies Slack if classification fails. Tech: Linear API, OpenAI GPT-4, Slack API, n8n automation.</t>
  </si>
  <si>
    <t>An n8n workflow that converts text to speech using OpenAI's TTS API. It sets input text and voice, then sends a request to OpenAI's API to produce an MP3 audio output. Ideal for automating TTS tasks with OpenAI's tts-1 model.</t>
  </si>
  <si>
    <t>Google Calendar to Telegram Event Notifier</t>
  </si>
  <si>
    <t>Automates posting new Google Calendar events to Telegram chats using Google Calendar API and Telegram Bot API. Sends event details like name, description, location, and time to keep you updated instantly via Telegram.</t>
  </si>
  <si>
    <t>Google Maps Lead Generation with Google Sheets</t>
  </si>
  <si>
    <t>Automates lead generation by querying Google Maps Places API based on zip codes and subcategories from Google Sheets. It fetches business details, deduplicates results, and updates the sheet. Uses n8n with Google Maps API, Google Sheets, and implements retries with exponential backoff.</t>
  </si>
  <si>
    <t>Weekly Google Analytics Report Automation</t>
  </si>
  <si>
    <t>Automates weekly Google Analytics data retrieval (last 7 days &amp; same period previous year), AI-generated summary &amp; analysis (OpenAI GPT-4O), and report delivery via email (SMTP) and Telegram. Scheduled every Monday at 7 AM for actionable insights.</t>
  </si>
  <si>
    <t>Twitter New Followers Banner Updater</t>
  </si>
  <si>
    <t>Automates fetching latest Twitter followers, processes their profile images by resizing and cropping into circular icons, composites them onto a customizable banner template, and updates your Twitter profile banner using Twitter API and n8n image editing nodes.</t>
  </si>
  <si>
    <t>Squarespace Orders to Google Sheets Sync</t>
  </si>
  <si>
    <t>Automates retrieval of all Squarespace orders using Squarespace Commerce API and logs detailed order info into a Google Sheets spreadsheet via Google Sheets API. Supports filtering, pagination, and updates with an easy editable global config node.</t>
  </si>
  <si>
    <t>LangChain n8n Workflow with OpenAI &amp; Wikipedia</t>
  </si>
  <si>
    <t>This n8n workflow integrates LangChain with OpenAI language models and a custom Wikipedia tool. It demonstrates creating LLM chains, chat interactions, and agent-based queries combining LLM and external knowledge via LangChain tools for flexible AI responses.</t>
  </si>
  <si>
    <t>AI Resume Screening with Multimodal LLM</t>
  </si>
  <si>
    <t>Automates candidate resume evaluation by converting PDF resumes from Google Drive into images via Stirling PDF API, then analyzing them using Google's Gemini multimodal language model to determine candidate fit for a role and detect AI bypass attempts.</t>
  </si>
  <si>
    <t>This n8n workflow automates resume screening by downloading CV PDFs, extracting text, sending data with job descriptions to OpenAI's GPT-4o-mini for detailed candidate evaluation, then storing structured results in Supabase. Ideal for recruiters and HR teams to speed up hiring.</t>
  </si>
  <si>
    <t>n8n Workflow Statistics Dashboard</t>
  </si>
  <si>
    <t>Generates a detailed dashboard summarizing n8n workflows including nodes, tags, webhooks, and global stats. Uses n8n API, JavaScript, JMESPath, Luxon, XML/XSLT, and Bootstrap for interactive reporting and visualization within n8n.</t>
  </si>
  <si>
    <t>LinkedIn Profile &amp; Company Scraper with Bright Data &amp; AI</t>
  </si>
  <si>
    <t>An n8n workflow that scrapes LinkedIn person and company profiles using Bright Data MCP API, processes the data with LangChain's info extractor and Google Gemini AI to generate detailed company stories, and saves results locally and via webhook.</t>
  </si>
  <si>
    <t>Daily Podcast Summary &amp; Email Automation</t>
  </si>
  <si>
    <t>Automates daily retrieval of top US podcasts by genre using Taddy API, crops audio via Aspose API, transcribes using OpenAI Whisper, summarizes with GPT-4o-mini, and emails results via Gmail OAuth2. Provides concise podcast episode summaries delivered to your inbox.</t>
  </si>
  <si>
    <t>AI Logo Sheet Extractor to Airtable</t>
  </si>
  <si>
    <t>Automates extraction of tools and attributes from uploaded AI logo sheets using OpenAI GPT-4o and LangChain AI agent, then stores and updates records in Airtable with hashed IDs and links. Enables easy cataloging of product comparisons from images via form submissions.</t>
  </si>
  <si>
    <t>AI-Powered US Grants Tracker &amp; Notifier</t>
  </si>
  <si>
    <t>Automates fetching, AI summarization, eligibility analysis, tracking, and emailing of new AI-focused US grants using Grants.gov API, OpenAI, Airtable, and Gmail. Helps organizations quickly discover and review relevant grant opportunities daily.</t>
  </si>
  <si>
    <t>AI-Powered Fact-Checking Workflow</t>
  </si>
  <si>
    <t>An n8n workflow that uses Ollama LLM models and custom code to split text into sentences, evaluate factual accuracy against provided facts, and summarize errors. Utilizes JavaScript, Ollama API, and LangChain integration to automate fact verification and summary generation.</t>
  </si>
  <si>
    <t>Discord AI Helpdesk Ticket Sorter</t>
  </si>
  <si>
    <t>An n8n workflow integrating Discord Webhooks and OpenAI GPT-4 to automatically categorize user feedback into success stories, urgent issues, or regular tickets for targeted departmental routing, enhancing support efficiency with AI-powered message classification.</t>
  </si>
  <si>
    <t>PDF to Blog Post Automation</t>
  </si>
  <si>
    <t>Transforms uploaded PDFs into SEO-optimized blog posts by extracting text with n8n and generating structured content via OpenAI's GPT-4o-mini. Publishes drafts directly to Ghost CMS using Ghost Admin API.</t>
  </si>
  <si>
    <t>Telegram AI Chat with Message Buffering</t>
  </si>
  <si>
    <t>This n8n workflow integrates Telegram, Supabase PostgreSQL, and OpenAI GPT-4 to buffer multiple user messages, aggregate them, and reply with a single AI-generated response. It enhances chatbot conversation quality by combining rapid-fire inputs into coherent replies.</t>
  </si>
  <si>
    <t>Obsidian Note to Gmail Email Sender</t>
  </si>
  <si>
    <t>Automate sending Obsidian notes as emails via Gmail using n8n. Integrates Obsidian's Post Webhook plugin, parses YAML metadata for email fields, handles attachments with base64 encoding, and sends emails with or without attachments seamlessly.</t>
  </si>
  <si>
    <t>Dynamically Switch Between LLMs</t>
  </si>
  <si>
    <t>An n8n workflow that dynamically selects and switches between multiple OpenAI language models (gpt-4o-mini, gpt-4o, o1) to generate polite customer support responses. It validates answers via sentiment analysis and handles errors to improve response quality.</t>
  </si>
  <si>
    <t>Trustpilot Reviews to Google Sheets</t>
  </si>
  <si>
    <t>Automates scraping recent customer reviews from Trustpilot using HTTP requests and Cheerio parsing, then appends or updates data in Google Sheets for analysis or reporting. Utilizes n8n's HTTP Request, Code, and Google Sheets nodes to extract review details and save structured data automatically.</t>
  </si>
  <si>
    <t>Glassdoor Company Summary with Google Gemini &amp; Bright Data</t>
  </si>
  <si>
    <t>Automates extraction and summarization of Glassdoor company info using Bright Data Web Scraper API and Google Gemini (PaLM) language model. Retrieves up-to-date company data, checks scrape status, then summarizes with Langchain AI to provide concise insights.</t>
  </si>
  <si>
    <t>An AI-powered Telegram bot for interactive signal processing study help. Integrates Telegram API, OpenAI API, Google Gemini, Airtable, Wikipedia, and LangChain tools like calculator and memory. Guides users through problems, explains theory, and records memory for personalized learning.</t>
  </si>
  <si>
    <t>Book Data Scraper to CSV &amp; Email via Dumpling AI</t>
  </si>
  <si>
    <t>Automates scraping book data from web pages using Dumpling AI, extracts titles and prices with HTML nodes, sorts by price, converts to CSV, and emails via Gmail. Integrates Google Sheets trigger, HTTP request, HTML parsing, sorting, file conversion, and Gmail APIs for end-to-end scraping and delivery.</t>
  </si>
  <si>
    <t>OCR Invoice &amp; Receipt Processor with Google Drive</t>
  </si>
  <si>
    <t>Automates OCR extraction of invoices and receipts from Google Drive using OakPDF OCR API via RapidAPI, integrates with Google Sheets for structured data storage. Enables real-time and manual triggers for seamless document processing and record keeping.</t>
  </si>
  <si>
    <t>Notion to Supabase Vector Storage with OpenAI</t>
  </si>
  <si>
    <t>Automates storing textual content from new Notion pages as vector documents in Supabase using OpenAI embeddings. Integrates Notion (page trigger, content retrieval), OpenAI (text embeddings), and Supabase (vector column storage) to enable efficient semantic search and organization.</t>
  </si>
  <si>
    <t>AI Image Caption Generator &amp; Overlay</t>
  </si>
  <si>
    <t>Automates generating descriptive captions for images using Google Gemini AI and overlays them on images via n8n's Edit Image node. Utilizes HTTP requests, Langchain with Gemini-1.5 Flash model, and custom code for positioning captions. Ideal for content creation and watermarking.</t>
  </si>
  <si>
    <t>Automated Backup of n8n Workflows to Gitea</t>
  </si>
  <si>
    <t>This workflow automates backing up n8n workflows to a Gitea Git repository every 45 minutes. It uses the n8n API to fetch workflows, compares changes, encodes them in base64 using Python code nodes, and manages files via Gitea's API with HTTP Request nodes secured by Personal Access Tokens.</t>
  </si>
  <si>
    <t>Automated Custom Presentation Creator for Leads</t>
  </si>
  <si>
    <t>This n8n workflow automates the creation of personalized Google Slides presentations for each new sales lead by integrating Google Drive, Sheets, and Slides APIs. It imports lead data from CSV files, creates new Sheets, copies presentation templates, and customizes content dynamically to streamline sales outreach.</t>
  </si>
  <si>
    <t>Automated PDF Scans Upload to Nextcloud</t>
  </si>
  <si>
    <t>Workflow automates copying scanned PDF files from a local ScanServJS API to Nextcloud. Uses HTTP Request nodes to fetch file lists and files, Nextcloud node for uploading, and Schedule Trigger for hourly automation. Ideal for managing scanned documents efficiently.</t>
  </si>
  <si>
    <t>Automated AI-Powered Fact Emailer</t>
  </si>
  <si>
    <t>An n8n workflow that uses Airtable as subscriber DB, AI agents (Groq llama-3.3-70b, LangChain, OpenAI) to generate unique factoids and images, and Gmail for sending scheduled personalized educational emails with subscription management via n8n forms.</t>
  </si>
  <si>
    <t>Twilio SMS AI Chat Buffering Bot</t>
  </si>
  <si>
    <t>An n8n workflow integrating Twilio, Redis, and OpenAI to buffer rapid SMS messages into a single AI-generated reply. Uses Redis for message stacking, LangChain memory nodes for chat history, and OpenAI's conversational agent for summarizing user inputs, improving chat flow and response quality.</t>
  </si>
  <si>
    <t>Slack-Qualys Vulnerability Scan Bot</t>
  </si>
  <si>
    <t>Automates vulnerability scans and report generation in Qualys via Slack using Slack Events API, modals, and Qualys API integrations. Enables users to start scans and create detailed reports through interactive Slack modals with real-time feedback.</t>
  </si>
  <si>
    <t>Automated Q&amp;A Generator for n8n Integrations</t>
  </si>
  <si>
    <t>This n8n workflow automates the creation of FAQ templates for various service integrations using Google Sheets, OpenAI GPT-4, and Google Drive. It reads integration data from Sheets, generates and enhances Q&amp;A pairs with AI, and saves results to Drive for CMS use (e.g., Wordpress, Webflow, Strapi).</t>
  </si>
  <si>
    <t>Pipedrive Org Data Enrichment with GPT-4 and ScrapingBee</t>
  </si>
  <si>
    <t>Automates enriching new Pipedrive organizations by scraping their website with ScrapingBee, summarizing company info via OpenAI GPT-4o, creating detailed Pipedrive notes, and sending formatted Slack alerts. Integrates Pipedrive API, ScrapingBee API, OpenAI GPT-4o, and Slack API.</t>
  </si>
  <si>
    <t>Airtable Product Data Enricher with AI Vision &amp; Web Agent</t>
  </si>
  <si>
    <t>This n8n workflow automates enrichment of product data in Airtable from photos using OpenAI's GPT-4o vision model, SERP API for reverse image search, and Firecrawl.dev for web scraping. It intelligently analyzes images, performs internet research, and updates Airtable records with detailed product attributes.</t>
  </si>
  <si>
    <t>AI Chatbot for PostgreSQL Database Queries</t>
  </si>
  <si>
    <t>An n8n workflow integrating OpenAI GPT-4 with PostgreSQL to enable natural language chat-based querying. Uses Langchain agent with AI tools for schema exploration, table definition, and SQL execution to provide intelligent DB insights and responses in real-time.</t>
  </si>
  <si>
    <t>Automates fetching #OnThisDay tweets via Twitter API, storing texts in MongoDB, analyzing sentiment with Google Cloud Natural Language, saving results in Postgres, and alerting via Slack if sentiment score is high. Built with n8n for daily ETL workflow automation.</t>
  </si>
  <si>
    <t>Lead Generation &amp; Enrichment Workflow</t>
  </si>
  <si>
    <t>An n8n workflow for automated lead scraping and enrichment using HTTP API calls to fetch personal and work emails, filters leads with valid emails, and saves detailed lead info to Airtable. Ideal for marketers and sales teams.</t>
  </si>
  <si>
    <t>Dynamic HTML Generator with OpenAI Structured Output</t>
  </si>
  <si>
    <t>This n8n workflow uses OpenAI's GPT-4o API with Structured Output to generate HTML pages dynamically from user queries. It converts JSON UI components styled with Tailwind CSS into HTML, then serves it via webhook. Tech stack: OpenAI API, Tailwind CSS, n8n webhook.</t>
  </si>
  <si>
    <t>PDF Data Extraction via Claude &amp; Gemini APIs</t>
  </si>
  <si>
    <t>n8n workflow automates downloading a PDF from Google Drive, converts it to base64, and extracts data using Claude 3.5 Sonnet and Google Gemini 2.0 Flash AI models with custom prompts. Enables comparison of extraction accuracy, latency, and cost.</t>
  </si>
  <si>
    <t>Telegram Resume Extractor and PDF Generator</t>
  </si>
  <si>
    <t>Automates resume extraction via Telegram using OpenAI GPT-4 turbo-preview for parsing, formats sections into HTML, converts to PDF with Gotenberg, and sends back through Telegram. It integrates Telegram API, OpenAI API, and Gotenberg PDF conversion.</t>
  </si>
  <si>
    <t>Logo Sheet AI Extractor to Airtable</t>
  </si>
  <si>
    <t>This n8n workflow automates extracting product/tool data from uploaded logo sheet images using OpenAI GPT-4 with Langchain AI agent. It parses tools and their attributes, maps similarities, and upserts structured records into Airtable. Ideal for cataloging software tools from visual data.</t>
  </si>
  <si>
    <t>Self-hosted LLM Personal Data Extractor</t>
  </si>
  <si>
    <t>An n8n workflow that uses a self-hosted Mistral NeMo LLM via Ollama API to extract structured personal data from chat messages. It features error auto-correction, structured JSON schema parsing, and real-time chat triggers for reliable data extraction.</t>
  </si>
  <si>
    <t>Automated Credit Card Spend Extractor</t>
  </si>
  <si>
    <t>This n8n workflow automates extraction of credit card transaction details from Gmail labeled emails using Gmail API, PDF extraction, HTML parsing, and AI NLP models (Google Gemini, Groq LLaMA, LangChain) to structure spend data, then logs it into Google Sheets for finance tracking.</t>
  </si>
  <si>
    <t>Google Trends Keyword Tracker &amp; Summarizer</t>
  </si>
  <si>
    <t>Automates fetching top trending keywords from Google Trends Italy RSS, scrapes related news content using jina.ai API, summarizes combined text, and appends results with metadata to Google Sheets for editorial planning. Uses n8n with Google Sheets, HTTP Request, XML, and Code nodes.</t>
  </si>
  <si>
    <t>Umami Analytics SEO AI Report Generator</t>
  </si>
  <si>
    <t>An n8n workflow that connects Umami analytics API with Openrouter AI and Baserow to automate SEO data analysis. It fetches weekly website stats, sends them to an AI model for SEO insights and improvement suggestions, then saves the summarized reports in Baserow for easy management.</t>
  </si>
  <si>
    <t>Telegram to Spotify Track Control</t>
  </si>
  <si>
    <t>Automate Spotify playback via Telegram using OpenAI's GPT-4o-mini for track identification. This n8n workflow triggers from Telegram messages, fetches track info using OpenAI, searches Spotify, and controls playback (add, next, resume). Integrates Telegram, OpenAI, and Spotify APIs.</t>
  </si>
  <si>
    <t>Agent Access Control with Telegram &amp; Airtable</t>
  </si>
  <si>
    <t>An n8n workflow implementing an AI agent access control system using Telegram Bot, Airtable for user permissions, and OpenAI GPT-4 models. It verifies user roles and allowed tools before executing actions and supports sub-agents like a weather assistant with real-time API data.</t>
  </si>
  <si>
    <t>NetSuite SuiteQL API Query Workflow</t>
  </si>
  <si>
    <t>An n8n workflow integrating NetSuite REST API to run SuiteQL queries via a webhook or manual trigger. It leverages n8n's NetSuite node to fetch and respond with dynamic query results, enabling automated and real-time data retrieval from NetSuite ERP systems.</t>
  </si>
  <si>
    <t>GitHub Prompt Loader with Dynamic AI Query</t>
  </si>
  <si>
    <t>An n8n workflow that fetches prompt templates from GitHub, dynamically replaces variables using set parameters, validates variable presence, and sends the completed prompt to an AI agent (Langchain &amp; Ollama). Ideal for automated prompt management in AI workflows.</t>
  </si>
  <si>
    <t>Flux AI Image Generator Webform</t>
  </si>
  <si>
    <t>An n8n workflow that creates an AI-powered image generator webform using Huggingface's text-to-image models (e.g., FLUX.1-schnell), allows users to select artistic styles, processes prompts, uploads results to Cloudflare R2 S3 storage, and serves a styled webpage with recent image renders.</t>
  </si>
  <si>
    <t>Fal AI Flux Image Generator to Google Drive</t>
  </si>
  <si>
    <t>Automates image creation using Fal AI Flux API with customizable prompts, size, steps, and guidance. Retrieves generated images, downloads them, and saves to Google Drive. Utilizes HTTP requests with header auth and Google Drive OAuth2 in n8n workflow.</t>
  </si>
  <si>
    <t>AI-Enhanced Structured Output Parser</t>
  </si>
  <si>
    <t>An n8n workflow integrating OpenAI Chat models with LangChain for parsing structured data. It processes prompts, validates and auto-fixes AI outputs to extract formatted information like US states and cities with populations, ensuring reliable structured data generation.</t>
  </si>
  <si>
    <t>Auto-Optimize Images Uploaded to Google Drive</t>
  </si>
  <si>
    <t>Automates image optimization by watching a specified Google Drive folder for new images, downloading them, sending them to TinyPNG API for compression, and saving the optimized images back to a chosen Google Drive folder. Integrates Google Drive and TinyPNG APIs.</t>
  </si>
  <si>
    <t>Crypto Price Telegram Bot</t>
  </si>
  <si>
    <t>An n8n workflow that integrates Telegram, OpenAI GPT-4o mini, and CoinMarketCap API to provide real-time cryptocurrency prices via chat. It uses Langchain agents with memory buffer to manage sessions and respond dynamically to user queries on Telegram.</t>
  </si>
  <si>
    <t>Stock Earnings Report Analysis with AI &amp; Pinecone</t>
  </si>
  <si>
    <t>Automates analysis of stock earnings PDFs using n8n with Google Gemini embeddings, Pinecone vector store, Google Sheets/Drive integration, and AI agents. Generates detailed markdown financial reports and saves to Google Docs, focusing on Google (Alphabet Inc.) earnings over last 3 quarters.</t>
  </si>
  <si>
    <t>AI Personal Shopper with RAG &amp; WooCommerce</t>
  </si>
  <si>
    <t>An intelligent assistant workflow using OpenAI chat models, Qdrant vector store, and WooCommerce API to handle store inquiries and product search. Integrates Google Drive for document storage and uses RAG for general store info and LangChain for memory and tools.</t>
  </si>
  <si>
    <t>Hugging Face Paper Summarizer to Notion</t>
  </si>
  <si>
    <t>Automates daily extraction of new research papers from Hugging Face, analyzes abstracts using OpenAI GPT-4O, and stores structured summaries in Notion. Tech stack includes Hugging Face API, HTML extraction, OpenAI API (GPT-4O), and Notion API integration.</t>
  </si>
  <si>
    <t>QR Code Coupon Lead Gen &amp; Validation</t>
  </si>
  <si>
    <t>An n8n workflow automating unique QR code coupon assignment, lead creation, and coupon validation using SuiteCRM API, Google Sheets, SMTP email, and QuickChart API. Designed for managing discounts in lead generation campaigns.</t>
  </si>
  <si>
    <t>OpenAI Image Generation Workflow</t>
  </si>
  <si>
    <t>n8n workflow automates image creation via OpenAI Image Generation API, using prompts, quality, size, and quantity parameters. It converts base64 responses to files, enabling easy image generation automation with HTTP Request and file conversion nodes.</t>
  </si>
  <si>
    <t>INSEE Data Enrichment for Agile CRM</t>
  </si>
  <si>
    <t>Automate enrichment of Agile CRM company data with official French company info from the INSEE OpenData API. This workflow integrates Agile CRM and INSEE APIs to update company addresses and add SIREN identifiers, improving CRM accuracy with verified government data.</t>
  </si>
  <si>
    <t>OpenAI Model Fine-tuning Automation</t>
  </si>
  <si>
    <t>Automates fine-tuning of OpenAI GPT models using training data from Google Drive. Integrates Google Drive API, OpenAI file upload, and fine-tuning job creation with n8n automation platform to streamline custom AI model creation and deployment.</t>
  </si>
  <si>
    <t>Google SERP Extraction &amp; Summarization with Bright Data</t>
  </si>
  <si>
    <t>Automates Google Search scraping using Bright Data API, processes results with Google Gemini AI for extraction and summarization, then sends formatted data via webhook. Utilizes n8n, Bright Data, and Google Gemini PaLM API for advanced search analysis.</t>
  </si>
  <si>
    <t>Elevenlabs Text-to-Speech API Webhook</t>
  </si>
  <si>
    <t>This n8n workflow creates a POST webhook to convert text to speech using Elevenlabs.io API. It checks input parameters, sends requests with custom API key authentication, and streams back the generated audio. Ideal for automating voice content creation.</t>
  </si>
  <si>
    <t>Automated Daily Digest Email Creator</t>
  </si>
  <si>
    <t>An n8n workflow that aggregates top news from Times of India RSS, recent Gmail emails, and Todoist tasks into a styled daily summary email. Utilizes RSS Feed, Gmail API, Todoist API, and custom JavaScript for formatting and sends digest automatically via Gmail.</t>
  </si>
  <si>
    <t>Invoice PDF Generator with JSReport &amp; n8n</t>
  </si>
  <si>
    <t>Automates invoice creation from form input using n8n workflows, JSReport API for PDF generation, and Gmail to email invoices. Integrates form-trigger, HTTP POST to JSReport (document template API), and Gmail OAuth2 for sending, streamlining billing tasks.</t>
  </si>
  <si>
    <t>Facebook Long-Lived Access Token Generator</t>
  </si>
  <si>
    <t>Automates the retrieval of long-lived Facebook user and page access tokens using Facebook Graph API and n8n. Takes client ID, secret, user token, and optional app-scoped user ID to securely extend token validity for apps and integrations.</t>
  </si>
  <si>
    <t>On-Page SEO Audit Automation</t>
  </si>
  <si>
    <t>Automates on-page SEO audits by scraping a landing page URL and using OpenAI's GPT-4o-mini model to generate detailed technical and content SEO audits. Outputs a structured audit report and emails it via Gmail. Built with n8n, HTTP Request, Langchain, OpenAI, and Gmail API.</t>
  </si>
  <si>
    <t>AI-Powered Telegram Image Response</t>
  </si>
  <si>
    <t>An n8n workflow that uses Telegram API and OpenAI's image generation to receive text messages, generate AI images from the text, and send these images back via Telegram, enabling AI-enhanced visual communication.</t>
  </si>
  <si>
    <t>AI-Powered Weather Forecast with Open-Meteo API</t>
  </si>
  <si>
    <t>An n8n workflow integrating OpenAI's GPT chat model with Open-Meteo geolocation and weather APIs for interactive, AI-driven weather forecasts. Users input a city name via chat, AI fetches coordinates, then retrieves and returns a 7-day forecast using HTTP requests, enabling smart travel planning.</t>
  </si>
  <si>
    <t>AI Agent for Web Scraping &amp; API Data Fetch</t>
  </si>
  <si>
    <t>An n8n workflow integrating OpenAI Langchain agents with API tools like Firecrawl for web scraping and Bored API for activity suggestions. Enables AI-driven data retrieval, parsing, and dynamic interaction via custom HTTP calls to enhance automation tasks.</t>
  </si>
  <si>
    <t>DeepSeek V3 Chat &amp; Reasoning AI Agent</t>
  </si>
  <si>
    <t>An n8n workflow integrating DeepSeek API and Ollama local model with LangChain nodes to create a conversational AI agent featuring reasoning capabilities and memory. Utilizes OpenAI-compatible DeepSeek models and local LLMs for advanced chat interactions.</t>
  </si>
  <si>
    <t>Weekly SEO Report Email Automation</t>
  </si>
  <si>
    <t>An n8n workflow that automates weekly retrieval of SEO data from Google Search Console via its API, generates a summarized report of top search queries, and emails it using Gmail. Scheduled every Monday at 7AM for streamlined SEO performance monitoring.</t>
  </si>
  <si>
    <t>Confluence Knowledge Base Query Tool</t>
  </si>
  <si>
    <t>Automates IT support by transforming Slack user queries using OpenAI GPT-4, then searching Confluence via its API to return relevant KB article titles, links, and excerpts. Integrates n8n, OpenAI, and Confluence APIs for efficient knowledge retrieval.</t>
  </si>
  <si>
    <t>Auto Resume Disabled n8n Workflows</t>
  </si>
  <si>
    <t>An n8n workflow that automatically resumes disabled workflows tagged with 'auto_resume:true' every 4 hours using n8n API nodes, schedule triggers, and filters. Ensures continuous automation by activating paused workflows in n8n.</t>
  </si>
  <si>
    <t>Google Drive PDF RAG with AI Chat</t>
  </si>
  <si>
    <t>Automates Google Drive folder monitoring to download PDFs, extract and clean text, generate embeddings with Google Gemini, store them in Pinecone vector DB, and enable AI chat queries with context via OpenRouter and Langchain nodes for retrieval-augmented generation.</t>
  </si>
  <si>
    <t>YouTube Video AI Summaries to Discord</t>
  </si>
  <si>
    <t>Automates fetching new YouTube videos from a channel's RSS feed, retrieves English captions via YouTube API with OAuth2, summarizes transcript content using OpenAI's GPT-3.5, and posts concise bullet-point summaries with video links to a Discord channel via webhook.</t>
  </si>
  <si>
    <t>LinkedIn Profile URL Finder</t>
  </si>
  <si>
    <t>Automates finding LinkedIn profile URLs from names stored in Google Sheets using Google Sheets API and Airtop's AI search API. Fetches names, searches Google for LinkedIn URLs, parses results, and updates the sheet, streamlining contact enrichment for recruiters and sales.</t>
  </si>
  <si>
    <t>WhatsApp &amp; Asana Customer Support Automation</t>
  </si>
  <si>
    <t>Automates customer support by capturing form data via n8n form trigger, sending confirmation messages through WhatsApp Business Cloud API, and creating support tickets in Asana task management. Integrates n8n native forms, WhatsApp Business Cloud API, and Asana API for seamless support workflows.</t>
  </si>
  <si>
    <t>Gmail Automation Workflow</t>
  </si>
  <si>
    <t>An n8n workflow automating Gmail operations like sending, replying, getting emails, and waiting for responses using Gmail OAuth2 API. Integrates n8n's langchain MCP trigger for AI-driven email handling and dynamic message management.</t>
  </si>
  <si>
    <t>Sync New Clients from Notion to Clockify</t>
  </si>
  <si>
    <t>Automate client management by syncing new clients from a Notion database to Clockify workspace using n8n. Utilizes Notion API as trigger and Clockify API to add clients automatically, streamlining project tracking setup.</t>
  </si>
  <si>
    <t>YouTube Video Transcript Summarizer</t>
  </si>
  <si>
    <t>Automates summarization of YouTube video transcripts using SearchApi.io for transcript retrieval and OpenAI GPT-4o-mini model via Langchain in n8n. Converts video_id input into concise video content summaries for easy consumption.</t>
  </si>
  <si>
    <t>AI Movie Recommendation Agent with MongoDB</t>
  </si>
  <si>
    <t>An AI-driven movie recommendation chatbot using OpenAI GPT and MongoDB aggregation. It receives user chat input, queries a MongoDB movies collection with AI-generated aggregation pipelines, provides recommendations, and allows saving favorite movies. Built with n8n, OpenAI API, and MongoDB.</t>
  </si>
  <si>
    <t>AI-Powered Outlook Email Reply Assistant</t>
  </si>
  <si>
    <t>Automates email replies by integrating Microsoft Outlook and OpenAI GPT-4o-mini via n8n. Filters emails from specific sender, generates personalized replies in your style, and drafts or sends replies automatically, enhancing email productivity.</t>
  </si>
  <si>
    <t>Client Feedback AI Summary &amp; Social Post</t>
  </si>
  <si>
    <t>Automates client feedback processing using n8n workflow with Deepseek AI API for analysis, email for report delivery, and Telegram for social media draft sharing. Summarizes positives, suggests improvements, and drafts social posts from feedback.</t>
  </si>
  <si>
    <t>Daily Google Calendar Meetings to Telegram</t>
  </si>
  <si>
    <t>Automates sending a daily list of Google Calendar meetings via Telegram using Google Calendar and Telegram APIs in n8n. Triggered every morning at 6 AM, it retrieves today's meetings, formats details, and messages them to your Telegram user.</t>
  </si>
  <si>
    <t>Slack Command to Generate Google Meet Links</t>
  </si>
  <si>
    <t>Automate instant Google Meet link creation from Slack using n8n. Integrates Slack slash commands, Google Calendar API (with Google Meet conferencing), and Slack API for messaging. Creates temporary calendar events, shares meet links in Slack channels, then deletes events automatically.</t>
  </si>
  <si>
    <t>Auto Post YouTube Videos to X</t>
  </si>
  <si>
    <t>Automates posting new YouTube videos to X (Twitter) every 30 min using YouTube API, OpenAI GPT-3.5 for post generation, and X API for publishing engaging tweets linking the latest video.</t>
  </si>
  <si>
    <t>GitHub Issues to Telegram Notifier</t>
  </si>
  <si>
    <t>Automates fetching open GitHub issues labeled 'Bug' from a specified repo every 10 minutes, filters by comments count, and sends new issue alerts via Telegram bot. Utilizes GitHub API, n8n automation, and Telegram API for real-time notifications.</t>
  </si>
  <si>
    <t>Send Files to Kindle via Telegram Bot</t>
  </si>
  <si>
    <t>Automates sending files received from a Telegram bot to a Kindle device via email using Microsoft Outlook API. Ensures files are present, renames attachments, sends to Kindle email, and notifies user. Integrates Telegram Bot API and Outlook mail services.</t>
  </si>
  <si>
    <t>OpenAI Assistant with File Upload &amp; Chat</t>
  </si>
  <si>
    <t>Automates creating a custom OpenAI Assistant by uploading a Google Drive document and enabling chat interaction. Uses Google Drive API, OpenAI API (file upload, assistant creation, GPT-4 Turbo). Ideal for building knowledge-based chatbots from documents.</t>
  </si>
  <si>
    <t>AI Tweet Generator with Hashtag &amp; Airtable</t>
  </si>
  <si>
    <t>Generates short tweets including random tech hashtags using OpenAI's text-davinci-001 API, then stores results in Airtable. Uses n8n for workflow orchestration with manual trigger, function nodes, HTTP request, and Airtable node.</t>
  </si>
  <si>
    <t>Text-to-Speech Audio Generator with OpenAI</t>
  </si>
  <si>
    <t>An n8n workflow that converts text to audio using OpenAI's text-to-speech API. It features a POST webhook to receive text input, processes it with OpenAI audio generation, and responds with the audio binary. Useful for automating audio content creation.</t>
  </si>
  <si>
    <t>Telegram Error Notification for n8n</t>
  </si>
  <si>
    <t>An n8n workflow to send real-time error alerts via Telegram bot. Uses n8n's Error Trigger node linked to a Telegram node with bot token and chat ID. Notifies workflow name, execution time, error details, and last executed node for easy monitoring.</t>
  </si>
  <si>
    <t>Automated Web Server Uptime Monitor</t>
  </si>
  <si>
    <t>An n8n workflow that monitors web server availability every minute. It fetches server lists from Google Sheets, checks server status via HTTP requests, logs results in Google Sheets, and sends Gmail alerts on downtime. Uses Google Sheets API, HTTP Request node, and Gmail API.</t>
  </si>
  <si>
    <t>Slack AI Chatbot via Slash Commands</t>
  </si>
  <si>
    <t>Creates an AI chatbot integrated with Slack using n8n workflows, Slack slash commands, and OpenAI GPT-4o-mini. Handles webhook triggers, command routing with switch nodes, AI response generation via Langchain/OpenAI, and sends messages back to Slack channels for interactive chatbot functionality.</t>
  </si>
  <si>
    <t>Daily Weather Data Fetch &amp; Store</t>
  </si>
  <si>
    <t>Automates daily fetching of weather data using the OpenWeatherMap API and stores temperature, humidity, wind speed, and location info in Airtable for historical tracking.</t>
  </si>
  <si>
    <t>Auto Post New YouTube Videos to X</t>
  </si>
  <si>
    <t>Automates posting engaging tweets about new YouTube videos using YouTube API, OpenAI's GPT-3.5 for content generation, and X (Twitter) API for posting. Runs every 30 minutes to promote latest video with AI-generated short posts.</t>
  </si>
  <si>
    <t>Matomo Analytics Visitor Insights</t>
  </si>
  <si>
    <t>Automates gathering of Matomo analytics visitor data (visits&gt;3) via API, analyzes it using Meta LLaMA AI on Openrouter, and stores SEO insights in Baserow. Uses n8n to schedule, process JSON, and integrate Matomo, Openrouter AI, and Baserow for actionable website visitor behavior analysis.</t>
  </si>
  <si>
    <t>CSV to Postgres Automatic Import</t>
  </si>
  <si>
    <t>This n8n workflow automates importing CSV files stored locally into a PostgreSQL database. It uses a manual trigger, reads the CSV file, converts it into spreadsheet format, and inserts data into Postgres. Key tools: n8n, PostgreSQL, local file system.</t>
  </si>
  <si>
    <t>SERPBear SEO Analytics with AI Insights</t>
  </si>
  <si>
    <t>Automates fetching SEO keyword rankings from SERPBear API, analyzes trends and performance with AI via OpenRouter, and saves actionable insights to Baserow database. Utilizes n8n for scheduling, HTTP requests, code processing, and cloud storage integration.</t>
  </si>
  <si>
    <t>AI Email Summarizer to Messenger</t>
  </si>
  <si>
    <t>Automates reading emails via IMAP, summarizes content using Openrouter.ai's LLaMA 3.1 model, and sends concise, prioritized summaries with deadlines to LINE messenger using HTTP APIs. Useful for managing important email info in chat apps.</t>
  </si>
  <si>
    <t>Form Data Capture &amp; Storage to Airtable</t>
  </si>
  <si>
    <t>Automates capturing user-submitted form data via n8n's form trigger and stores it directly in Airtable. Utilizes n8n workflow nodes with Airtable API integration to streamline data collection for easy structured management and future use.</t>
  </si>
  <si>
    <t>Global SMS Sender via ClickSend API</t>
  </si>
  <si>
    <t>Automate sending SMS worldwide using the ClickSend API with n8n. This workflow sets SMS content and recipient, then sends the message via HTTP POST with Basic Auth. Ideal for global SMS notifications with easy setup instructions included.</t>
  </si>
  <si>
    <t>Instagram ChatGPT Auto-Responder Bot</t>
  </si>
  <si>
    <t>An n8n workflow integrating ManyChat and OpenAI's ChatGPT to automate Instagram messaging. It receives messages from Instagram via ManyChat webhook, processes them with AI using custom prompts and memory context, and replies automatically in the influencer's style.</t>
  </si>
  <si>
    <t>Spotify Monthly Playlist Updater</t>
  </si>
  <si>
    <t>Automates creation and update of a Spotify monthly playlist by syncing liked tracks using Spotify API and storing data in NocoDB. Scheduled with n8n to maintain playlist freshness and database records.</t>
  </si>
  <si>
    <t>URL Shortener and Click Tracker with Airtable</t>
  </si>
  <si>
    <t>An n8n workflow that creates short URLs by hashing long URLs using SHA256 and stores them in Airtable. It redirects short URLs to the original URLs while tracking click counts. Includes a dashboard displaying total links, clicks, and hosts. Uses Webhooks, Airtable API, and built-in crypto node.</t>
  </si>
  <si>
    <t>Daily Google Calendar to Trello Cards</t>
  </si>
  <si>
    <t>An automated n8n workflow that fetches daily Google Calendar events, filters out recurring tasks, and creates Trello cards for each event with relevant details. Uses Google Calendar API and Trello API, triggered every day at 8am to keep task boards current and organized.</t>
  </si>
  <si>
    <t>GitHub to TravisCI CI Trigger</t>
  </si>
  <si>
    <t>An automated CI workflow using n8n that triggers TravisCI builds on GitHub push or pull request events. Integrates GitHub webhook via OAuth2 and TravisCI API to automate build triggers based on repository activity for n8n-io/n8n.</t>
  </si>
  <si>
    <t>Mattermost Standup Bot Workflow</t>
  </si>
  <si>
    <t>Automates daily standup meetings in Mattermost using n8n. Utilizes Mattermost API, webhooks, and cron schedules to prompt users with configurable questions, collect responses, and publish summarized reports in channels. Includes config dialogs and direct messaging.</t>
  </si>
  <si>
    <t>Notion Empty Page Archiver</t>
  </si>
  <si>
    <t>Automates daily archiving of empty pages in Notion databases using the Notion API. Checks all databases and pages, analyzes page content and properties, and archives those with no meaningful content to keep Notion workspace tidy.</t>
  </si>
  <si>
    <t>Airtable Batch Upsert/Insert/Update Workflow</t>
  </si>
  <si>
    <t>An n8n workflow to batch process Airtable records with modes for upsert, insert, and update. Utilizes Airtable API via HTTP requests, handles rate limits with wait retries, supports batching to avoid throttling, and merges outputs for efficient Airtable data management.</t>
  </si>
  <si>
    <t>Weekly Book Recommendation via Open Library</t>
  </si>
  <si>
    <t>Automates finding and emailing a random book recommendation weekly using Open Library API and n8n automation. Fetches book count, selects a random book, retrieves detailed info, formats the author links, and sends the recommendation via SMTP email.</t>
  </si>
  <si>
    <t>Notion Team &amp; Project Management Automation</t>
  </si>
  <si>
    <t>Automates creation and management of team members, projects, and semesters in Notion. Uses n8n with Notion API, webhooks, and JavaScript for data processing. Ideal for educational or organizational project tracking and user-semester-project relations.</t>
  </si>
  <si>
    <t>Auto AWS Transcribe &amp; Google Sheets Logger</t>
  </si>
  <si>
    <t>Automates transcription of audio files uploaded to Google Drive by saving them to AWS S3, transcribing via AWS Transcribe, then logging results with metadata into Google Sheets using OAuth2 authentication.</t>
  </si>
  <si>
    <t>OpenAI API Text &amp; Image Processing Demo</t>
  </si>
  <si>
    <t>An n8n workflow demonstrating various OpenAI API uses: text summarization, translation, chat completions, HTML &amp; SVG generation, Whisper audio transcription, and DALLE-2 image creation. It integrates OpenAI models (davinci-003, GPT-3.5-turbo, Whisper, DALLE-2) for multi-modal AI tasks.</t>
  </si>
  <si>
    <t>Smart Factory Sensor Monitoring &amp; Incident Alert</t>
  </si>
  <si>
    <t>n8n workflow integrating AMQP for real-time factory sensor data, converting °C to °F, conditionally triggering PagerDuty incidents for temps ≥50°C, and storing machine &amp; incident data in CrateDB for smart factory monitoring and alerting automation.</t>
  </si>
  <si>
    <t>HelloFresh Recipe Recommendation Bot</t>
  </si>
  <si>
    <t>An n8n workflow that uses Mistral large language model API, Qdrant vector search, and SQLite to recommend recipes from HelloFresh's current weekly menu. It processes user inputs, queries recipe data, and provides tailored meal suggestions while excluding off-menu items.</t>
  </si>
  <si>
    <t>Shopify to HubSpot Order Deal Sync</t>
  </si>
  <si>
    <t>Automates syncing of Shopify order updates with HubSpot CRM by creating/updating contacts and deals using Shopify API, HubSpot API and OAuth2. Ensures orders in Shopify reflect as deals in HubSpot, streamlining ecommerce sales workflows.</t>
  </si>
  <si>
    <t>Zendesk to Pipedrive Ticket Assignee Sync</t>
  </si>
  <si>
    <t>Automates updating Zendesk tickets by assigning them to the Pipedrive contact owner. Uses Zendesk API to fetch tickets and requester data, Pipedrive API for contact and owner info, and merges agent data to reassign tickets every 5 minutes.</t>
  </si>
  <si>
    <t>Zendesk-Pipedrive Ticket Comment Sync</t>
  </si>
  <si>
    <t>Automates syncing Zendesk ticket comments as Pipedrive notes by checking ticket updates daily at 09:00. Uses Zendesk API for ticket and comment retrieval, Pipedrive API for person search and note creation, handling emails as sync keys.</t>
  </si>
  <si>
    <t>XML to Google Sheets Data Importer</t>
  </si>
  <si>
    <t>Automates downloading XML data from a URL, parses it, and imports the structured data into a new Google Sheets spreadsheet. Uses n8n with HTTP Request, XML, and Google Sheets nodes. Ideal for converting XML feeds to spreadsheets effortlessly.</t>
  </si>
  <si>
    <t>Spreadsheet File Processing &amp; Upload Automation</t>
  </si>
  <si>
    <t>An n8n workflow template for loading, converting, manipulating, and saving Excel and CSV spreadsheet files. Utilizes HTTP Request, Google Drive, Microsoft OneDrive, and SFTP nodes to fetch and upload files. Supports local, public URL, and cloud sources. Automates processing and storage of spreadsheet data in various formats.</t>
  </si>
  <si>
    <t>Automated Gmail Campaign Manager with Google Sheets</t>
  </si>
  <si>
    <t>An n8n workflow automating email campaigns using Gmail API and Google Sheets. It sends sequences of personalized emails with placeholders, follows up based on thread replies, and updates contact status in Sheets. Supports scheduling, weekend skipping, and multi-step email sequencing.</t>
  </si>
  <si>
    <t>Todoist Task Snooze Automator</t>
  </si>
  <si>
    <t>Automates moving tasks between Todoist projects based on due dates to simulate snoozing. Uses Todoist API, scheduled triggers at 5am and every 5 minutes, date calculations, and HTTP requests to move tasks back to inbox or snoozed project automatically.</t>
  </si>
  <si>
    <t>Linear Tickets to Google Sheets Sync</t>
  </si>
  <si>
    <t>Automates daily syncing of team tickets from Linear via GraphQL API to Google Sheets. Includes pagination handling, custom field setting, and data flattening for easy filtering and tracking. Requires Linear API auth and Google Sheets OAuth.</t>
  </si>
  <si>
    <t>YouTube Engaging Moments Extractor</t>
  </si>
  <si>
    <t>An n8n workflow that extracts engaging moments from YouTube videos using the YouTube 'mostReplayed' API endpoint. It filters moments with intensity above 0.6, removes close timestamps, and returns human-readable links with timestamps. Utilizes n8n HTTP Request, Filter, Split, and Webhook nodes.</t>
  </si>
  <si>
    <t>Slack to Linear Bug Reporting Workflow</t>
  </si>
  <si>
    <t>Automates bug reporting by capturing Slack /bug commands and creating detailed issues in Linear via GraphQL API. Utilizes Slack Webhooks and Linear OAuth2 API for team and label management. Ideal for streamlined developer bug tracking.</t>
  </si>
  <si>
    <t>AI-Powered Linear Bug Ticket Team Classifier</t>
  </si>
  <si>
    <t>This n8n workflow automates bug ticket triage in Linear by using OpenAI GPT-4 to classify tickets and assign them to the correct team. It integrates Linear API, OpenAI API, and Slack to streamline issue management and team notifications.</t>
  </si>
  <si>
    <t>PDF to AI Q&amp;A with Supabase &amp; Qdrant</t>
  </si>
  <si>
    <t>An n8n workflow that fetches PDFs from Google Drive, splits and indexes their content into Qdrant vector store via Supabase for fast semantic search, and answers user queries using OpenAI GPT-4o Mini model. Integrates Google Drive API, Qdrant vector DB, Supabase, and OpenAI.</t>
  </si>
  <si>
    <t>Google Sheets Email Validation Workflow</t>
  </si>
  <si>
    <t>Automates email validation by monitoring a Google Sheets for new entries, removing duplicate emails, verifying each email's deliverability through the Effibotics API, and updating the sheet with verification results. Utilizes Google Sheets API, HTTP request node, and email validation service.</t>
  </si>
  <si>
    <t>Telegram Image Auto-Analyzer with OpenAI</t>
  </si>
  <si>
    <t>Automates image analysis on Telegram using n8n workflow with Telegram and OpenAI APIs. It triggers on image messages, analyzes images via OpenAI, and sends textual analysis back to Telegram chats, enabling real-time content moderation, categorization, and feedback.</t>
  </si>
  <si>
    <t>HubSpot Deal Line Items Copier</t>
  </si>
  <si>
    <t>Automates copying line items from a won HubSpot deal to a newly created deal using HubSpot API and n8n. It fetches deals, retrieves line items and SKUs, gets product info by SKUs, creates line items for the new deal, and sends Slack notifications.</t>
  </si>
  <si>
    <t>S3 Folder Bulk Download and ZIP Compressor</t>
  </si>
  <si>
    <t>Automates downloading all files from a specified AWS S3 bucket folder, aggregates them into one item including binaries, and compresses the collection into a ZIP file using n8n's AWS S3 and Compression nodes for easy retrieval or further processing.</t>
  </si>
  <si>
    <t>Google SERP Keyword Rank Tracker</t>
  </si>
  <si>
    <t>Automates SEO keyword ranking tracking using ScrapingRobot API and n8n. Fetches Google SERP data for custom keyword lists, processes organic results, assigns ranking positions, and prepares output for databases like Airtable. Ideal for SEO research and competitor analysis.</t>
  </si>
  <si>
    <t>Webpage to Markdown &amp; Links Extractor</t>
  </si>
  <si>
    <t>An n8n workflow that uses the Firecrawl.dev API to convert web pages into markdown format and extract links. It handles batch processing with rate limiting and outputs data for further use. Integrates with your own URL database and output tools like Airtable.</t>
  </si>
  <si>
    <t>Automated Birthday &amp; Event SMS Wishes</t>
  </si>
  <si>
    <t>This n8n workflow automates daily SMS sending of personalized congratulatory messages using Google Sheets for event data and messages, Twilio for SMS delivery, and a daily cron trigger. It targets automating birthday and event greetings via SMS.</t>
  </si>
  <si>
    <t>Notion Task Reminders via Slack</t>
  </si>
  <si>
    <t>Automates daily weekday reminders of incomplete tasks from a Notion database by sending personalized Slack direct messages. Uses Notion API, Slack API with OAuth2, and cron scheduling to match task assignees with Slack users for timely task alerts.</t>
  </si>
  <si>
    <t>AI-Generated LinkedIn Advice Contributor</t>
  </si>
  <si>
    <t>Automates weekly Google search for LinkedIn advice articles, extracts article info, generates unique AI advice with OpenAI GPT-4o-mini, then posts results to Slack and stores contributions in NocoDB. Integrates Google Search, HTML parsing, OpenAI, Slack, and NocoDB.</t>
  </si>
  <si>
    <t>Google Docs Image Replacer &amp; Downloader</t>
  </si>
  <si>
    <t>Automates replacing images in Google Docs templates using image URLs from a datasource. Utilizes Google Docs and Google Drive APIs to copy templates, replace images by ID, make files shareable, and download as PDF or Docx. Ideal for batch processing dynamic documents.</t>
  </si>
  <si>
    <t>Qualys Slack Bot for Vulnerability Scans &amp; Reporting</t>
  </si>
  <si>
    <t>Automates security operations by integrating Slack with Qualys API. Users trigger vulnerability scans and generate detailed reports via Slack modals. Employs Slack API for interactive workflows and Qualys for scanning and report generation, enhancing security task efficiency.</t>
  </si>
  <si>
    <t>Qualys Report to TheHive Automator</t>
  </si>
  <si>
    <t>Automates fetching finished vulnerability scan reports from Qualys via API, converts them from XML to JSON, filters new reports, creates matching cases in TheHive SOC platform, and attaches downloaded reports. Uses Qualys API, TheHive API, and n8n workflow automation.</t>
  </si>
  <si>
    <t>Parallel Sub-Workflow Execution Manager</t>
  </si>
  <si>
    <t>An n8n workflow to start multiple sub-workflows asynchronously using HTTP webhooks, wait pseudo-synchronously for all to finish, and coordinate completion tracking with retry. Uses n8n nodes: HTTP Request, Webhook, Wait, Code, Manual Trigger for parallel task orchestration.</t>
  </si>
  <si>
    <t>Webinar Registration to KlickTipp Sync</t>
  </si>
  <si>
    <t>Automates processing of webinar registrations from JotForm, transforms data (phone, date, URLs), and subscribes contacts with custom tags in KlickTipp CRM for targeted marketing. Uses JotForm API and KlickTipp API integrated within n8n for error-free lead management.</t>
  </si>
  <si>
    <t>Gravity Forms to KlickTipp Feedback Automation</t>
  </si>
  <si>
    <t>Automates integration between Gravity Forms and KlickTipp using n8n. Captures form submissions, transforms data (phone format, UNIX timestamps, ratings), manages subscriber details and dynamic tag creation in KlickTipp. Ideal for streamlined feedback and contact management.</t>
  </si>
  <si>
    <t>Typeform to KlickTipp Quiz Integration</t>
  </si>
  <si>
    <t>Automates quiz submission processing by integrating Typeform with KlickTipp. It formats quiz data, manages subscriber info including tags dynamically in KlickTipp, and supports seamless lead capture and segmentation. Uses Typeform API and KlickTipp API within n8n for workflow automation.</t>
  </si>
  <si>
    <t>AI Triathlon Coach Using Strava &amp; Gemini AI</t>
  </si>
  <si>
    <t>Automates triathlon coaching by analyzing Strava activity data with Google Gemini AI. It provides personalized, data-driven training insights and motivational feedback for swimming, cycling, and running. Sends structured HTML reports via Email or WhatsApp. Tech stack: Strava API, Google Gemini (PaLM) AI, Gmail, WhatsApp API.</t>
  </si>
  <si>
    <t>Threads to Notion Post Archiver</t>
  </si>
  <si>
    <t>Automates fetching recent Instagram Threads posts and comments using Threads API, filters and formats media and text content, then archives them into a Notion database with media embeds. Uses n8n, Threads API, and Notion API for seamless social media content archival.</t>
  </si>
  <si>
    <t>Stripe to QuickBooks Payment Sync</t>
  </si>
  <si>
    <t>Automates syncing Stripe payment intents to QuickBooks Online sales receipts. Uses Stripe webhooks &amp; API to retrieve customer and payment details, checks/creates customers in QuickBooks via its API, then posts sales receipts. Tech: Stripe API, QuickBooks Online API, n8n.</t>
  </si>
  <si>
    <t>LinkedIn Profile Enrichment via RapidAPI &amp; Sheets</t>
  </si>
  <si>
    <t>Automates enrichment of LinkedIn profiles listed in Google Sheets. Uses RapidAPI's Fresh LinkedIn Profile Data API to fetch detailed profile info and updates the sheet. Ideal for recruiters, sales, and marketers to streamline lead and talent data collection.</t>
  </si>
  <si>
    <t>Email Attachment Organizer to Google Drive</t>
  </si>
  <si>
    <t>Automates saving unread Gmail attachments from a specific sender (ray.thomas@charter.com) to a designated Google Drive folder. Utilizes Gmail Trigger, file size switch-based filtering, and Google Drive API, helping to manage and categorize attachments efficiently.</t>
  </si>
  <si>
    <t>HTML to PDF Conversion via Webhook</t>
  </si>
  <si>
    <t>An n8n workflow that receives HTML content through a webhook, converts it to PDF using the CustomJS HTML to PDF API, and responds with the PDF file. Tech stack includes n8n automation, CustomJS PDF toolkit, and webhook handling for dynamic PDF generation.</t>
  </si>
  <si>
    <t>Invoice PDF Generator via Webhook</t>
  </si>
  <si>
    <t>An n8n workflow that converts invoice data into a styled HTML invoice and generates a PDF. It uses custom JS for HTML-to-PDF conversion, processes invoice details, and responds via webhook. Ideal for automated invoice creation using n8n and a custom JS PDF toolkit.</t>
  </si>
  <si>
    <t>Telegram Refund &amp; Complaint Automator</t>
  </si>
  <si>
    <t>Automates customer refund and complaint handling via Telegram, Freshdesk, and Monday.com. Uses Telegram trigger, Freshdesk API for ticket creation, conditional branching for refund or complaint, and Monday.com for task organization. Enables quick response and tracking.</t>
  </si>
  <si>
    <t>RSS to Telegram Media Broadcaster</t>
  </si>
  <si>
    <t>Automates fetching Instagram and Weibo RSS feeds, filters duplicates, extracts images from posts, and sends them as photos or text messages to Telegram channels. Uses n8n with RSS Feed, Function, If, and Telegram nodes integrating RSSHub API and Telegram Bot API.</t>
  </si>
  <si>
    <t>Typeform Issue Reporting &amp; Notification</t>
  </si>
  <si>
    <t>Automates capturing user feedback from Typeform, logs entries to Google Sheets, filters high-severity issues (severity &gt;7), then sends alerts via Slack and email. Integrates Typeform API, Google Sheets API, Slack API, and SMTP for notifications, simplifying issue tracking.</t>
  </si>
  <si>
    <t>AI-Powered Image Metadata Tagging via Google Drive</t>
  </si>
  <si>
    <t>Automates tagging of images in a Google Drive folder using AI image content analysis via OpenAI. Downloads new images, analyzes content, writes descriptive keywords into EXIF metadata, and updates files. Utilizes Google Drive, OpenAI API, and n8n EXIF community node.</t>
  </si>
  <si>
    <t>n8n Workflow Backup to Nextcloud</t>
  </si>
  <si>
    <t>Automates backup of all n8n workflows by fetching them via n8n REST API every 6 hours or on manual trigger, then saving JSON backups to Nextcloud cloud storage. Utilizes n8n HTTP Request, Function, Merge, and Nextcloud nodes for seamless workflow export and cloud backup.</t>
  </si>
  <si>
    <t>Google Sheets Data Management Workflow</t>
  </si>
  <si>
    <t>An n8n workflow integrating Google Sheets API via OAuth2 to append, lookup, update, and read spreadsheet data. Automates managing rental info by city, modifying rent values, and returning formatted results for streamlined Google Sheets data handling.</t>
  </si>
  <si>
    <t>Slack Webhook Signature Verification</t>
  </si>
  <si>
    <t>An n8n workflow to securely verify Slack webhook signatures using HMAC SHA256 and Slack's signing secret. It ensures received requests are authentic by reconstructing the signature from headers and body, preventing forgery or unauthorized bots.</t>
  </si>
  <si>
    <t>HubSpot Email Validation &amp; Alert Workflow</t>
  </si>
  <si>
    <t>Automates validation of new HubSpot contact emails using HubSpot APIs and OneSimple API; sends Slack alerts for suspicious emails. Ensures contact email quality by checking deliverability, domain validity, and disposability, improving CRM data integrity.</t>
  </si>
  <si>
    <t>Daily RSS to Slack Post</t>
  </si>
  <si>
    <t>Automates fetching yesterday's RSS feed posts from a blog and posts them as formatted messages to a Slack channel every morning at 8 AM. Utilizes n8n workflow with RSS Feed Read, DateTime, Slack API, and custom JavaScript for message building.</t>
  </si>
  <si>
    <t>Notion Duplicate Page Archiver</t>
  </si>
  <si>
    <t>An n8n workflow using Notion API and custom JavaScript to identify and archive duplicate pages in a Notion database based on a specified property. Triggers daily or upon page creation to maintain a clean database automatically.</t>
  </si>
  <si>
    <t>Google Drive Doc Summarizer to Sheet</t>
  </si>
  <si>
    <t>Automates fetching the latest Google Docs file from a specified Drive folder, summarizes its contents using OpenAI GPT-4o-mini, and appends the summary with metadata to a Google Sheet for easy organization and quick reference.</t>
  </si>
  <si>
    <t>Telegram Image Analyzer with OpenAI</t>
  </si>
  <si>
    <t>Automates image analysis in Telegram chats using n8n, OpenAI for image processing, and Telegram API for communication. Detects received images, analyzes them with OpenAI's base64 image capabilities, and sends back insightful text responses. Enhances moderation, tagging, and feedback workflows.</t>
  </si>
  <si>
    <t>Email to Google Sheets Logger</t>
  </si>
  <si>
    <t>Automates saving incoming Gmail emails into Google Sheets as new rows, capturing sender, subject, and snippet. Uses Gmail Trigger and Google Sheets API via OAuth2. Ideal for email logging, lead tracking, and structured email record-keeping.</t>
  </si>
  <si>
    <t>n8n Error Notification via Line</t>
  </si>
  <si>
    <t>This n8n workflow triggers on flow errors and sends detailed notifications via the Line Messaging API using HTTP requests and header-based authentication. It enables real-time error alerts for efficient monitoring and quick response.</t>
  </si>
  <si>
    <t>Daylight Saving Time Change Notifier</t>
  </si>
  <si>
    <t>Automates detection of Daylight Saving Time changes for specified timezones. Uses n8n with JavaScript code for timezone handling, Slack API for notifications, and SMTP for email alerts. Helps users adjust schedules by notifying upcoming DST shifts.</t>
  </si>
  <si>
    <t>HN Learning Resources Recommender via Google Gemini</t>
  </si>
  <si>
    <t>Automates finding top learning resources by scraping 'Ask HN' posts on HackerNews, analyzing comments with Google Gemini AI, categorizing by resource type and difficulty, then emailing recommendations. Uses HackerNews API, Google PaLM API, and SMTP for email delivery.</t>
  </si>
  <si>
    <t>Lemlist &amp; HubSpot Email Reply Automation</t>
  </si>
  <si>
    <t>Automates lead reply categorization and follow-up creation using Lemlist API, HubSpot CRM, and OpenAI GPT-3 for reply analysis. It unsubscribes, tags replies as interested or out-of-office, and creates deals/tasks in HubSpot, enhancing sales workflows.</t>
  </si>
  <si>
    <t>PDF Image Extraction &amp; GPT-4o Analysis</t>
  </si>
  <si>
    <t>Automates extraction of images from PDFs via ConvertAPI and Google Drive, then analyzes images with OpenAI GPT-4o. Combines image URLs and AI analysis into a text file for easy review. Uses n8n workflow with ConvertAPI, Google Drive API, and OpenAI GPT-4o model.</t>
  </si>
  <si>
    <t>AI-Powered Weather Forecast Chatbot via Open-Meteo API</t>
  </si>
  <si>
    <t>An n8n workflow integrating OpenAI's GPT-based AI agent with the Open-Meteo geocoding and weather APIs. It enables users to chat and receive accurate, multi-day weather forecasts by city name through AI-managed sequential API calls, ideal for travel planning and weather info retrieval.</t>
  </si>
  <si>
    <t>Fal.ai Flux Image Generation to Google Drive</t>
  </si>
  <si>
    <t>Automates AI image creation using Fal.ai Flux API with customizable prompts, dimensions, steps, and guidance. Downloads generated images and uploads them to Google Drive. Utilizes HTTP requests, manual triggers, wait nodes, and Google Drive API integration in n8n.</t>
  </si>
  <si>
    <t>Email Sales Opportunity Summarizer &amp; Odoo Creator</t>
  </si>
  <si>
    <t>Automates capturing sales emails via Gmail API, summarizes inquiry details using OpenAI GPT-3.5, and creates sales opportunities in Odoo CRM. Integrates Gmail, OpenAI language model, and Odoo ERP to streamline lead management and enhance sales pipeline efficiency.</t>
  </si>
  <si>
    <t>YouTube Video URLs Sync to Google Sheets</t>
  </si>
  <si>
    <t>Automates fetching YouTube video URLs from channel IDs stored in Google Sheets using YouTube Data API, then updates another Google Sheet with video titles, URLs, and publish dates. Built with n8n, Google Sheets API, and YouTube API for streamlined content tracking.</t>
  </si>
  <si>
    <t>Batch Upload Multiple Files to GitHub Repo</t>
  </si>
  <si>
    <t>n8n workflow automating simultaneous file uploads to GitHub repos using GitHub REST API. It bypasses the native single-file limitation by creating a new git tree, commit, and updating the branch. Uses GitHub Personal Access Token for authentication.</t>
  </si>
  <si>
    <t>AI-Powered CV Screening Automation</t>
  </si>
  <si>
    <t>Automates CV submission and screening for Software Engineer roles using n8n, Google Gemini (PaLM) AI for resume analysis, Gmail for notifications, and Google Sheets for candidate tracking. Streamlines HR processes with AI-driven candidate compatibility ratings and email alerts.</t>
  </si>
  <si>
    <t>Wikipedia Data Extraction &amp; Summarization</t>
  </si>
  <si>
    <t>Automates extraction of Wikipedia content using Bright Data API and summarizes it using Google Gemini AI models. Utilizes HTTP requests, Langchain chains for data extraction and concise summarization, and webhook for notifications.</t>
  </si>
  <si>
    <t>Daily Vegan Recipes Telegram Bot</t>
  </si>
  <si>
    <t>Automates sending one random vegan recipe daily via Telegram using Spoonacular API. Integrates Airtable to manage subscriber chat IDs, n8n cron for scheduling, and Telegram nodes for messaging. Welcomes new users and sends recipe image and URL automatically.</t>
  </si>
  <si>
    <t>YouTube Videos AI Summary &amp; Discord Alert</t>
  </si>
  <si>
    <t>Automates summarizing YouTube video captions using YouTube API and ChatGPT (OpenAI), then posts engaging summaries to Discord via webhook. Triggered by new videos from a channel's RSS feed, it fetches English captions, converts them, creates bullet-point summaries, and shares them instantly to Discord.</t>
  </si>
  <si>
    <t>AI Expense Tracker with Google Sheets</t>
  </si>
  <si>
    <t>An n8n workflow leveraging OpenAI's GPT via LangChain to parse natural language expense entries from chat, convert them to structured JSON, and append them to a Google Sheets expense tracker. Integrates AI chat triggers, memory, and Google Sheets API for seamless expense logging.</t>
  </si>
  <si>
    <t>Slack AI Chatbot with n8n Slash Commands</t>
  </si>
  <si>
    <t>This n8n workflow enables creating a Slack AI chatbot using slash commands, integrating Slack Webhook and Slack API with OpenAI GPT-4o-mini through LangChain nodes. It automates command handling, AI response generation, and posting messages back to Slack channels.</t>
  </si>
  <si>
    <t>Notion Pages to Supabase Vectors with OpenAI</t>
  </si>
  <si>
    <t>Automates storing Notion page texts as vector embeddings in Supabase using OpenAI API. Triggers on new Notion pages, fetches and filters content, summarizes text, generates embeddings, and saves them in a Supabase vector column for efficient semantic search.</t>
  </si>
  <si>
    <t>Summarize Google Sheets Feedback with GPT-4</t>
  </si>
  <si>
    <t>Automates feedback summarization from Google Sheets form responses using n8n workflow. Integrates Google Sheets API to fetch data, OpenAI GPT-4 to generate summaries, Markdown-to-HTML conversion, and Gmail API to send summary reports via email.</t>
  </si>
  <si>
    <t>Gmail to Notion Automated Email Processing</t>
  </si>
  <si>
    <t>Automates converting Gmail emails into structured Notion pages using Gmail API, Airtable for route management, OpenAI GPT-4o for email summarization and task extraction, and Notion API. Filters and labels emails to prevent duplicates, sends error notifications, and manages active workflows.</t>
  </si>
  <si>
    <t>Audio Transcription &amp; Summarization to Notion</t>
  </si>
  <si>
    <t>Automates transcription of audio files from Google Drive using OpenAI Whisper, summarizes content via GPT-4 Turbo, and stores structured summaries in Notion. Utilizes Google Drive Trigger, OpenAI API, and Notion API for seamless audio content management.</t>
  </si>
  <si>
    <t>Automated Viral Tweet Scheduler for X</t>
  </si>
  <si>
    <t>An n8n workflow that automates tweeting every 6 hours with randomized posting times using OpenAI GPT-4 Turbo to generate viral tweets tailored by niche, style, and inspiration. It validates tweet length and posts to X via OAuth2 API.</t>
  </si>
  <si>
    <t>Jira Epic Retrospective Report Generator</t>
  </si>
  <si>
    <t>Automates creation of Agile retrospective reports by fetching Jira Epic issues and comments, summarizing with OpenAI GPT-4o-mini, and generating actionable lessons learned documents in Google Docs. Uses Jira API, n8n workflows, Langchain AI agent, and Google Docs integration.</t>
  </si>
  <si>
    <t>AI-Powered Web Scraper with Bright Data &amp; Google Gemini</t>
  </si>
  <si>
    <t>An automated web scraping system integrating Bright Data's MCP SDK for data extraction, Google Gemini AI for query understanding, and n8n workflows. It scrapes webpages as Markdown or HTML, triggers webhooks with results, and saves data locally for analysis.</t>
  </si>
  <si>
    <t>Telegram AI Chatbot with LangChain &amp; Dall-E</t>
  </si>
  <si>
    <t>An AI-powered Telegram chatbot using n8n with LangChain nodes, OpenAI GPT-4o for conversation, Dall-E-3 for image generation, and Telegram API integration. It handles user chat, generates images on request, and replies with text or images, maintaining session context.</t>
  </si>
  <si>
    <t>Jira Ticket Creator from Splunk Alerts</t>
  </si>
  <si>
    <t>Automates creation and updating of Jira tickets based on Splunk alert webhook data. Uses Splunk webhooks, Jira Cloud API, and n8n workflow automation to search for existing tickets, create new ones, or add comments to avoid duplicates, improving SecOps incident management.</t>
  </si>
  <si>
    <t>Google Drive to Airtable File Sync &amp; Share</t>
  </si>
  <si>
    <t>Automates syncing new files from a specific Google Drive folder by sharing them via email and logging metadata (file ID, name, timestamps) into Airtable. Uses Google Drive Trigger and API plus Airtable API for streamlined file management and tracking.</t>
  </si>
  <si>
    <t>n8n Workflow Visualizer with Mermaid.js</t>
  </si>
  <si>
    <t>Visualize and explore your n8n workflows as interactive flowcharts using Mermaid.js. It uses the n8n API to fetch workflows, aggregates data, and dynamically renders diagrams with custom node shapes via Mermaid.js and Bootstrap for UI.</t>
  </si>
  <si>
    <t>[OPS] Restore n8n Workflows from GitHub</t>
  </si>
  <si>
    <t>Automates restoration of n8n workflows backed up on GitHub. Uses GitHub API to list and fetch workflow JSON files, compares with existing n8n workflows via n8n API, and creates missing ones. Ideal for workflow backup and recovery.</t>
  </si>
  <si>
    <t>Sync Notion Task Updates with ClickUp</t>
  </si>
  <si>
    <t>Automates two-way synchronization between Notion and ClickUp task statuses using Notion API triggers and ClickUp webhooks. Ensures task updates in Notion reflect in ClickUp and vice versa for seamless project management.</t>
  </si>
  <si>
    <t>Slack Image Upload to S3 via Modal</t>
  </si>
  <si>
    <t>n8n workflow automates Slack interactions to upload images (.jpg, .png, .pdf) to an S3 bucket. Uses Slack Events API and Modals for user input, downloads files from Slack, uploads to S3, and posts links back to a Slack channel, enhancing file sharing efficiency.</t>
  </si>
  <si>
    <t>Dynamic Form Builder for Airtable &amp; Baserow</t>
  </si>
  <si>
    <t>An n8n workflow that dynamically generates web forms from Airtable and Baserow table schemas using their APIs. It converts database fields to n8n form fields, handles form submissions to create/update records, and manages file uploads separately.</t>
  </si>
  <si>
    <t>Smartlead Campaign &amp; HubSpot Data Sync</t>
  </si>
  <si>
    <t>Automates fetching and synchronizing campaign and lead data from Smartlead API with HubSpot CRM, storing enriched data in Postgres, and reporting via Google Sheets. Integrates Smartlead API, HubSpot API, PostgreSQL, and Google Sheets to provide up-to-date campaign analytics and lifecycle stage tracking.</t>
  </si>
  <si>
    <t>AI-Powered US Grants Tracking &amp; Alerts</t>
  </si>
  <si>
    <t>Automates fetching, AI summarizing, eligibility analysis, and tracking of latest US AI grants from Grants.gov. Uses n8n workflows with OpenAI API for summaries, Airtable as database, and Gmail for email alerts to subscribers.</t>
  </si>
  <si>
    <t>Gmail Email Header Authentication Analyzer</t>
  </si>
  <si>
    <t>Automates email header analysis using Gmail webhook or trigger in n8n. Extracts originating IP, queries IPQualityScore and IP-API for reputation and geolocation, evaluates SPF, DKIM, DMARC headers, and compiles authentication results for webhook integration.</t>
  </si>
  <si>
    <t>Proxmox API AI Agent Workflow</t>
  </si>
  <si>
    <t>An n8n workflow integrating Proxmox VE API with Google Gemini LLM for conversational management of virtualization tasks. Utilizes Proxmox API, Gemini AI, HTTP requests, and structured output parsing to convert natural language into valid Proxmox API commands for VM lifecycle and cluster management.</t>
  </si>
  <si>
    <t>Baserow PDF Data Extraction with AI</t>
  </si>
  <si>
    <t>Automates extraction of data from PDFs into Baserow tables using webhooks, Baserow API, n8n workflow, and OpenAI language models. Supports dynamic prompts per field and updates rows on events like row updates and field changes.</t>
  </si>
  <si>
    <t>CallForge AI Sales Call Data to Notion</t>
  </si>
  <si>
    <t>Automates extraction and organization of AI-processed sales call data into Notion. Integrates Gong AI transcripts, Notion databases, and handles product feedback and AI use cases with rate limiting and data validation for streamlined CRM insights.</t>
  </si>
  <si>
    <t>Telegram Voice/Text to Todoist Task Creator</t>
  </si>
  <si>
    <t>An n8n workflow that converts Telegram voice or text messages into structured Todoist tasks. It uses Telegram API for input, OpenAI Whisper for voice transcription, GPT-4o-mini for AI task decomposition, and Todoist API for task creation.</t>
  </si>
  <si>
    <t>Startup Funding News Data Extractor</t>
  </si>
  <si>
    <t>Automates extraction and structuring of funding news data from TechCrunch and VentureBeat sitemaps using n8n with Langchain AI (Anthropic Claude, OpenRouter Perplexity), HTML/XML parsing, and Airtable for storage. Enables comprehensive company funding research.</t>
  </si>
  <si>
    <t>AI-Powered Telegram Survey Bot with Redis &amp; Google Sheets</t>
  </si>
  <si>
    <t>Conducts structured product satisfaction surveys via Telegram bot. Uses Redis for session state, Google Sheets for questions and answers storage, and OpenAI GPT models for generating follow-ups and conversational AI. Enables guided, multi-turn survey chats with dynamic follow-up questions.</t>
  </si>
  <si>
    <t>Telegram-Based Delivery Tracking Assistant</t>
  </si>
  <si>
    <t>Automates shipment tracking via Telegram bot integration, guiding drivers through delivery number input, GPS location sharing, photo uploads, and sends confirmations via Gmail. Uses Telegram API, Google Drive, Google Sheets, and Gmail within n8n workflow for logistics management.</t>
  </si>
  <si>
    <t>EDI Order Email Processor with Google Sheets</t>
  </si>
  <si>
    <t>Automates processing of EDI order emails via Gmail API, parses EDI messages using JavaScript code, filters orders by type, and appends detailed order data into separate sheets in Google Sheets for return and outbound orders. Utilizes n8n, Gmail Trigger, JS parsing, and Google Sheets API.</t>
  </si>
  <si>
    <t>Website Security Scanner &amp; Audit Report</t>
  </si>
  <si>
    <t>An n8n workflow to scan a given website URL for client-side security vulnerabilities and misconfigurations. Uses HTTP Requests to fetch page and headers, OpenAI GPT-4o-mini models for detailed security analysis of HTTP headers and page content, merges AI insights, and emails a comprehensive, HTML report via Gmail. Ideal for developers wanting automated website security assessments.</t>
  </si>
  <si>
    <t>AI Workplace Discrimination Pattern Detector</t>
  </si>
  <si>
    <t>This n8n workflow uses ScrapingBee to extract Glassdoor reviews, employs OpenAI's LLMs to analyze demographic rating disparities, calculates statistical measures like z-scores &amp; effect sizes, and visualizes results with QuickChart, helping identify workplace discrimination patterns.</t>
  </si>
  <si>
    <t>Bitrix24 Open Channel RAG Chatbot</t>
  </si>
  <si>
    <t>An n8n workflow integrating Bitrix24 Open Channels with a Retrieval-Augmented Generation (RAG) chatbot. It uses Bitrix24 APIs, Google Gemini chat model, Ollama embeddings, Qdrant vector store, and LangChain nodes to process messages, manage chatbot lifecycle, handle files, and answer queries based on uploaded documents.</t>
  </si>
  <si>
    <t>AI Telegram Bot with Supabase Memory</t>
  </si>
  <si>
    <t>An n8n workflow integrating Telegram Bot API, OpenAI Assistants (via HTTP API), and Supabase database to create a context-aware AI chatbot. It stores user sessions and conversation threads to maintain memory for personalized, continuous conversations in Telegram.</t>
  </si>
  <si>
    <t>Reddit Business Opportunity Analyzer with AI</t>
  </si>
  <si>
    <t>Automates fetching and filtering Reddit posts from r/smallbusiness, analyzes business-related content using GPT-4o-mini (OpenAI API) for sentiment, summarization, and solution ideation, then categorizes results into Gmail drafts and logs insights to Google Sheets.</t>
  </si>
  <si>
    <t>Etsy Data Mining Automation with Bright Data &amp; AI</t>
  </si>
  <si>
    <t>Automates Etsy product data extraction using Bright Data's Web Unlocker API for scraping, enriched by Google Gemini and OpenAI for AI-driven information extraction and pagination handling. Outputs structured product info and supports webhook notifications and disk storage.</t>
  </si>
  <si>
    <t>PDF Digital Certificate &amp; Signing Service</t>
  </si>
  <si>
    <t>n8n workflow automating PDF digital signing with key generation using node-forge and @signpdf libraries, plus API endpoints for uploading, signing, and downloading PDFs securely. Supports PFX cert creation and handles file management in a server environment.</t>
  </si>
  <si>
    <t>AI News Summary &amp; Auto Post to X</t>
  </si>
  <si>
    <t>Automates fetching the latest AI news using Perplexity AI API and posts concise headlines with article links to X (formerly Twitter) every 21 hours. Uses n8n for scheduling, HTTP requests, and Twitter OAuth2 API integration for social media automation.</t>
  </si>
  <si>
    <t>HubSpot Chatbot AI Assistant Integration</t>
  </si>
  <si>
    <t>An n8n workflow integrating HubSpot Conversations with OpenAI Assistants to automate chatbot interactions. It handles message retrieval, OpenAI thread management, action execution, and response posting using HubSpot API, OpenAI API (assistants v1), Airtable for thread mapping, and external company data APIs (listafirme.ro).</t>
  </si>
  <si>
    <t>Billbee Address Validation Automation</t>
  </si>
  <si>
    <t>Automates address validation for Billbee orders using Endereco API. Fetches shipping data from Billbee, validates and corrects addresses via Endereco service, updates Billbee, and applies tags for validation status. Uses Billbee API, Endereco API, and n8n automation.</t>
  </si>
  <si>
    <t>Batch Upload Images and Embed to Qdrant</t>
  </si>
  <si>
    <t>Automates batch importing of crop images from Google Cloud Storage, creates multimodal embeddings via Voyage AI API, and uploads them to Qdrant vector database with cluster and payload indexing setup. Ideal for anomaly detection using agricultural crop datasets.</t>
  </si>
  <si>
    <t>KNN Image Classifier for Land Types</t>
  </si>
  <si>
    <t>An n8n workflow that classifies satellite land-use images using KNN. It embeds images via Voyage AI's multimodal embeddings API, queries Qdrant vector DB for nearest neighbors, and applies majority voting with tie resolution to output land type classes.</t>
  </si>
  <si>
    <t>Medoids Setup for Crop Anomaly Detection</t>
  </si>
  <si>
    <t>n8n workflow sets cluster centers and thresholds for anomaly detection in agricultural crop data using Qdrant vector DB, Voyage AI multimodal embeddings, and Scipy. Enables precise identification of cluster representatives and scoring for anomaly detection with Qdrant Cloud API.</t>
  </si>
  <si>
    <t>Crop Image Anomaly Detection Tool</t>
  </si>
  <si>
    <t>An anomaly detection tool for crop images using Qdrant Cloud for vector search and Voyage AI multimodal embeddings API. It identifies if an input image URL depicts a known crop or an anomaly against a prepared agricultural crops dataset. Built with n8n workflow automation.</t>
  </si>
  <si>
    <t>Venafi Slack CertBot: Automated Cert Requests</t>
  </si>
  <si>
    <t>An n8n workflow integrating Slack API, Venafi TLS Protect Cloud, VirusTotal, and OpenAI to automate Certificate Signing Requests. Uses Slack modals for inputs, VirusTotal for domain risk analysis, AI for report generation, and conditionally auto-issues or requests manual approval.</t>
  </si>
  <si>
    <t>OpenRouter LLM Chatbot via LangChain</t>
  </si>
  <si>
    <t>An n8n workflow integrating multiple LLM models through OpenRouter API using LangChain nodes to handle chat triggers, memory, and agent logic. Enables customizable large language model interactions with session memory and dynamic prompt input.</t>
  </si>
  <si>
    <t>Todoist Weekly Completed Tasks Review</t>
  </si>
  <si>
    <t>Automates weekly retrieval of completed Todoist tasks using Todoist API. Filters out unwanted projects, formats tasks by completion date into an HTML email, and sends a summary every Friday. Built with n8n automation, HTTP Request, JavaScript code, and email nodes.</t>
  </si>
  <si>
    <t>n8n Gmail Error Notification Workflow</t>
  </si>
  <si>
    <t>An n8n workflow that triggers on workflow errors (execution and trigger-level) and sends detailed error notification emails via Gmail. Includes error details, stack traces, and direct links to workflows and executions. Uses n8n Error Trigger and Gmail nodes for robust error handling.</t>
  </si>
  <si>
    <t>Weekly Shodan IP &amp; Port Security Monitor</t>
  </si>
  <si>
    <t>n8n workflow that weekly checks specified IPs and ports via Shodan API for unexpected open ports, formats results in Markdown tables, and sends alerts to TheHive security platform. Uses HTTP Request, Markdown, and TheHive nodes for automation.</t>
  </si>
  <si>
    <t>3D Model to Spinning Video Generator</t>
  </si>
  <si>
    <t>Automates creation of 3D spinning videos from AI-generated images using PiAPI's Midjourney, GPT-4o-image, and Kling APIs. Workflow includes image generation, transformation to 3D figurines, and final video rendering with status checks and waits, all orchestrated in n8n.</t>
  </si>
  <si>
    <t>SRT Subtitle File Translator</t>
  </si>
  <si>
    <t>An n8n workflow automating SRT subtitle file translation using Google Translate API. It extracts text from uploaded SRT files, processes subtitle blocks, translates content to selected languages (e.g., EN, JP), then rebuilds and returns the translated SRT file. Utilizes n8n form triggers and file processing nodes.</t>
  </si>
  <si>
    <t>ParquetReader File Converter to JSON</t>
  </si>
  <si>
    <t>An n8n workflow that converts uploaded Parquet, Avro, ORC, and Feather files to JSON format using the ParquetReader API. It uses a webhook to receive files, sends them via multipart/form-data to the API, and parses the JSON response, enabling easy data transformation and integration.</t>
  </si>
  <si>
    <t>Automated Online List Builder</t>
  </si>
  <si>
    <t>An n8n workflow that automates building curated online lists by querying Google search with Airtop API, extracting people info from web pages, deduplicating results, and appending to Google Sheets. Uses Airtop API, Google Sheets, and custom JavaScript.</t>
  </si>
  <si>
    <t>n8n Workflow Documentation Generator</t>
  </si>
  <si>
    <t>Automates documentation for n8n workflows using OpenAI GPT-4, Mermaid.js for diagrams, and Docsify for Markdown rendering. Supports viewing, editing, auto-generating, and saving workflow docs stored as Markdown files.</t>
  </si>
  <si>
    <t>Gumroad to Beehiiv Newsletter &amp; CRM Sync</t>
  </si>
  <si>
    <t>Automates adding Gumroad sales to Beehiiv newsletter subscriptions and Google Sheets CRM, plus Telegram notifications. Uses Gumroad API webhook, Beehiiv HTTP API, Google Sheets OAuth2, and Telegram bot. Ideal for creators syncing sales with newsletter &amp; CRM.</t>
  </si>
  <si>
    <t>LinkedIn Profile Lead Collector via SerpAPI</t>
  </si>
  <si>
    <t>Automates extraction of LinkedIn profiles by keyword and location using SerpAPI for Google search, OpenAI API for data enrichment, and NocoDB for storage. Outputs an Excel file and database-ready lead list for sales or marketing use. Ideal for lead generation with no-code tools.</t>
  </si>
  <si>
    <t>Google Drive to PGVector Loader</t>
  </si>
  <si>
    <t>Automates loading of documents from Google Drive into a Postgres PGVector database with OpenAI embeddings. Supports PDF, text, and JSON files, uses Langchain nodes for processing, enabling vector search-ready storage and management.</t>
  </si>
  <si>
    <t>Twitter Thread Generator with AI Agent</t>
  </si>
  <si>
    <t>This n8n workflow uses Langchain's chat trigger, OpenAI GPT-4o model, and Twitter API to create engaging Twitter threads. It employs a conversational AI agent that drafts informative, friendly tweets and replies, forming coherent, natural threads with memory context for flow.</t>
  </si>
  <si>
    <t>AI Website Screenshot Analyzer</t>
  </si>
  <si>
    <t>Automate website screenshot capture using URLbox API, then analyze the image content with OpenAI's vision capabilities in n8n workflow. Combines URL capture, AI image analysis, and data merging for concise website summaries. Requires URLbox &amp; OpenAI API keys.</t>
  </si>
  <si>
    <t>Google Sheets to Postgres Sync Automation</t>
  </si>
  <si>
    <t>Automates synchronization of data from Google Sheets to a Postgres database using n8n. Utilizes Google Sheets API and Postgres nodes to retrieve, compare, insert, and update rows on a scheduled hourly basis, ensuring database consistency with spreadsheet updates.</t>
  </si>
  <si>
    <t>Backlink Live Status Checker</t>
  </si>
  <si>
    <t>Automates backlink verification by reading URLs from Google Sheets and checking their live status using DataForSEO's On-Page API. Updates sheet with backlink statuses ('Live', 'Lost', or 'Lost (Nofollow)'). Integrates Google Sheets, DataForSEO API, and n8n automation.</t>
  </si>
  <si>
    <t>YouTube Video Metadata Automation</t>
  </si>
  <si>
    <t>Automates fetching latest YouTube videos, extracting transcripts via Apify API, generating SEO-optimized descriptions and tags with OpenAI GPT-4 and Google Gemini models, and updating video metadata. Enables scheduling and batch processing of videos using YouTube OAuth2 API within n8n.</t>
  </si>
  <si>
    <t>MAIA Health Check URL Monitor</t>
  </si>
  <si>
    <t>Automates website health monitoring by fetching URLs from Google Sheets, checking their HTTP status, and sending alerts via Telegram. Utilizes Google Sheets API, HTTP Request node, and Telegram Bot API, enabling easy scheduled uptime notifications.</t>
  </si>
  <si>
    <t>Brand Content Extraction &amp; Sentiment Analysis</t>
  </si>
  <si>
    <t>Automates brand content extraction from websites via Bright Data Web Unlocker API, uses Google Gemini AI for textual data extraction, summarization, and structured sentiment analysis, and sends results through webhooks and files.</t>
  </si>
  <si>
    <t>Multi-LLM Testing &amp; Analysis with LM Studio</t>
  </si>
  <si>
    <t>An n8n workflow to test multiple local LLMs via LM Studio API, analyze readability and language metrics, and save results to Google Sheets. Uses LM Studio server API, n8n LangChain nodes, and Google Sheets integration to track and compare LLM outputs effectively.</t>
  </si>
  <si>
    <t>Email to Todoist Task Automation</t>
  </si>
  <si>
    <t>Automates converting Gmail emails into Todoist tasks using n8n workflow with Gmail API, Todoist API, and OpenAI's GPT-4 mini model. Summarizes email content, proposes actions, and manages task lifecycle for efficient email-task integration.</t>
  </si>
  <si>
    <t>YouTube Comment Sentiment Analyzer</t>
  </si>
  <si>
    <t>Automated workflow to extract YouTube video URLs from Google Sheets, fetch video comments via YouTube Data API v3, analyze sentiment using OpenAI GPT-4o-mini model, and log results and timestamps back to Google Sheets for tracking and analysis.</t>
  </si>
  <si>
    <t>Automated Image Metadata Tagging</t>
  </si>
  <si>
    <t>An n8n workflow that automatically tags images uploaded to a specific Google Drive folder by analyzing their content with OpenAI's GPT-4o vision model and embedding keywords into the image's metadata. Integrates Google Drive and OpenAI APIs for seamless image content analysis and metadata updates.</t>
  </si>
  <si>
    <t>Meeting Booking to Newsletter &amp; CRM Sync</t>
  </si>
  <si>
    <t>Automates adding meeting attendees from Cal.com to Google Sheets and Beehiiv newsletter, with Telegram notifications. Integrates Cal.com webhook, Google Sheets API, Beehiiv API, and Telegram bot for seamless CRM and newsletter management.</t>
  </si>
  <si>
    <t>Multipage Website Scraper with Jina.ai &amp; Google Drive</t>
  </si>
  <si>
    <t>This n8n workflow scrapes multipage websites using sitemap XMLs, processes content with Jina.ai's no-API-key web scraper, extracts titles and markdown, and saves them to Google Drive. It automates website content collection and organization efficiently.</t>
  </si>
  <si>
    <t>Line AI Chatbot with Groq &amp; Llama3</t>
  </si>
  <si>
    <t>An n8n workflow integrating LINE Messaging API with Groq's Llama 3.3 AI model for conversational AI responses. It handles user messages from LINE, sends them to Groq's API, and replies with AI-generated content. Uses HTTP webhook and REST APIs for automation.</t>
  </si>
  <si>
    <t>Weekly News Scraper &amp; Summarizer</t>
  </si>
  <si>
    <t>Automates weekly scraping of news posts from Colt's website without RSS feed. Uses CSS selectors for extracting titles, dates, and links, then summarizes and extracts keywords via OpenAI GPT-4 API. Stores results in a NocoDB SQL database for further processing.</t>
  </si>
  <si>
    <t>Gmail Invoice Attachments to Google Drive &amp; Sheets</t>
  </si>
  <si>
    <t>Automates processing of unread Gmail emails with PDF invoices by saving attachments to Google Drive, extracting invoice data using OpenAI's GPT-4, and appending results to Google Sheets for reconciliation. Integrates Gmail API, Google Drive API, Google Sheets API, and OpenAI GPT-4.</t>
  </si>
  <si>
    <t>360° Virtual Try-on Video Generator</t>
  </si>
  <si>
    <t>Automates creation of 360° virtual try-on clothing videos using Kling API via PiAPI. Integrates HTTP requests, status checks, and wait nodes in n8n workflow. Ideal for fashion e-commerce and content creators seeking immersive try-on experiences.</t>
  </si>
  <si>
    <t>Discord AI Chat Agent with MCP Integration</t>
  </si>
  <si>
    <t>An n8n workflow that enables natural language chat interaction in Discord via MCP protocol, using OpenAI GPT-4o model as AI agent. It listens to chat messages, processes with Langchain AI agent, and interacts with a customizable MCP server for powerful Discord bot capabilities.</t>
  </si>
  <si>
    <t>Colombian Electronic Invoice Processor</t>
  </si>
  <si>
    <t>Automates extraction and organization of Colombian electronic invoices from Gmail ZIP attachments. Uses OpenAI GPT-4o-mini via LangChain to parse PDF and XML invoice data, validates totals, saves PDFs to Google Drive, and logs details in Google Sheets for easy tracking.</t>
  </si>
  <si>
    <t>YouTube Trending Content Insight Generator</t>
  </si>
  <si>
    <t>An AI-powered n8n workflow leveraging OpenAI and YouTube APIs to help creators find and analyze trending YouTube videos by niche. It uses Langchain agent, YouTube Data API, and OpenAI language models to provide insightful, data-driven content trends from recent videos.</t>
  </si>
  <si>
    <t>YouTube Video Transcript Extractor</t>
  </si>
  <si>
    <t>An n8n workflow that extracts and cleans YouTube video transcripts using the YouTube Transcript RapidAPI. It takes a video URL input via a form, fetches transcript data through API, processes and cleans the text for easy use. Stack: n8n, RapidAPI, HTTP Request Node.</t>
  </si>
  <si>
    <t>Competitor Pricing Monitor &amp; Alert System</t>
  </si>
  <si>
    <t>Automates monitoring competitor pricing by fetching URLs from Google Sheets, using Airtop AI to summarize and compare pricing plans, filters changes, updates the sheet, and sends Slack alerts. Integrates Google Sheets API, Airtop AI, and Slack API.</t>
  </si>
  <si>
    <t>ICP Company Scoring Automation</t>
  </si>
  <si>
    <t>Automates Ideal Customer Profile scoring by extracting company data from Google Sheets, analyzing LinkedIn data via Airtop AI, and updating scores back to the sheet. Tech stack includes Google Sheets API and Airtop AI for detailed LinkedIn company profile analysis and scoring.</t>
  </si>
  <si>
    <t>Restore n8n Workflows from GitHub Backup</t>
  </si>
  <si>
    <t>Automates restoring n8n workflows by fetching JSON backup files from a specified GitHub repository path using GitHub API and n8n native nodes. It requires GitHub API credentials and n8n API to recreate workflows seamlessly.</t>
  </si>
  <si>
    <t>Airflow DAG Run Trigger &amp; Monitor</t>
  </si>
  <si>
    <t>An n8n workflow to trigger Apache Airflow DAG runs and monitor their state using Airflow REST API with HTTP Basic Auth. It supports waiting with retry logic until the DAG run succeeds or fails, returning task results via XCom. Useful for automating Airflow DAG execution and status retrieval.</t>
  </si>
  <si>
    <t>Custom AI Chat Agent with LangChain &amp; Gemini</t>
  </si>
  <si>
    <t>An n8n workflow that creates a self-hosted AI chat agent using LangChain and Google Gemini API. Features include conversation memory buffer, custom prompt engineering for a Chinese-speaking persona, and webhook-triggered chat interface.</t>
  </si>
  <si>
    <t>Sync Jira Issues &amp; Comments to Notion DB</t>
  </si>
  <si>
    <t>Automates syncing Jira issue events (created, updated, deleted) with a Notion database, updating issue details and statuses in real-time. Utilizes Jira Webhooks, Notion API, conditional logic (IF, Switch nodes), and JavaScript for data transformation in n8n.</t>
  </si>
  <si>
    <t>LinkedIn Auto Post from Medium Articles</t>
  </si>
  <si>
    <t>An n8n workflow that automatically fetches Medium articles by tag twice daily using RapidAPI, filters out posted ones tracked in Airtable, posts new articles with images to LinkedIn, and sends Telegram notifications for each successful post. Utilizes Airtable, LinkedIn API, RapidAPI Medium API, and Telegram bot.</t>
  </si>
  <si>
    <t>Qdrant Vector DB Embedding Pipeline</t>
  </si>
  <si>
    <t>Automates embedding of JSON documents from FTP into Qdrant vector DB using OpenAI embeddings. Uses FTP for file retrieval, OpenAI 'text-embedding-ada-002' for embeddings, Qdrant Vector Store for storage, and Langchain nodes for splitting and loading. Ideal for semantic search setups.</t>
  </si>
  <si>
    <t>OpenSea NFT Analytics Agent</t>
  </si>
  <si>
    <t>An AI-powered n8n workflow integrating OpenAI GPT-4o-mini and the OpenSea API to fetch and analyze NFT collection stats, wallet events, and market trends. Provides real-time NFT insights, supports multiple endpoints, and ensures compliant, structured NFT data retrieval.</t>
  </si>
  <si>
    <t>Palo Alto Security Advisory Monitor</t>
  </si>
  <si>
    <t>Automates monitoring of Palo Alto Networks security advisories via RSS feed, filters for relevant products, creates Jira issues for critical alerts, and emails customers. Utilizes RSS Feed, Jira API, Gmail API, and dynamic filtering for streamlined security alert management.</t>
  </si>
  <si>
    <t>Stripe Payment Order Sync &amp; Customer Info Extraction</t>
  </si>
  <si>
    <t>Automates syncing Stripe payment events, auto-retrieves detailed customer info and product purchased from Stripe API using webhook triggers and HTTP requests in n8n for seamless order data handling.</t>
  </si>
  <si>
    <t>Error Logging with Rate-Limited Alerts</t>
  </si>
  <si>
    <t>An n8n workflow that captures workflow errors, logs them into a PostgreSQL database (via NocoDB schema), and limits alert notifications (email and push) to one every 5 minutes to avoid overload. Includes manual cleanup and extensible error handling hooks.</t>
  </si>
  <si>
    <t>Lead Capture &amp; Validation Workflow</t>
  </si>
  <si>
    <t>Automates capturing form leads with n8n Form Trigger, validates emails via Hunter API, updates Google Sheets, and notifies via Gmail and Discord webhook. Ensures authentic lead data management with seamless integration of form, email verification, spreadsheet, and messaging services.</t>
  </si>
  <si>
    <t>Google Maps Lead Extraction to Google Sheets</t>
  </si>
  <si>
    <t>Automates extraction of business leads from Google Maps using Dumpling AI API and logs them into Google Sheets. Includes place details like name, address, rating, website, phone, and booking links. Uses n8n HTTP Request, Split Out, and Google Sheets nodes.</t>
  </si>
  <si>
    <t>Email To-Do ➔ Google Tasks Automation</t>
  </si>
  <si>
    <t>Automates task creation by capturing Gmail emails labeled 'To-Do' using Gmail API and creating Google Tasks via Google Tasks API. Utilizes n8n workflow with OAuth2 credentials for seamless integration, helping users turn emails into actionable tasks effortlessly.</t>
  </si>
  <si>
    <t>LINE Chatbot with Google Calendar &amp; Gmail AI</t>
  </si>
  <si>
    <t>An n8n workflow integrating LINE messaging with Google Calendar and Gmail using OpenAI &amp; LangChain AI. It enables conversational AI responses, calendar event creation/reading, and email reading via LINE chatbot, enhancing productivity and user assistance.</t>
  </si>
  <si>
    <t>OpenSea NFT Data AI Agent</t>
  </si>
  <si>
    <t>An AI-powered n8n workflow integrating OpenSea API and GPT-4o Mini to retrieve, analyze, and process NFT collections, user profiles, contracts, NFTs, payment tokens, and traits. Enables real-time structured NFT insights with advanced query support and session memory.</t>
  </si>
  <si>
    <t>Web Data Search &amp; Summarization with Gemini AI</t>
  </si>
  <si>
    <t>Automates web data retrieval and summarization using Bright Data's scraping API, Perplexity search, and Google Gemini AI models. Extracts data snapshots, processes and summarizes content via LangChain integration, then sends results to webhooks for notifications.</t>
  </si>
  <si>
    <t>OpenID Connect (OIDC) Authentication Flow</t>
  </si>
  <si>
    <t>An n8n workflow implementing OpenID Connect client login using OAuth2 with PKCE. Utilizes webhook, HTTP requests to auth, token, and userinfo endpoints, and dynamic HTML responses for login and welcome pages. Supports Keycloak and similar providers.</t>
  </si>
  <si>
    <t>Shopify Orders UTM Data to Baserow</t>
  </si>
  <si>
    <t>Automates daily extraction of Shopify orders with UTM parameters using Shopify GraphQL API. Transforms and filters data, then stores enriched order details in Baserow database. Utilizes n8n integration workflows with Shopify API and Baserow API for marketing attribution tracking.</t>
  </si>
  <si>
    <t>Batch Import CSV Files to Google Sheets</t>
  </si>
  <si>
    <t>Automates importing multiple CSV files from a folder into a Google Sheet using n8n. It reads CSVs, removes duplicate users, filters only subscribers, sorts by subscription date, and updates the sheet via Google Sheets API integration.</t>
  </si>
  <si>
    <t>AI-Powered Dynamic Clarification Form</t>
  </si>
  <si>
    <t>This n8n workflow uses OpenAI's GPT-4o-mini model to analyze open-ended form responses and dynamically generate follow-up questions to avoid redundancy, optimizing data capture. It combines n8n forms, Langchain output parsing, and filtering to create adaptive multi-step forms for AI consultancy lead qualification.</t>
  </si>
  <si>
    <t>AI Travel Planner with MongoDB &amp; Google Gemini</t>
  </si>
  <si>
    <t>An AI-powered travel assistant built with n8n using Google Gemini for chat, MongoDB Atlas for chat memory and vector search, and OpenAI embeddings. It ingests points of interest, enabling intelligent travel recommendations based on up-to-date vectorized data.</t>
  </si>
  <si>
    <t>Shopify to Odoo Customer Sync</t>
  </si>
  <si>
    <t>Automates syncing of new Shopify customers to Odoo CRM contacts using Shopify webhook trigger and Odoo API integration for contact creation and deduplication.</t>
  </si>
  <si>
    <t>AI T-Shirt Design Redesign from Image URL</t>
  </si>
  <si>
    <t>This n8n workflow uses OpenAI APIs (GPT-4o, image analysis, and image generation) combined with Langchain AI Agent to analyze a T-shirt mockup image URL, creatively refine its design prompt, and generate a new high-quality T-shirt artwork image. Automates apparel redesign with AI.</t>
  </si>
  <si>
    <t>YouTube Channel Video Stats Tracker</t>
  </si>
  <si>
    <t>Automates fetching and storing YouTube channel videos data using YouTube API and PostgreSQL. Retrieves recent videos, filters shorts, calculates average views, and tracks best-performing videos from last 2 weeks. Built with n8n workflow automation.</t>
  </si>
  <si>
    <t>Thai Line ChatBot with Google Sheets Memory</t>
  </si>
  <si>
    <t>An automated Thai-language chatbot for LINE using Google Gemini AI and Google Sheets to store and retrieve user conversation history as context memory. Built with n8n, integrating LINE Messaging API, LangChain AI Agent, and Google Sheets API.</t>
  </si>
  <si>
    <t>LLM Output Comparison with OpenRouter &amp; Sheets</t>
  </si>
  <si>
    <t>An n8n workflow to compare outputs of two language models via OpenRouter API, displaying results side-by-side in chat and logging them into Google Sheets. Features isolated model memory, supports OpenAI and Vertex AI, enabling manual or automated evaluation.</t>
  </si>
  <si>
    <t>Pipedrive Organization Data Enrichment</t>
  </si>
  <si>
    <t>Automates enrichment of Pipedrive organizations by scraping their website using ScrapingBee, summarizing company info with OpenAI GPT-4o, adding a detailed note in Pipedrive, and sending Slack notifications. Utilizes Pipedrive API, ScrapingBee API, OpenAI GPT-4o, and Slack integration.</t>
  </si>
  <si>
    <t>AI-Powered Contact Manager with Airtable</t>
  </si>
  <si>
    <t>Automates contact management combining OpenAI GPT-4o and Airtable APIs. Uses AI agent for intelligent querying, adding, and updating contacts seamlessly, ideal for CRM automation and productivity enhancement.</t>
  </si>
  <si>
    <t>Automates extraction, summarization, and analysis of YouTube video transcripts using YouTube API, a custom YouTube transcripter, and GPT-4o mini. Sends structured summaries and video info to a Telegram channel. Built with n8n workflow automation.</t>
  </si>
  <si>
    <t>Vision-Based AI Web Scraper with Google Sheets</t>
  </si>
  <si>
    <t>This n8n workflow uses Google Sheets, ScrapingBee API, and Google Gemini-1.5-Pro AI model to extract structured e-commerce data from website screenshots. It falls back to HTML scraping converted to Markdown for accuracy, outputting organized JSON results to Google Sheets.</t>
  </si>
  <si>
    <t>FLUX Image Inpainting Editor</t>
  </si>
  <si>
    <t>An n8n workflow integrating FLUX-Fill API for advanced image inpainting. Provides a web-based editor using Konva.js and img-comparison-slider to edit images with mask and prompt inputs, then processes via FLUX-Fill, returning edited images seamlessly.</t>
  </si>
  <si>
    <t>DeepSeek Chat &amp; Reasoning Agent</t>
  </si>
  <si>
    <t>An n8n workflow integrating DeepSeek's AI models (deepseek-chat &amp; deepseek-reasoner) and Ollama local model for advanced conversational AI with reasoning. Uses Langchain nodes, HTTP requests, memory buffer, and OpenAI-compatible APIs to manage chat interactions and multi-turn memory.</t>
  </si>
  <si>
    <t>Telegram AI Chatbot with Long Term Memory</t>
  </si>
  <si>
    <t>An n8n workflow integrating Telegram Bot API with DeepSeek AI (compatible with OpenAI API) and Google Docs for long-term memory storage. It validates Telegram user identity, routes message types, processes chats with AI, and saves user-specific memories to enable personalized, context-aware conversations.</t>
  </si>
  <si>
    <t>n8n Workflow Documentation System</t>
  </si>
  <si>
    <t>This n8n workflow generates, views, edits, and saves Markdown documentation for n8n workflows using Docsify, Mermaid.js, and OpenAI GPT-4 API. It auto-creates workflow docs with interactive Mermaid diagrams, live Markdown editor, and serves HTML/Markdown content via webhooks.</t>
  </si>
  <si>
    <t>Perplexity AI Article Formatter</t>
  </si>
  <si>
    <t>n8n workflow integrating Perplexity.ai API with OpenAI GPT-4o-mini to convert structured article data into professional, single-line HTML content. Uses AI for research, content enhancement, and HTML formatting to automate article generation with rich metadata and hashtags.</t>
  </si>
  <si>
    <t>n8n AI Agent for Creator Leaderboard Stats</t>
  </si>
  <si>
    <t>Aggregates n8n community data from GitHub JSONs to generate detailed AI-powered Markdown reports on top creators and their workflows. Utilizes n8n HTTP Request nodes, merges datasets, filters by username, and employs OpenAI GPT-4o-mini for insightful community analytics and trending workflow stats.</t>
  </si>
  <si>
    <t>LM Studio Multi-LLM Testing &amp; Analysis</t>
  </si>
  <si>
    <t>Automates testing and comparison of multiple local LLMs via LM Studio server. Uses HTTP requests, LangChain nodes, OpenAI API credentials, and Google Sheets for logging. Analyzes response metrics like readability, word count, and timing for informed LLM evaluation.</t>
  </si>
  <si>
    <t>Telegram Bot: AI Text, Audio &amp; Image Handler</t>
  </si>
  <si>
    <t>An automated Telegram bot workflow using n8n. It sets up Telegram webhooks and processes incoming messages with AI capabilities: transcribes voice to text, analyzes images with OpenAI GPT-4o-mini, classifies text messages, and routes them accordingly. Integrates Telegram API, Langchain OpenAI nodes, and n8n automation.</t>
  </si>
  <si>
    <t>n8n Creators Leaderboard Reporting Workflow</t>
  </si>
  <si>
    <t>Automates daily reporting of the top n8n community creators and workflows using GitHub data sources, OpenAI GPT-4o-mini and Google Gemini LLM for insights. Generates markdown reports, saves to Google Drive, and distributes via Gmail and Telegram, highlighting community trends and top contributors.</t>
  </si>
  <si>
    <t>HubSpot &amp; Lemlist Hiring Lead Automation</t>
  </si>
  <si>
    <t>Automates hiring lead management by integrating Lonescale job intent webhook with Dropcontact enrichment, HubSpot CRM for company/contact handling, Lemlist campaigns, and Slack notifications. Tech stack: HubSpot API, Lemlist API, Dropcontact API, Slack API.</t>
  </si>
  <si>
    <t>Gmail PDF Attachment Filter &amp; Google Drive Upload</t>
  </si>
  <si>
    <t>Automates filtering PDF email attachments by text content using OpenAI, then uploads matched PDFs to a Google Drive folder. Integrates Gmail, OpenAI, and Google Drive via n8n. Ideal for processing invoices, payslips, or contracts received by email automatically.</t>
  </si>
  <si>
    <t>AI Email Auto-Reply and Feedback Logger</t>
  </si>
  <si>
    <t>Automates email replies using OpenAI GPT via Gmail trigger; stores incoming emails, generated replies, and feedback in Google Sheets for fine-tuning. Utilizes Gmail OAuth2, OpenAI API, and Google Sheets OAuth2 for seamless AI-driven email handling and feedback recording.</t>
  </si>
  <si>
    <t>Weekly Notion Ideas Summary to Slack</t>
  </si>
  <si>
    <t>Automates weekly aggregation of new product ideas from a Notion database, filters by UX-related ideas, counts unique entries, and posts a summary message to a specified Slack channel. Utilizes Notion API, Slack API, and n8n's scheduling and data processing nodes.</t>
  </si>
  <si>
    <t>Gmail to Notion Email Archiver</t>
  </si>
  <si>
    <t>Automates archiving labeled Gmail emails to a Notion database by creating pages for new emails and removing labels when marked done. Uses Gmail API and Notion API, triggered every minute for timely email management and productivity.</t>
  </si>
  <si>
    <t>Podcast Transcript Summarizer &amp; Digest Sender</t>
  </si>
  <si>
    <t>Automates summarizing a podcast transcript with OpenAI GPT-4o-mini, extracts key topics and questions, enriches them via Wikipedia research, formats the content in HTML, and emails a digest using Gmail. Utilizes n8n, LangChain modules, OpenAI API, and Wikipedia tool.</t>
  </si>
  <si>
    <t>AI-Driven Personalized Marketing Emails</t>
  </si>
  <si>
    <t>An n8n workflow that automates personalized marketing email campaigns using LangChain and OpenAI GPT-4-mini. It analyzes customer purchase and feedback data, generates tailored email content, and conditionally adds coupons. Includes email HTML templating and SMTP sending via n8n.</t>
  </si>
  <si>
    <t>Nextcloud Folder &amp; File Move Automation</t>
  </si>
  <si>
    <t>Automates moving folders and all their files/subfolders within Nextcloud using Nextcloud API. Supports recursive subfolder processing, folder structure replication, and sequential file moves to handle rate limits in external storage.</t>
  </si>
  <si>
    <t>TTS Voice &amp; Email Verification Automation</t>
  </si>
  <si>
    <t>Automates sending TTS voice calls via ClickSend API and email verification through SMTP for secure user verification. Features form input, code generation, voice &amp; email code verification, and user feedback. Tech: n8n, ClickSend API, SMTP, JavaScript.</t>
  </si>
  <si>
    <t>Structured Data Extraction &amp; AI Analysis Workflow</t>
  </si>
  <si>
    <t>An n8n workflow for structured data extraction using Bright Data Web Unlocker API, processed by Google Gemini PaLM AI models for topic extraction, sentiment analysis, and trend clustering by location and category. Saves results to files and supports webhook notifications.</t>
  </si>
  <si>
    <t>Printify Product Title &amp; Description Updater</t>
  </si>
  <si>
    <t>An automation workflow integrating Printify API, Google Sheets, and OpenAI to update product titles and descriptions. It uses AI to generate engaging ecommerce content following custom brand guidelines, syncing updates when sheet rows change.</t>
  </si>
  <si>
    <t>Blockchain DEX Screener Insights Agent</t>
  </si>
  <si>
    <t>An n8n workflow integrating Telegram and OpenAI GPT-4o-mini to provide real-time insights on decentralized exchange (DEX) data via DexScreener API endpoints. It processes user queries from Telegram, fetching token profiles, boosts, pairs, orders, and pools to deliver detailed blockchain DEX analytics.</t>
  </si>
  <si>
    <t>Dialpad Call to Syncro Ticket Sync</t>
  </si>
  <si>
    <t>An n8n workflow that integrates Dialpad webhook events with Syncro MSP API to sync call data and create/update support tickets automatically. Uses HTTP Request nodes for Syncro API, processes contact/customer data, and logs activities into Google Sheets.</t>
  </si>
  <si>
    <t>AI-Powered Webpage Fetch and Markdown Converter</t>
  </si>
  <si>
    <t>An n8n workflow integrating Langchain AI Agent with OpenAI's GPT-4o-mini and HTTP requests to fetch, sanitize, simplify, and convert webpage HTML content into Markdown. Handles errors, limits length, and offers a simplified or full content mode.</t>
  </si>
  <si>
    <t>Icypeas Bulk Domain Scan from Google Sheets</t>
  </si>
  <si>
    <t>Automate bulk domain scans using Icypeas API by reading company data from Google Sheets. Uses Google Sheets node, custom JavaScript for API auth with HMAC-SHA1 signing, and HTTP POST request for domain search tasks. Ideal for bulk domain research and verification.</t>
  </si>
  <si>
    <t>G2 Competitor Review Monitor</t>
  </si>
  <si>
    <t>Automates daily monitoring of competitor reviews on G2 using ScrapingBee API for scraping, extracts and converts review data to Markdown, stores results in Google Sheets, and sends new review alerts to Slack for real-time team updates.</t>
  </si>
  <si>
    <t>Shopify Inventory Alert to Discord</t>
  </si>
  <si>
    <t>Automates Shopify inventory monitoring via webhooks and GraphQL API. Sends low stock or out-of-stock alerts with product info and images to Discord channels using Discord Bot API, enabling timely inventory management.</t>
  </si>
  <si>
    <t>Telegram Support Ticket System via n8n</t>
  </si>
  <si>
    <t>An n8n workflow integrating Telegram Bot API and Redis to convert Telegram messages into a support ticket system. It manages user data, creates unique forum topics in a Telegram support group, forwards messages, and broadcasts announcements to users. Enables team collaboration and message preservation.</t>
  </si>
  <si>
    <t>Cloudflare KV Namespace Manager</t>
  </si>
  <si>
    <t>An n8n workflow integrating Cloudflare KV storage API to manage namespaces and key-value pairs. Supports creation, deletion, renaming namespaces, plus read/write/delete of KV pairs with metadata. Utilizes HTTP Request nodes, Cloudflare API, and n8n's set and manual trigger nodes.</t>
  </si>
  <si>
    <t>Meraki Network Latency &amp; Loss Alert System</t>
  </si>
  <si>
    <t>Automates monitoring of Cisco Meraki networks by fetching orgs, networks, and uplink latency/loss data via Meraki API. Calculates 5-min averages, filters problematic sites, avoids duplicate alerts using Redis, and notifies teams through Microsoft Teams.</t>
  </si>
  <si>
    <t>Switchy.io URL Shortener with Meta Parsing</t>
  </si>
  <si>
    <t>An advanced n8n workflow integrating Switchy.io API, OpenGraph.xyz, Dub.sh, Norton, Bitdefender, and PhishTank to parse URL metadata, check safety, generate screenshots, and create or update short URLs with rich preview images and branding options.</t>
  </si>
  <si>
    <t>Airtable Automated Recurring Task Creator</t>
  </si>
  <si>
    <t>Automates recurring task creation using Airtable API in n8n. It retrieves task templates, assignees, clients, calculates task dates, creates new tasks, updates automation records, and optionally notifies assignees via Slack.</t>
  </si>
  <si>
    <t>Bulk CSV Contact Upload to Airtable</t>
  </si>
  <si>
    <t>Automates bulk upload of contacts from CSV files into Airtable using Airtable API, CSV parsing, and file download. Tracks upload status (Processing, Uploaded, Failed) and integrates with Airtable Interface and Google Sheets templates.</t>
  </si>
  <si>
    <t>Daily Crunchbase Fundraising to Google Sheets</t>
  </si>
  <si>
    <t>Automates daily retrieval of recent Series A, B, and Seed fundraising data from Piloterr API (Crunchbase data) and enriches with company info. Data is processed and updated in Google Sheets. Uses n8n, Piloterr API, and Google Sheets integration for startup funding tracking.</t>
  </si>
  <si>
    <t>YouTube Video Transcript Summarizer with LangChain</t>
  </si>
  <si>
    <t>An n8n workflow that uses searchapi.io to fetch YouTube video transcripts and OpenAI GPT-4o-mini via LangChain to generate detailed summaries and example Q&amp;A, helping users quickly understand and interact with video content.</t>
  </si>
  <si>
    <t>AI Agent for Google Sheets Customer Queries</t>
  </si>
  <si>
    <t>An n8n workflow integrating OpenAI GPT-4o-mini and Google Sheets API to create an AI agent that answers complex customer data queries by selectively retrieving column names, column values, or customer rows from a Google Sheet. Supports dynamic data fetching to handle large datasets efficiently.</t>
  </si>
  <si>
    <t>Automated Customer Email Sender via Google Sheets</t>
  </si>
  <si>
    <t>An n8n workflow automating personalized Gmail email sending by retrieving customer message details from Google Sheets, filtering data by status and current date, sending emails using Gmail API, and updating the sheet with send status for organized outreach campaigns.</t>
  </si>
  <si>
    <t>AI-Powered SQL Query Chatbot with PostgreSQL</t>
  </si>
  <si>
    <t>An n8n workflow integrating OpenAI GPT-4o-mini with a PostgreSQL database via Langchain AI Agent. It enables conversational SQL queries using chat input with in-memory context, ideal for interactive database exploration and querying.</t>
  </si>
  <si>
    <t>AI Support Agent with Email Verification &amp; Slack Alert</t>
  </si>
  <si>
    <t>An AI agent workflow using OpenAI GPT-4o-mini and LangChain framework in n8n. It checks user input for an email, prompts for it if missing, or alerts a Slack channel for human support. Integrates chat triggers, memory buffer, and conditional logic for support escalation.</t>
  </si>
  <si>
    <t>B2B Lead Qualification &amp; Email Response</t>
  </si>
  <si>
    <t>An n8n workflow to capture business leads via a form, enrich contact and company data using Clearbit API, filter for B2B companies with over 499 employees, then send tailored Gmail responses. Tech stack includes n8n, Clearbit API, and Gmail SMTP.</t>
  </si>
  <si>
    <t>LinkedIn Email Finder &amp; Enricher via Google Sheets</t>
  </si>
  <si>
    <t>Automates enriching LinkedIn profile data by fetching contact details using Prospeo.io LinkedIn Email Finder API, triggered on schedule, reading/writing Google Sheets for scalable contact info updates with fields like email, name, gender, job title, skills, education, and picture.</t>
  </si>
  <si>
    <t>Intercom User Enrichment with ExactBuyer API</t>
  </si>
  <si>
    <t>Automates enriching new Intercom user profiles by receiving webhook events, fetching detailed contact info from ExactBuyer API, and updating Intercom contacts with social profiles, phone, location, and avatar data via HTTP requests.</t>
  </si>
  <si>
    <t>Discourse Lead Enrichment &amp; Slack Notifier</t>
  </si>
  <si>
    <t>Automates enrichment of new Discourse community members using Clearbit API, filters common personal emails, evaluates company data for lead value, and posts high-value lead info in Slack. Utilizes Discourse webhook, Clearbit enrichment, and Slack API integration.</t>
  </si>
  <si>
    <t>Leadfeeder Leads Enrichment &amp; Google Sheets Export</t>
  </si>
  <si>
    <t>Automates lead retrieval from Leadfeeder API, enriches company data using Clearbit API, filters leads by employee count and engagement, and appends or updates results in Google Sheets. Utilizes Leadfeeder, Clearbit, and Google Sheets APIs for B2B lead management.</t>
  </si>
  <si>
    <t>Email Lead Validation and Enrichment</t>
  </si>
  <si>
    <t>n8n workflow that triggers from a form submission, verifies email validity using Hunter API, enriches person and company data via Clearbit, and adds valid leads to HubSpot CRM. Integrates Form Trigger, Hunter, Clearbit, and HubSpot with OAuth2 for smart lead collection.</t>
  </si>
  <si>
    <t>Automated HubSpot Deal Assignment</t>
  </si>
  <si>
    <t>This n8n workflow automates the assignment of unassigned HubSpot deals to sales reps based on deal region (US, Germany, others) and company size using HubSpot CRM API. Runs on scheduled trigger every 2 days. Includes data fetching, filtering, and updating HubSpot deals via OAuth2.</t>
  </si>
  <si>
    <t>Automated Social Media Digest for Meetings</t>
  </si>
  <si>
    <t>An n8n workflow that fetches attendees' LinkedIn posts and Twitter tweets using RapidAPI, enriches company data via Clearbit, and emails a daily digest before meetings. Integrates Google Calendar, Gmail, LinkedIn and Twitter APIs to streamline meeting prep with social insights.</t>
  </si>
  <si>
    <t>CRM Auto-Update from Calendly with Clearbit &amp; HubSpot</t>
  </si>
  <si>
    <t>Automates CRM updates by triggering on Calendly bookings. Uses Clearbit API to enrich contact and company data, filters personal emails, then upserts leads and companies in HubSpot CRM via OAuth2. Streamlines lead management and data accuracy.</t>
  </si>
  <si>
    <t>CRM Lead &amp; Company Enrichment Automation</t>
  </si>
  <si>
    <t>Automates lead enrichment and management by integrating ConvertKit form subscriptions with Clearbit for email and company data enrichment, and HubSpot CRM for searching, creating, updating companies and contacts. Filters out personal emails for targeted B2B outreach.</t>
  </si>
  <si>
    <t>Pipedrive Lead Enrichment &amp; Slack Alerts</t>
  </si>
  <si>
    <t>Automates the enrichment of Pipedrive leads with Clearbit data and sends filtered high-value lead alerts to Slack. Utilizes Pipedrive API, Clearbit API, and Slack API, running every 5 minutes to update and notify sales teams about potential B2B leads with revenue and employee criteria.</t>
  </si>
  <si>
    <t>Slack Command Handler with Dynamic Workflow Calls</t>
  </si>
  <si>
    <t>An n8n workflow integrating Slack API to process slash commands, validate incoming requests securely, and dynamically trigger sub-workflows based on commands. Uses Slack API, HTTP requests, and conditional logic to provide customizable bot commands and threaded conversations.</t>
  </si>
  <si>
    <t>Google Drive PDF Chat with Pinecone &amp; OpenAI</t>
  </si>
  <si>
    <t>An n8n workflow that downloads a PDF from Google Drive, splits it into chunks, inserts embeddings into Pinecone vector DB, and enables chat queries with citation-based answers using OpenAI GPT-4o-mini model. Integrates Google Drive, Pinecone API, and OpenAI API.</t>
  </si>
  <si>
    <t>Telegram Resume Extractor &amp; PDF Generator</t>
  </si>
  <si>
    <t>Automates resume processing via Telegram: downloads PDFs, uses OpenAI GPT-4 to parse resumes into structured JSON, formats data into HTML, converts to PDF using Gotenberg, then sends PDF back to users. Integrates Telegram API, OpenAI API, and Gotenberg.</t>
  </si>
  <si>
    <t>Stripe Payment Link Creator</t>
  </si>
  <si>
    <t>An n8n workflow that automates Stripe product creation and payment link generation. Utilizes Stripe API via HTTP Request nodes, with an input form trigger and automatic webhook redirect. Ideal for simple product monetization setups using Stripe.</t>
  </si>
  <si>
    <t>AI Gmail Auto Labeler</t>
  </si>
  <si>
    <t>Automates Gmail email labeling by analyzing message content with OpenAI GPT-4o-mini via LangChain in n8n. It triggers on new emails, fetches content, assigns AI-driven labels like 'Inquiry', 'Partnership', 'Notification', and updates Gmail labels accordingly for organized inbox management.</t>
  </si>
  <si>
    <t>Automated Weekly Google Analytics Reporting</t>
  </si>
  <si>
    <t>An n8n workflow that automates weekly Google Analytics reporting by fetching and comparing this week vs prior week data on page engagement, country views, and Google Search Console metrics. Uses Google Analytics API and Gmail to format and email HTML reports.</t>
  </si>
  <si>
    <t>Zalando Price Monitor &amp; Alert System</t>
  </si>
  <si>
    <t>An n8n workflow that monitors Zalando product prices by scraping product pages, logging price history, updating product info in Google Sheets, and sending email alerts via Gmail when prices drop below user-defined thresholds. Uses Google Sheets API, HTTP Request, and Gmail API.</t>
  </si>
  <si>
    <t>[n8n] YouTube Channel RSS Feed Generator</t>
  </si>
  <si>
    <t>Generates multiple RSS feed formats for any public YouTube channel or video using n8n workflows, without needing Google API keys. Integrates with commentpicker.com APIs and RSS-Bridge.org to fetch channel IDs, video IDs, and produce RSS in XML, JSON, ATOM, MRSS, and more.</t>
  </si>
  <si>
    <t>AI Children’s Storytelling on Telegram</t>
  </si>
  <si>
    <t>Automates creation and sharing of children’s stories on Telegram using OpenAI GPT-3.5 for story and image prompts, DALL·E for images, and OpenAI-generated audio. Scheduled to run every 12 hours, integrates Telegram API for direct story, audio, and image delivery.</t>
  </si>
  <si>
    <t>Automated Arabic Kids Story Generator</t>
  </si>
  <si>
    <t>An n8n workflow that uses OpenAI GPT-4 Turbo for crafting, translating, and summarizing kids' stories to Arabic, generating DALL·E images and audio narration, and distributing content via Telegram. Ideal for educational content creators and language learning apps.</t>
  </si>
  <si>
    <t>Dropcontact Bulk Profile Enrichment</t>
  </si>
  <si>
    <t>Automates enriching LinkedIn profiles without emails using Dropcontact API, PostgreSQL for profile data storage, Python for data transformation, and Slack notifications. Processes profiles in batches asynchronously, ideal for large-scale contact data enrichment.</t>
  </si>
  <si>
    <t>GitHub Release Email Notifier</t>
  </si>
  <si>
    <t>An n8n workflow that daily fetches the latest release info from a GitHub repo, converts release notes from markdown to HTML, and emails the formatted update via Gmail. Utilizes GitHub API, markdown conversion, and Gmail OAuth2 for automated release notifications.</t>
  </si>
  <si>
    <t>WordPress Blog Post Automation from Airtable</t>
  </si>
  <si>
    <t>Automates posting AI-generated markdown blog posts from Airtable to WordPress. Converts markdown to HTML, uploads featured images from Pexels API, and updates Airtable status. Utilizes n8n, Airtable, WordPress API, Pexels API for seamless content publishing.</t>
  </si>
  <si>
    <t>Spotify Downloads Playlist Automator</t>
  </si>
  <si>
    <t>Automates Spotify by creating and maintaining a 'Downloads' playlist with the latest liked tracks. Uses Spotify API via n8n nodes, scheduled triggers, and code filters to sync and limit songs, optimizing offline listening with defined limits.</t>
  </si>
  <si>
    <t>Lemlist Reply Auto-Categorizer &amp; Slack Alerts</t>
  </si>
  <si>
    <t>Automate classification of Lemlist email replies using OpenAI GPT-4o and send structured Slack notifications. Features include auto-unsubscribe and marking interested leads via Lemlist API integration. Workflow uses n8n with Lemlist, OpenAI, Slack APIs.</t>
  </si>
  <si>
    <t>Notion to Webflow Blog Post Sync</t>
  </si>
  <si>
    <t>Automate syncing blog posts from Notion to Webflow using n8n. Converts Notion rich text blocks to HTML, manages slug uniqueness, updates or creates posts in Webflow, and sends Slack notifications. Integrates Notion API, Webflow API, Slack, and n8n workflow automation.</t>
  </si>
  <si>
    <t>n8n GitHub Credential Backup Workflow</t>
  </si>
  <si>
    <t>Automates backing up all n8n instance credentials to a GitHub repo by exporting decrypted credentials via CLI, formatting JSON, and saving/updating files in GitHub using GitHub API nodes. Scheduled to run every 2 hours.</t>
  </si>
  <si>
    <t>AI-Powered Social Media Link Scraper</t>
  </si>
  <si>
    <t>An autonomous AI workflow using n8n, OpenAI GPT-4o, and Supabase to crawl websites from a database, extract all social media profile URLs, and store them in a structured format. It leverages HTML parsing, HTTP requests, LangChain tools, and data cleaning.</t>
  </si>
  <si>
    <t>Automated Invoice Data Extraction &amp; Reconciliation</t>
  </si>
  <si>
    <t>Automates extraction of invoice data from Gmail PDF attachments using LlamaParse PDF parser, OpenAI GPT-3.5 LLM for structured data extraction, and exports results to Google Sheets. Workflow manages email labeling to prevent duplicates and handles processing status polling.</t>
  </si>
  <si>
    <t>Automated RFP Q&amp;A Generator</t>
  </si>
  <si>
    <t>Automates RFP responses by extracting questions from PDF RFPs using n8n with Langchain AI (OpenAI), creates Google Docs for answers, and sends notifications via Gmail and Slack. Enables efficient, AI-powered RFP answering and improves sales team productivity.</t>
  </si>
  <si>
    <t>Scheduled Website Uptime Monitor</t>
  </si>
  <si>
    <t>An n8n workflow that checks website statuses every 6 hours using HTTP requests, reads target URLs from Google Sheets, logs uptime events back to Sheets, and sends alerts via Gmail and Slack upon downtime. Uses Google Sheets API, HTTP Request node, Gmail and Slack integrations.</t>
  </si>
  <si>
    <t>AI-Powered Product Photo Data Enrichment</t>
  </si>
  <si>
    <t>Automates enrichment of product info from photos in Airtable using OpenAI vision &amp; chat models, SERPAPI reverse image search, and Firecrawl web scraper. Designed for building surveyors to identify and update product attributes efficiently.</t>
  </si>
  <si>
    <t>Image Object Detection &amp; Elasticsearch Indexing</t>
  </si>
  <si>
    <t>Automates image processing by detecting objects in a source image via Cloudflare's Detr-Resnet-50 AI model, cropping detected objects, uploading them to Cloudinary, and indexing metadata in Elasticsearch for granular image search.</t>
  </si>
  <si>
    <t>AI-Driven Local Folder Organizer</t>
  </si>
  <si>
    <t>Automates local folder organization by monitoring changes and using Mistral AI to suggest file categorization into subdirectories. Utilizes n8n Local File Trigger, shell commands, and Mistral Cloud Chat Model to intelligently move files, enhancing file management efficiency.</t>
  </si>
  <si>
    <t>Local Folder to Qdrant AI Bank Statement Expert</t>
  </si>
  <si>
    <t>Automates monitoring of a local folder for file changes, syncing bank statement files with Qdrant vector store using Mistral AI embeddings, and provides a Q&amp;A AI agent for querying the documents. Uses n8n workflows, local file trigger, Qdrant API, and Mistral Cloud AI.</t>
  </si>
  <si>
    <t>AI Rental Payment Reconciliation</t>
  </si>
  <si>
    <t>Automates reconciliation of rental payments by watching local bank statement CSV files, querying tenant and property data from an Excel file, and using OpenAI GPT-4 to identify payment discrepancies, generating actionable reports all within n8n self-hosted workflows.</t>
  </si>
  <si>
    <t>AI Texas Tax Code Assistant Chatbot</t>
  </si>
  <si>
    <t>Automates extraction and querying of Texas tax codes using n8n. Downloads tax code PDFs, extracts sections, creates Mistral.ai embeddings, stores in Qdrant vector database, and enables an AI chatbot via OpenAI and Langchain to answer tax-related queries.</t>
  </si>
  <si>
    <t>AI-Powered SMS Appointment Scheduling Bot</t>
  </si>
  <si>
    <t>Automates SMS-based appointment scheduling for PC/Laptop repairs using Twilio SMS, Airtable for session management, OpenAI GPT for conversational AI, and Cal.com API for booking. Includes follow-ups and STOP command handling to manage engagement effectively.</t>
  </si>
  <si>
    <t>Image Embedding for Vector Search</t>
  </si>
  <si>
    <t>An n8n workflow that downloads an image from Google Drive, extracts color channel info, generates semantic keywords using OpenAI Vision model, combines data into an embedding document, and inserts it into an in-memory vector store for efficient image vector search.</t>
  </si>
  <si>
    <t>Twilio AI Chat with Redis Buffer</t>
  </si>
  <si>
    <t>Automates SMS chat replies using Twilio for messages, Redis to buffer incoming texts, and OpenAI's Chat Model via LangChain agent to generate a single aggregated AI response after a 5-second pause, improving conversational flow for bursty user input.</t>
  </si>
  <si>
    <t>HN Comments Insight Generator</t>
  </si>
  <si>
    <t>Automates extracting, vectorizing, clustering Hacker News story comments using HN API, OpenAI embeddings, Qdrant vector DB, and K-means in Python. Summarizes clustered feedback with GPT-4 and exports insights to Google Sheets.</t>
  </si>
  <si>
    <t>IKEA Remote to Spotify Control</t>
  </si>
  <si>
    <t>Automates Spotify playback control via MQTT messages from an IKEA 5-button switch using n8n workflows. Integrates Spotify OAuth2 API and MQTT to handle play, pause, volume, track navigation, and playlist actions on a specified playback device.</t>
  </si>
  <si>
    <t>n8n Workflow Version Control with GitLab</t>
  </si>
  <si>
    <t>This n8n workflow automates version control of n8n workflows by syncing them with GitLab. It retrieves all workflows from n8n, compares each with corresponding JSON files in a GitLab repo, and creates or updates files accordingly. It uses n8n API and GitLab API for integration.</t>
  </si>
  <si>
    <t>Automated Paddle Invoice PDF Saver</t>
  </si>
  <si>
    <t>This n8n workflow automates processing Paddle invoice emails received in Gmail. It filters Paddle invoices, extracts invoice URLs from emails, converts them to PDFs using pdflayer API, uploads to Google Drive, renames and organizes files in specified Drive folders.</t>
  </si>
  <si>
    <t>Supabase Vector DB Q&amp;A Chatbot</t>
  </si>
  <si>
    <t>An n8n workflow integrating Google Drive, OpenAI embeddings and chat models, Supabase vector database for embedding storage/retrieval, and LangChain for recursive text splitting and QA. Enables document upload, vector embedding insertion/updating, and conversational Q&amp;A on custom knowledge bases.</t>
  </si>
  <si>
    <t>Telegram Bot Integration with Payment &amp; Registration</t>
  </si>
  <si>
    <t>An n8n workflow integrating Telegram Bot API to handle various message types (text, photo, file, voice), commands, user registration, and payments via Google Sheets and sub-workflows for registration and payment processing.</t>
  </si>
  <si>
    <t>Daily Airtable Order Summary Email</t>
  </si>
  <si>
    <t>Automates collecting orders stored via webhook into Airtable, then sends a daily 7PM email summary with all today's orders in HTML table format using Airtable API and Gmail. Helps businesses track and review daily sales efficiently.</t>
  </si>
  <si>
    <t>Weekly Notion Task Summary Email &amp; Push</t>
  </si>
  <si>
    <t>Automates weekly retrieval of tasks from Notion, filters and sorts by deadlines, generates styled HTML emails grouping overdue and upcoming tasks, and sends updates via email and Pushover push notifications. Uses Notion API, SMTP, and Pushover within n8n.</t>
  </si>
  <si>
    <t>Notion Knowledge Base AI Assistant</t>
  </si>
  <si>
    <t>Automates search and summarization of knowledge from a Notion database using OpenAI's GPT-4o model. Utilizes Notion API for querying database contents and LangChain for managing AI agent memory and tool integration, enabling concise, fact-based Q&amp;A from company knowledge bases.</t>
  </si>
  <si>
    <t>AI Style-Based Image Generator</t>
  </si>
  <si>
    <t>n8n workflow integrating Huggingface FLUX API and Cloudflare R2 for AI-driven image creation. Users submit prompts and select artistic styles (e.g., Neon Fauvism, AI Dystopia). Images are generated, uploaded to S3-compatible storage, and served with recent renders showcased.</t>
  </si>
  <si>
    <t>Bank Statement OCR to Markdown with Google Gemini</t>
  </si>
  <si>
    <t>Automates bank statement processing by downloading PDFs from Google Drive, converting PDF pages to images via Stirling PDF API, transcribing images to markdown with Google Gemini Vision LLM, and extracting deposit data as structured JSON. Uses n8n automation with Google Drive API, Stirling PDF, and Google Gemini (PaLM) API.</t>
  </si>
  <si>
    <t>Venafi Slack CertBot Automation</t>
  </si>
  <si>
    <t>Automates SSL certificate requests via Slack using Venafi TLS Protect Cloud, VirusTotal for domain risk analysis, and OpenAI for risk summarization, enabling auto or manual CSR issuance with Slack modal interactions and security validation workflows.</t>
  </si>
  <si>
    <t>Adobe PDF Services API Automation</t>
  </si>
  <si>
    <t>n8n workflow automates Adobe PDF Services API to authenticate, upload a PDF, process it (e.g., extract text and tables), and download results. Integrates Dropbox for fetching test PDFs. Uses HTTP Request nodes with OAuth2 and Header Auth for Adobe API calls.</t>
  </si>
  <si>
    <t>n8n AI-Enhanced FAQ Generator from Google Sheets</t>
  </si>
  <si>
    <t>Automates FAQ creation by reading service data from Google Sheets, generating Q&amp;A templates, enhancing answers using OpenAI GPT-4, and saving results as JSON in Google Drive. Supports native, credential-only, and non-native integrations for CMS publishing.</t>
  </si>
  <si>
    <t>GitHub Multi-Repo Webhook Monitor</t>
  </si>
  <si>
    <t>Automates monitoring of multiple GitHub repositories using GitHub Webhooks and n8n. Registers/deletes webhooks programmatically, listens to push and pull request events, and sends notifications via Telegram (Slack optional). Uses GitHub API and n8n HTTP, Webhook, and Telegram nodes.</t>
  </si>
  <si>
    <t>Fastmail AI Email Draft Assistant</t>
  </si>
  <si>
    <t>Automates drafting email replies for Fastmail using OpenAI GPT-4. Monitors IMAP inbox for new emails, extracts content, generates replies with GPT-4, and uploads drafts via Fastmail's JMAP API. Integrates IMAP, Fastmail API, and OpenAI in n8n workflow.</t>
  </si>
  <si>
    <t>Stripe Invoice PDFs to AWS S3</t>
  </si>
  <si>
    <t>Automates monthly exporting of Stripe invoice PDFs to an AWS S3 bucket with configurable folder structure by year and month. Utilizes Stripe API, n8n workflow automation, and AWS S3 for cloud storage. Scheduled trigger ensures monthly syncs or manual runs.</t>
  </si>
  <si>
    <t>AI-Powered Outlook Email Auto Categorizer</t>
  </si>
  <si>
    <t>Automate Outlook email management by categorizing and organizing emails into folders using Ollama AI's qwen2.5:14b model with n8n workflow. Employs Microsoft Outlook API, Markdown conversion, and advanced AI parsing for efficient inbox sorting.</t>
  </si>
  <si>
    <t>AI-Based SEO Seed Keyword Generator</t>
  </si>
  <si>
    <t>Generates 15-20 targeted SEO seed keywords based on an Ideal Customer Profile using AI (Anthropic Claude 3.5). Utilizes n8n workflow nodes, Langchain AI agent, and requires user-defined ICP data and AI/database connections to automate SEO focus keyword creation.</t>
  </si>
  <si>
    <t>Luma AI Text-to-Video Generator</t>
  </si>
  <si>
    <t>Automates video creation from text prompts with randomized camera motions using Luma AI API and stores results in Airtable. Uses HTTP API, JavaScript for randomness, Airtable integration—enabling quick generation and tracking of creative short videos.</t>
  </si>
  <si>
    <t>RSS Feed to Telegram Alerts</t>
  </si>
  <si>
    <t>Automates sending new RSS feed items to Telegram chats using n8n with RSS Feed Read and Telegram API nodes. Checks latest items and posts updates automatically on schedule, ideal for real-time content alerts or monitoring feeds in Telegram.</t>
  </si>
  <si>
    <t>Squarespace Order Fulfillment Automation</t>
  </si>
  <si>
    <t>Automates fetching and fulfilling Squarespace orders using Squarespace Commerce API with OAuth2 and API key authentication. Supports filtering by fulfillment status, pagination, and automated notification sending to customers.</t>
  </si>
  <si>
    <t>Inbound Order Email Parser to Google Sheets</t>
  </si>
  <si>
    <t>Automates extraction of purchase orders from Gmail emails using OpenAI's GPT-4o-mini via n8n LangChain AI Agent; parses PO number, delivery date, SKUs, quantities, then stores structured data into Google Sheets for order management.</t>
  </si>
  <si>
    <t>Batch Processing with Anthropic Claude API</t>
  </si>
  <si>
    <t>Automates sending and retrieving multiple batched prompts to Anthropic Claude AI via its Batch API. Uses n8n with HTTP Request nodes, JavaScript code processing, and Langchain memory management for parallel prompt execution and result aggregation.</t>
  </si>
  <si>
    <t>CSRD Email Audit &amp; Summary Automation</t>
  </si>
  <si>
    <t>Automates review of CSRD XHTML report emails received in Gmail. Uses Gmail API to trigger, extracts XHTML attachments, audits content for sustainability disclosures, and employs AI (LangChain + OpenAI GPT-4o-mini) to generate professional audit summary emails. Improves ESG compliance communication.</t>
  </si>
  <si>
    <t>AI Resume Parsing &amp; Client Usage Billing</t>
  </si>
  <si>
    <t>Self-hosted n8n workflow using OpenAI GPT-4o-mini via Langchain Code node to parse uploaded resume PDFs into structured JSON. Tracks token usage and costs per client, logs data to Google Sheets, and auto-generates monthly invoices via Gmail. Enables cost monitoring &amp; billing automation for AI document extraction services.</t>
  </si>
  <si>
    <t>Daily Digest Email for n8n.io Templates</t>
  </si>
  <si>
    <t>Automates daily email newsletters by fetching the latest n8n.io workflow templates from selected categories stored in Excel. Uses Microsoft Excel, HTTP Request for n8n API, OpenAI GPT-4 for summaries, and Microsoft Outlook to send personalized digests to subscribers.</t>
  </si>
  <si>
    <t>Gmail Attachments to Organized Google Drive</t>
  </si>
  <si>
    <t>Automates downloading attachments from filtered Gmail emails, checks and creates company and date-based folders in Google Drive using Google Sheets for whitelist verification. Tech stack: Gmail API, Google Drive API, Google Sheets API via n8n nodes.</t>
  </si>
  <si>
    <t>LinkedIn Profile ICP Scoring Automation</t>
  </si>
  <si>
    <t>Automates extraction and scoring of LinkedIn profiles using Airtop AI API and Google Sheets. Extracts detailed personal, professional info and calculates ICP score based on AI interest, technical depth, and seniority. Updates scores back into Google Sheets for easy lead management.</t>
  </si>
  <si>
    <t>AcuityScheduling Support Chatbot with RAG</t>
  </si>
  <si>
    <t>An n8n workflow that creates a support chatbot for AcuityScheduling.com using OpenAI GPT-4o-mini and LangChain agent. It integrates with Acuity's support search API for retrieval-augmented generation (RAG) to provide accurate, up-to-date answers by querying existing knowledgebase articles, optimizing token usage.</t>
  </si>
  <si>
    <t>SMS Course Assistant with Twilio &amp; Airtable</t>
  </si>
  <si>
    <t>An automated SMS chatbot workflow using Twilio for SMS triggers, OpenAI (GPT-4) for natural language understanding, and Airtable as a course database. It fetches and answers course queries, logs interactions, and provides up-to-date academic info for Northvale Institute students.</t>
  </si>
  <si>
    <t>Ghost Blog to LinkedIn Post Generator</t>
  </si>
  <si>
    <t>Automates extracting latest blog posts from Ghost CMS, cleans content, and uses OpenAI GPT-4o-mini via LangChain AI agent to create professional LinkedIn promotional messages. Outputs results to Google Sheets for easy tracking and sharing.</t>
  </si>
  <si>
    <t>Retell Call Data Auto-Saver</t>
  </si>
  <si>
    <t>Automates saving Retell AI call analysis data from webhook into Airtable, Google Sheets, and Notion. Utilizes Retell webhooks, Airtable API, Google Sheets API, and Notion API to store call transcripts, summaries, sentiment, and cost details in structured databases.</t>
  </si>
  <si>
    <t>University Term Dates to Calendar ICS</t>
  </si>
  <si>
    <t>Automates extraction of term dates from university Excel files using Cloudflare Markdown Conversion, Google Gemini LLM for event extraction, and Python code to create ICS calendar files, then emails the calendar via Gmail for easy import to calendar apps.</t>
  </si>
  <si>
    <t>Google Keep Notes to Google Sheets via AI</t>
  </si>
  <si>
    <t>Automates exporting Google Keep notes stored as JSON files in Google Drive, filters, processes content with OpenAI GPT-4o-mini model via LangChain AI, and appends extracted data to Google Sheets. Uses Google Drive, Google Sheets APIs, and OpenAI for text extraction and data structuring.</t>
  </si>
  <si>
    <t>Daily Exchange Rate Updater to Google Sheets</t>
  </si>
  <si>
    <t>Automates daily retrieval of USD currency exchange rates via ExchangeRate-API, formats data, and updates &amp; archives it in Google Sheets. Utilizes n8n HTTP Request, Code, Google Sheets, and Schedule Trigger nodes for seamless financial data management.</t>
  </si>
  <si>
    <t>AI-Powered Daily Israeli News Digest</t>
  </si>
  <si>
    <t>Automates fetching and processing of Israeli news from Calcalist and Mako RSS feeds, uses GPT-4o to select top 5 executive-relevant articles, and generates a formatted HTML email digest sent daily via SMTP.</t>
  </si>
  <si>
    <t>Daily Product Hunt Data Fetcher to Google Sheets</t>
  </si>
  <si>
    <t>Automates daily retrieval of today's top Product Hunt posts using Product Hunt GraphQL API, processes product details, resolves website redirects, and stores enriched data into Google Sheets via service account. Built with n8n, HTTP requests, JavaScript code, and Google Sheets integration.</t>
  </si>
  <si>
    <t>Telegram Meal Nutrient Logger</t>
  </si>
  <si>
    <t>Automates logging meal nutrients from Telegram messages (text or voice). Uses Telegram API, OpenAI (GPT-4o-mini) for transcription and nutrition analysis, Langchain for structured parsing, and stores data in Google Sheets.</t>
  </si>
  <si>
    <t>Indeed Job Listing Scraper with Bright Data &amp; LLM</t>
  </si>
  <si>
    <t>Automates job search by scraping Indeed listings using Bright Data API. Integrates n8n for workflow, Google Sheets for storage, and OpenAI GPT-4 mini model to assess applicant-job fit. Uses form trigger for search parameters and polls for data readiness.</t>
  </si>
  <si>
    <t>Glassdoor Job Listings Scraper with Bright Data</t>
  </si>
  <si>
    <t>Automates job prospecting by scraping Glassdoor job listings via Bright Data API, processes data with OpenAI GPT-4 and LangChain, and stores results in Google Sheets. Includes customizable queries via form triggers for targeted job search automation.</t>
  </si>
  <si>
    <t>Trustpilot Review Scraper &amp; Ad Copy Generator</t>
  </si>
  <si>
    <t>n8n workflow scraping Trustpilot competitor reviews via Bright Data API, storing results in Google Sheets, filtering negative reviews, summarizing with OpenAI GPT-4o-mini, and emailing ad copy suggestions for marketing campaigns.</t>
  </si>
  <si>
    <t>Hourly Crypto Market Summary to Telegram</t>
  </si>
  <si>
    <t>Automates fetching hourly 24h price data of BTC, ETH, and SOL USDC pairs from Binance public API, analyzes key market metrics (volatility, momentum, spread), and sends a formatted HTML summary message to a specified Telegram chat via Telegram Bot API.</t>
  </si>
  <si>
    <t>Amazon Reviews Analysis &amp; Creative Generator</t>
  </si>
  <si>
    <t>This n8n workflow automates scraping Amazon product reviews using Bright Data API, stores data in Google Sheets, summarizes reviews with OpenAI GPT-4o-mini, generates Ads images, and emails media buyers. It leverages Bright Data API, Google Sheets, OpenAI GPT, and Gmail for competitive review analysis and marketing creative generation.</t>
  </si>
  <si>
    <t>PostgreSQL MCP Server for DB Management</t>
  </si>
  <si>
    <t>An n8n workflow acting as a PostgreSQL MCP server enabling secure database management operations (select, insert, update) via MCP clients like Claude Desktop. Uses n8n nodes (Postgres, LangChain MCP Trigger/Tools), avoids raw SQL for security and supports schema introspection.</t>
  </si>
  <si>
    <t>Google Drive File Search &amp; Content Extractor</t>
  </si>
  <si>
    <t>An n8n workflow acting as a Google Drive MCP server to search, download, and extract content from files (PDF, CSV, images, audio, video) using Google Drive API and OpenAI. Enables AI-rich file understanding and text extraction for MCP clients.</t>
  </si>
  <si>
    <t>GitHub Issue Management via MCP Server</t>
  </si>
  <si>
    <t>An n8n workflow implementing a custom MCP server to manage GitHub issues and comments. It uses n8n MCP Trigger, GitHub API nodes, and custom tool workflows to get latest issues, fetch issue comments, and add comments. Secure, extensible, and ideal for interactive GitHub repo support.</t>
  </si>
  <si>
    <t>Qdrant MCP Server for Review Analysis</t>
  </si>
  <si>
    <t>An n8n workflow implementing a customized MCP server to extend Qdrant's vector database features with review database management. Utilizes OpenAI for embeddings and Qdrant API for advanced search, grouping, and recommendation functionalities to handle, search, compare, and recommend customer reviews.</t>
  </si>
  <si>
    <t>YouTube Search and Transcript MCP Server</t>
  </si>
  <si>
    <t>n8n workflow using Apify API for YouTube video search, transcript retrieval, and usage metrics via an MCP server trigger. Enables integration with MCP clients like Claude Desktop to automate YouTube content research with no official rate limits.</t>
  </si>
  <si>
    <t>PayCaptain Employee MCP Server</t>
  </si>
  <si>
    <t>n8n workflow creates an MCP server for PayCaptain payroll, enabling employee search, lookup, and updates via the PayCaptain API. Uses MCP Server Trigger, HTTP Request, Google Sheets (for logs), and LangChain tool workflows. Ideal for payroll automation with audit logging.</t>
  </si>
  <si>
    <t>Automated Alt Text Generator for Web Images</t>
  </si>
  <si>
    <t>n8n workflow extracts images and alt texts from a webpage, then uses OpenAI GPT-4O to generate improved alt text for images with short descriptions. Results are stored and updated in Google Sheets for accessibility enhancement and SEO improvement.</t>
  </si>
  <si>
    <t>EU Sustainability Legislative Scraper &amp; Tracker</t>
  </si>
  <si>
    <t>An n8n workflow that scrapes EU parliamentary legislative procedures from an official site, uses OpenAI GPT-4 Turbo to classify sustainability-related items, records filtered results in Google Sheets, and creates Google Tasks for study reminders. Tech stack: HTTP request, HTML parsing, OpenAI API, Google Sheets, Google Tasks.</t>
  </si>
  <si>
    <t>EU Sustainability News Daily Digest</t>
  </si>
  <si>
    <t>Automates daily scraping of EU news, classifies sustainability articles using OpenAI GPT-4o-mini via LangChain, records results in Google Sheets, and sends a curated HTML email digest via Gmail. Integrates HTTP Request, HTML parsing, AI classification, Sheets, and Gmail nodes for sustainable news curation.</t>
  </si>
  <si>
    <t>Automated Product Photo Enhancement &amp; Storage</t>
  </si>
  <si>
    <t>An n8n workflow that downloads product images from Google Sheets, uses OpenAI GPT models to analyze and create AI-generated professional product photography prompts, edits images with OpenAI's image editing API, then uploads results to Google Drive and updates the sheet. Tech stack: n8n, OpenAI GPT-4 &amp; GPT-4O, OpenAI Image Edit API, Google Sheets, Google Drive.</t>
  </si>
  <si>
    <t>Google Drive Nested Folder Creator</t>
  </si>
  <si>
    <t>Automates the creation of nested folders in Google Drive from a slash-separated path string. Uses Google Drive API via n8n nodes, and JavaScript code nodes to iterate and check folder existence, creating missing folders step-by-step until the full path is built.</t>
  </si>
  <si>
    <t>HubSpot CRM Data Import via CSV</t>
  </si>
  <si>
    <t>Automates importing CSV data into HubSpot CRM objects (companies, contacts, deals, leads, tickets) with field mapping and validation. Uses HubSpot API, Google Sheets for property management, and n8n for workflow orchestration.</t>
  </si>
  <si>
    <t>n8n Workflow Backup to Google Drive</t>
  </si>
  <si>
    <t>Automates scheduled backups of all n8n workflows to a specified Google Drive folder using n8n API, Google Drive API, Gmail for notifications, and Discord for status alerts. Enables reliable versioned backups and timely notifications on success or failure.</t>
  </si>
  <si>
    <t>Chat Message Batch Consolidator with LangChain</t>
  </si>
  <si>
    <t>This n8n workflow buffers chat messages per context using Redis, waits for inactivity or message count thresholds, and uses OpenAI GPT-4.1-nano via LangChain to consolidate messages into a single summary paragraph. Ideal for chat apps needing batch processing and deduplication.</t>
  </si>
  <si>
    <t>Reddit Business Lead Finder &amp; Summarizer</t>
  </si>
  <si>
    <t>Automates extraction of Reddit posts from Entrepreneur subreddit using Reddit API, filters posts by engagement and recency, uses OpenRouter GPT-4.1 AI to identify business opportunities and summarize them, then appends results to Google Sheets for lead management.</t>
  </si>
  <si>
    <t>HubSpot Client LinkedIn &amp; Post Monitor</t>
  </si>
  <si>
    <t>Automates tracking of HubSpot owners' clients by fetching client data via HubSpot API, searching LinkedIn profiles through RapidAPI, monitoring LinkedIn posts and positions, and updating a Google Sheet. Sends email alerts using Gmail when client updates occur.</t>
  </si>
  <si>
    <t>Voice-to-Email Reply Assistant</t>
  </si>
  <si>
    <t>An n8n workflow automating email reply drafting by analyzing incoming Gmail messages, assessing response need via OpenAI GPT chat, sending email details to Telegram, accepting voice note replies on Telegram, transcribing audio with OpenAI Whisper, and drafting polished replies in Gmail threads.</t>
  </si>
  <si>
    <t>WhatsApp Campaign Automation with KlickTipp</t>
  </si>
  <si>
    <t>Automates personalized WhatsApp outreach using WhatsApp Business Cloud API integrated with KlickTipp for subscriber-triggered campaigns. Features message filtering, template messaging, opt-out management, and dynamic content insertion via n8n workflow.</t>
  </si>
  <si>
    <t>Restaurant Order Chatbot to Google Sheets</t>
  </si>
  <si>
    <t>Automates restaurant order taking via AI chat using OpenAI GPT-4o-mini and Langchain. Extracts item names, quantities, and table numbers from chats, verifies input, then logs each order item with timestamp into Google Sheets for POS integration.</t>
  </si>
  <si>
    <t>AI Style Transfer Image Generator</t>
  </si>
  <si>
    <t>Automates image style transfer using Google Gemini 2.0 for visual style analysis and Imagen 3.0 for image generation. Inputs taken via a form, images uploaded to Cloudinary, optional email delivery via Gmail. Enables creative AI-driven logo and image remixing.</t>
  </si>
  <si>
    <t>Secure Webhook with Auth &amp; Payload Check</t>
  </si>
  <si>
    <t>An n8n workflow that protects a webhook endpoint by verifying a Bearer token and validating required fields in the JSON POST body. Uses native n8n nodes for webhook, conditional checks, JavaScript code, and structured JSON responses for 200, 400, and 401 HTTP codes.</t>
  </si>
  <si>
    <t>Prevent Concurrent Runs with Redis Lock</t>
  </si>
  <si>
    <t>n8n workflow to prevent concurrent executions using Redis for distributed locking. It uses Redis keys to track workflow states (set, get, unset) and manages workflow concurrency by erroring if already running. Useful for critical or long-running tasks to avoid overlaps.</t>
  </si>
  <si>
    <t>n8n Automated Error Analysis &amp; Email Alert</t>
  </si>
  <si>
    <t>Automates error detection in n8n workflows via n8n API, analyzes errors using OpenAI GPT-4o with LangChain, generates detailed diagnosis and resolution, and sends formatted email alerts via Gmail. Ideal for improving workflow reliability with AI-powered insights.</t>
  </si>
  <si>
    <t>Email Header IP &amp; Spoofing Analyzer</t>
  </si>
  <si>
    <t>n8n workflow analyzing email headers for IP reputation and spoofing threats using IP Quality Score and IP-API, plus SPF/DKIM/DMARC authentication checks via JavaScript. Provides comprehensive email security insights via webhook responses.</t>
  </si>
  <si>
    <t>Obsidian Notes Automation via Google Drive &amp; OpenAI</t>
  </si>
  <si>
    <t>Automates creation/update of Markdown notes in an Obsidian Vault by saving workflow outputs to Google Drive. Uses n8n, Google Drive API, and OpenAI for AI-powered Zettelkasten note generation and YAML frontmatter metadata. Enables real-time, structured knowledge management.</t>
  </si>
  <si>
    <t>Daily Automated Customer Win-Back Offers</t>
  </si>
  <si>
    <t>An n8n workflow that daily fetches customer churn risk data from Google Sheets, filters high-risk non-campaign customers, and uses Google Gemini (PaLM) AI to generate personalized win-back offers. It logs activity in Sheets and sends offers via Gmail for customer retention.</t>
  </si>
  <si>
    <t>n8n LLM Chaining Workflow with Anthropic</t>
  </si>
  <si>
    <t>Automates multi-step content analysis using n8n, Anthropic Claude 3.7 LLM, HTTP scraping, Markdown conversion, and memory management. Processes webpage content via chained and parallel LLM calls for detailed insights and humor generation.</t>
  </si>
  <si>
    <t>n8n Workflow Management &amp; Backup Automation</t>
  </si>
  <si>
    <t>Automates listing, detailed retrieval, file backup, and metadata updating of n8n workflows using n8n API, Airtable, Dropbox, and Cron. Supports batch processing and triggers; ideal for managing and backing up workflows systematically.</t>
  </si>
  <si>
    <t>Odoo Product Image Importer from Google Drive</t>
  </si>
  <si>
    <t>Automates importing product and template images from Google Drive into Odoo ERP using Google Drive API and Odoo API integration in n8n. Filters image files, updates records in Odoo, cleans up old files, and sends Google Chat notifications for completed updates.</t>
  </si>
  <si>
    <t>Instagram AI Comment Responder</t>
  </si>
  <si>
    <t>Automates Instagram comment replies using Instagram Graph API, OpenRouter AI (Google Gemini 2.0), and n8n workflow. It filters comments, generates context-aware responses in Brazilian Portuguese for AI/automation content, and posts replies automatically.</t>
  </si>
  <si>
    <t>OpenAI File Retrieval with Citation Formatter</t>
  </si>
  <si>
    <t>Automates citation-rich content retrieval using OpenAI assistant with vector store for file search. Integrates OpenAI API, HTTP requests, and n8n Langchain memory nodes to format text with dynamic citations in Markdown or HTML, enhancing accuracy and traceability.</t>
  </si>
  <si>
    <t>Google Calendar MCP Server Integration</t>
  </si>
  <si>
    <t>An n8n workflow integrating MCP Server with Google Calendar API to manage events via create, read, update, and delete operations. Utilizes Google Calendar OAuth2, n8n MCP Trigger &amp; Client tools, and OpenAI GPT-4o model for AI-driven calendar management workflows.</t>
  </si>
  <si>
    <t>Telegram PDF Q&amp;A with Pinecone &amp; AI</t>
  </si>
  <si>
    <t>Automates Telegram document handling by converting PDFs to vector embeddings using OpenAI, storing them in Pinecone, and enabling AI-powered Q&amp;A with Groq and LangChain, providing instant responses within Telegram chats.</t>
  </si>
  <si>
    <t>YouTube Video Transcript to Airtable</t>
  </si>
  <si>
    <t>Automates extracting YouTube video transcripts via a RapidAPI service, summarizes content with LangChain LLM, and updates Airtable entries with main ideas and key takeaways. Keeps content ideas fresh using Airtable, RapidAPI, and n8n scheduling for workflow automation.</t>
  </si>
  <si>
    <t>Clinic Appointment &amp; Reminder Assistant</t>
  </si>
  <si>
    <t>Automates clinic appointment management and reminders using OpenAI GPT-4, Google Calendar, Google Tasks, Telegram, WhatsApp (Evolution API), and Postgres. Handles patient rescheduling, confirmation, shopping lists, and escalations for a streamlined healthcare workflow.</t>
  </si>
  <si>
    <t>Sports Betting Data Automation with TheOddsAPI &amp; Airtable</t>
  </si>
  <si>
    <t>Automates daily retrieval and updating of sports betting events and results using TheOddsAPI for data fetching and Airtable for record management. Includes scheduled triggers for morning event pulls and evening score updates, customizable for any sport.</t>
  </si>
  <si>
    <t>AI Chat Agent with Chart Generation</t>
  </si>
  <si>
    <t>An AI agent powered by OpenAI's GPT-4o model integrated in n8n, generating dynamic Chart.js charts via structured OpenAI outputs and Quickchart.io URLs. Enables conversational chart creation using HTTP requests, LangChain, and memory buffers for contextual chat.</t>
  </si>
  <si>
    <t>n8n AI Agent for Creator Leaderboard Reports</t>
  </si>
  <si>
    <t>Automates daily aggregation and reporting of top n8n community creators and workflows using GitHub data, OpenAI GPT-4o-mini, Google Gemini LLM, and integrated with Gmail, Google Drive, and Telegram for distributed sharing and local saving. Enables insightful leaderboard summaries and trend analysis.</t>
  </si>
  <si>
    <t>Open Source Project Metrics Dashboard</t>
  </si>
  <si>
    <t>Automates collection and updating of development metrics from GitHub, Docker Hub, npm, and Product Hunt APIs to a custom dashboard using n8n workflow automation with HTTP Requests, GitHub node, and JavaScript functions.</t>
  </si>
  <si>
    <t>Google Sitemap Index URL Re-indexing</t>
  </si>
  <si>
    <t>Automates fetching and parsing sitemap.xml URLs, checks indexing status via Google Indexing API, and updates Google with new or modified URLs for faster re-indexing. Uses HTTP requests, XML parsing, Google OAuth2 API in n8n workflow.</t>
  </si>
  <si>
    <t>Auth0 OAuth2 User Login Workflow</t>
  </si>
  <si>
    <t>An n8n workflow that automates user authentication via Auth0 OAuth2. It uses Auth0's OAuth2 API to authorize users, exchange authorization codes for access tokens, and retrieve user info. Includes webhook triggers and HTTP Request nodes for secure login flow.</t>
  </si>
  <si>
    <t>DMARC Report Email Parser &amp; DB Logger</t>
  </si>
  <si>
    <t>Automates processing of DMARC reports by monitoring IMAP email for XML attachments, unzipping and parsing them into JSON, mapping the data into a MySQL database, and sending notifications via Slack/email on SPF or DKIM failures. Uses n8n automation with email, compression, XML, MySQL, and Slack nodes.</t>
  </si>
  <si>
    <t>Automated Blog Post Creator for WordPress</t>
  </si>
  <si>
    <t>An n8n workflow integrating Google Sheets, OpenAI (OpenRouter), and WordPress XML-RPC API to automate blog post drafting, updating, and publishing based on a scheduled spreadsheet. Uses dynamic prompts and manages status logs for seamless content creation.</t>
  </si>
  <si>
    <t>AI-powered Gmail Auto-labeler</t>
  </si>
  <si>
    <t>Automatically categorizes Gmail messages into labels (Partnership, Inquiry, Notification) using OpenAI's GPT-4 Turbo and n8n automation. Integrates Gmail API for triggers, label management, and message updates. Enhances inbox organization with AI-driven content classification.</t>
  </si>
  <si>
    <t>Autonomous Social Media Profile Crawler</t>
  </si>
  <si>
    <t>n8n workflow leveraging OpenAI GPT-4, LangChain, Supabase DB, and built-in HTTP/HTML nodes to autonomously crawl company websites, extract and standardize social media profile URLs into JSON format, and store results back to a database. Highly customizable multi-page crawler.</t>
  </si>
  <si>
    <t>PUQ Docker NextCloud Deployment API</t>
  </si>
  <si>
    <t>This n8n workflow automates deployment and management of NextCloud instances in Docker for WHMCS/WISECP through an API backend. It uses Docker, docker-compose, SSH, nginx-proxy, and PowerDNS API to manage containers, DNS records, NGINX config, user accounts, and disk mounts.</t>
  </si>
  <si>
    <t>OAuth2 Configuration Finder AI</t>
  </si>
  <si>
    <t>AI-powered n8n workflow to identify OAuth2 settings (authorization URI, token URI, audience) for APIs from a service name. Uses OpenRouter Chat Model with Llama 3.3, LangChain AI integration, and structured JSON parsing with confidence scoring for reliable API OAuth2 setups.</t>
  </si>
  <si>
    <t>Form Data to Google Sheets &amp; Airtable Pipeline</t>
  </si>
  <si>
    <t>Automates data collection from an n8n form, extracting date/time, formatting inputs, saving to Google Sheets and Airtable, and sending personalized emails via Gmail. Utilizes n8n workflow with Form Trigger, Code node, Google Sheets, Airtable, and Gmail integrations.</t>
  </si>
  <si>
    <t>YouTube Video Transcript Analyzer &amp; Summarizer</t>
  </si>
  <si>
    <t>Automates YouTube video analysis by extracting transcripts via youtube-transcript.io API, summarizes content using AI models (OpenAI GPT-4o-mini, DeepSeek, OpenRouter), and emails a structured summary. Ideal for creators and marketers to quickly digest video content.</t>
  </si>
  <si>
    <t>Spotify Liked Songs to Playlist Sync</t>
  </si>
  <si>
    <t>An n8n workflow that automates syncing Spotify Liked Songs to a specified playlist by adding missing tracks and removing unliked ones. Utilizes Spotify API for data fetch and modification and Gotify for notifications. Runs on a scheduled trigger, ideal for music playlist management.</t>
  </si>
  <si>
    <t>AI-Driven SEO Seed Keyword Generator</t>
  </si>
  <si>
    <t>An n8n workflow that uses AI (Anthropic Claude model) and Langchain to generate 15-20 SEO seed keywords based on an Ideal Customer Profile (ICP). It aggregates ICP data, prompts the AI agent, and outputs keywords for SEO strategies. Requires connection to AI API and database.</t>
  </si>
  <si>
    <t>Image Analysis &amp; Embedding from Google Drive</t>
  </si>
  <si>
    <t>This n8n workflow downloads an image from Google Drive, extracts color data, generates semantic keywords using OpenAI vision models, creates a combined embedding document, and stores it in an in-memory vector store for image search. Utilizes Google Drive, OpenAI API, and n8n LangChain nodes.</t>
  </si>
  <si>
    <t>YouTube Auto Upload &amp; Metadata Generator</t>
  </si>
  <si>
    <t>Automates uploading new videos from Google Drive to YouTube, generating SEO titles, detailed video descriptions, and relevant tags using OpenAI GPT-4.1 and Google Gemini models. Also scrapes video transcripts via Apify for content context and updates YouTube metadata automatically.</t>
  </si>
  <si>
    <t>Pinterest Data Analysis &amp; AI Content Suggestions</t>
  </si>
  <si>
    <t>Automates weekly Pinterest data retrieval via Pinterest API, stores it in Airtable, and uses OpenAI GPT-4o-mini for AI-powered trend analysis and pin content suggestions. Summarized insights are emailed to marketing managers to optimize content calendars.</t>
  </si>
  <si>
    <t>Google Calendar Event Manager</t>
  </si>
  <si>
    <t>An n8n workflow integrating Google Calendar API for creating, reading, updating, deleting, and checking availability of calendar events via automated webhook triggers. Utilizes Google OAuth2 for authentication and Langchain MCP trigger for AI-driven interactions.</t>
  </si>
  <si>
    <t>Landing Page Conversion Rate Optimizer</t>
  </si>
  <si>
    <t>Automates analysis of landing pages by scraping URLs, then uses OpenAI's GPT-powered Langchain Agent to roast and provide 10 personalized, creative, and actionable Conversion Rate Optimization recommendations. Ideal for marketers and founders wanting data-driven CRO insights.</t>
  </si>
  <si>
    <t>AI Research Reports via Jina DeepSearch</t>
  </si>
  <si>
    <t>Automates deep research using Jina AI DeepSearch API and n8n. Users input queries via chat, triggering the API to generate structured, fact-based reports. Includes automated Markdown formatting and cleanup for readable, insightful analysis. No API key needed.</t>
  </si>
  <si>
    <t>Airtable Multi-Method API Endpoint Template</t>
  </si>
  <si>
    <t>An n8n workflow providing a RESTful API for Airtable with full CRUD operations via multi-method webhooks. It uses Airtable API and n8n webhook/respond nodes to create, read (single/all), update, and delete customer records in Airtable.</t>
  </si>
  <si>
    <t>Amazon Best Seller Electronics Data Extractor</t>
  </si>
  <si>
    <t>Automates extraction of Amazon Electronics best seller data using Bright Data API for scraping and Google Gemini LLM for structured information extraction, delivering product rankings, ratings, and offers as structured JSON.</t>
  </si>
  <si>
    <t>HN Who is Hiring Job Scraper</t>
  </si>
  <si>
    <t>Automates extraction of 'Ask HN: Who is hiring?' posts from Hacker News using Algolia Search API and Hacker News API. Leverages OpenAI GPT-4o-mini to structure job listing data and stores results in Airtable. Ideal for tracking tech job opportunities monthly.</t>
  </si>
  <si>
    <t>Hacker News Historical Headline Summarizer</t>
  </si>
  <si>
    <t>Automates fetching Hacker News front-page headlines from multiple years on the same day, categorizes and summarizes key tech trends using Google Gemini (PaLM) LLM, and publishes markdown reports via Telegram. Utilizes HTTP requests, HTML parsing, date calculations, and Langchain LLM integration.</t>
  </si>
  <si>
    <t>Line MiniBear Bot: Namecard &amp; Task Automation</t>
  </si>
  <si>
    <t>Automates Line messaging by processing texts, images, and audio. Uses Line Messaging API, OpenRouter GPT-4o model, and Microsoft suite (Teams, To Do, OneDrive) to extract namecard info, create tasks, save messages, and manage files with AI-driven content recognition.</t>
  </si>
  <si>
    <t>AI Motion Illustration Video Generator</t>
  </si>
  <si>
    <t>Generates motion illustration videos by combining Midjourney AI image generation and Kling API video creation. Uses PiAPI with HTTP requests, automating from image prompt to final video output for content creators and social media professionals.</t>
  </si>
  <si>
    <t>AI Prompt Optimizer with Telegram Delivery</t>
  </si>
  <si>
    <t>An n8n workflow that refines user input prompts via OpenAI GPT-4o-mini model with LangChain AI Agent, improving clarity, specificity, and formatting. The optimized prompt is split for Telegram messages and sent back using Telegram API for seamless prompt enhancement and reuse.</t>
  </si>
  <si>
    <t>Paul Graham Essays Vector Search with Milvus</t>
  </si>
  <si>
    <t>Automates scraping latest Paul Graham essays, extracts and cleans text, creates embeddings with OpenAI, and stores them in Milvus vector database. Enables querying via chat with AI-powered citation retrieval using OpenAI GPT-4 model and LangChain integration.</t>
  </si>
  <si>
    <t>Perplexity Research to TailwindCSS HTML</t>
  </si>
  <si>
    <t>An n8n workflow that automates research on a user-provided topic using Perplexity API and OpenAI GPT-4o-mini models, improves the prompt, generates structured article content, and converts it into a single-line, responsive, Tailwind CSS-styled HTML page, optionally sending summaries via Telegram.</t>
  </si>
  <si>
    <t>DeepResearcher: AI-Powered Notion Research</t>
  </si>
  <si>
    <t>Automates deep topic research by querying web SERPs, extracting key learnings via OpenAI GPT and Google Gemini, and organizing findings into Notion. Integrates OpenAI and Google Gemini chat models with Notion API for structured expert-level research synthesis.</t>
  </si>
  <si>
    <t>Notion to Clockify Sync Automation</t>
  </si>
  <si>
    <t>Automates synchronization of clients, projects, and tasks between Notion and Clockify using n8n. Employs Notion and Clockify APIs, scheduled triggers, webhooks, and dataset comparisons to ensure data consistency and archive outdated entries.</t>
  </si>
  <si>
    <t>Indeed Company Info Extract &amp; Summarize</t>
  </si>
  <si>
    <t>Automates extraction and summarization of company data from Indeed using Bright Data's Web Unlocker API and Google Gemini LLM. Converts markdown data to text and HTML, formats results via AI agent, and sends summarized insights via webhook for HR and engineering use.</t>
  </si>
  <si>
    <t>Line Bot Chinese Translator</t>
  </si>
  <si>
    <t>n8n workflow integrating Line Messaging API and OpenRouter.ai LLM to translate text and image content to Chinese with pinyin and English. Supports text, image input via Line webhook, uses OpenRouter's qwen models, sends replies back via Line API.</t>
  </si>
  <si>
    <t>LinkedIn Likes to Airtable Content Hub</t>
  </si>
  <si>
    <t>Automates extraction of insightful LinkedIn post likes from the last 7 days via RapidAPI, filters and formats them into content ideas, then stores these ideas in Airtable for content planning. Uses LinkedIn API (via RapidAPI) and Airtable integration with n8n automation.</t>
  </si>
  <si>
    <t>AI Travel Planner with Couchbase &amp; Gemini 2.0</t>
  </si>
  <si>
    <t>An AI-powered travel planning assistant using Google Gemini 2.0 Flash for chat, OpenAI text-embedding-3-small for embeddings, and Couchbase vector search for storing and retrieving points of interest. Enables conversational trip planning with vector similarity search.</t>
  </si>
  <si>
    <t>Entra Contacts to Zammad User Sync</t>
  </si>
  <si>
    <t>An n8n workflow to synchronize Microsoft Entra contacts with Zammad user accounts. It uses Microsoft Graph API to fetch contacts and Zammad API to create, update, or deactivate users. Automates user management by merging, filtering, and comparing datasets.</t>
  </si>
  <si>
    <t>CoinMarketCap DEXScan AI Agent</t>
  </si>
  <si>
    <t>n8n workflow integrating CoinMarketCap's DEXScan API with GPT-4o Mini AI to provide real-time and historical data on decentralized exchanges, including liquidity, trading volume, OHLCV, spot pairs, and trades. Uses HTTP requests, OpenAI API, and memory buffers for intelligent query handling.</t>
  </si>
  <si>
    <t>AI-Powered Resume Review &amp; Google Sheets Logging</t>
  </si>
  <si>
    <t>Automates resume submission, extraction, and evaluation using a form, Google Drive, PDF text extraction, OpenAI GPT-4, and Google Sheets for record keeping. It extracts personal info and qualifications, summarizes candidate profiles, assigns HR ratings, and logs results for streamlined hiring.</t>
  </si>
  <si>
    <t>KNN Image Classifier for Land Use</t>
  </si>
  <si>
    <t>An n8n workflow that classifies satellite images into land use types using Voyage.ai for image embeddings and Qdrant vector search for KNN classification with majority voting and tie resolution loops.</t>
  </si>
  <si>
    <t>Auto-Create Airtable Tables from Webflow Forms</t>
  </si>
  <si>
    <t>Automates creating Airtable tables dynamically for each Webflow form submission using Webflow API trigger and Airtable API (Personal Access Token). Organizes submitted form data efficiently without manual table setup, ideal for Webflow sites needing structured data storage in Airtable.</t>
  </si>
  <si>
    <t>JPG/PNG to WEBP Image Converter</t>
  </si>
  <si>
    <t>Automates conversion of JPG and PNG images to WEBP using APYHub API. Retrieves image URLs from Google Sheets, converts images, uploads results to Google Drive. Tech stack: APYHub API, Google Sheets and Google Drive integrations, n8n workflow automation.</t>
  </si>
  <si>
    <t>Pipedrive OAuth2 Token Refresh Workflow</t>
  </si>
  <si>
    <t>Automates OAuth2 token refresh for Pipedrive API using n8n, Supabase DB for token storage, and HTTP/webhook nodes. Enables secure storage and refreshing of access tokens for reliable API calls with Pipedrive integration.</t>
  </si>
  <si>
    <t>YouTube Video Transcriber Bot</t>
  </si>
  <si>
    <t>Automates transcription of YouTube videos via Supadata API and OpenAI GPT-4O for punctuation and formatting. Validates YouTube URLs, fetches raw transcripts, and refines text for easy reading in Portuguese, streamlining video content consumption and study.</t>
  </si>
  <si>
    <t>SSL Certificate Expiry Alert System</t>
  </si>
  <si>
    <t>Automates weekly monitoring of SSL certificates for URLs listed in Google Sheets using SSL-Checker.io API. Updates sheet with validity and expiry info, and sends alerts via Gmail and Telegram for expiring or invalid certificates, ensuring proactive SSL management.</t>
  </si>
  <si>
    <t>Shopify-Mautic Marketing Consent Sync</t>
  </si>
  <si>
    <t>Automates syncing customer marketing consent and segment membership between Shopify and Mautic using Shopify webhooks, Mautic API (OAuth2), Shopify GraphQL API, and webhook signature validation for secure marketing preference management.</t>
  </si>
  <si>
    <t>Hourly Automated n8n Error Retry</t>
  </si>
  <si>
    <t>Automates retrying failed n8n workflow executions every hour. Uses n8n API for fetching error executions, logs into n8n via HTTP request, filters successful retries, and retries failed executions automatically. Ideal for improving workflow reliability.</t>
  </si>
  <si>
    <t>WooCommerce to Telegram Order Alerts</t>
  </si>
  <si>
    <t>Automates sending Telegram notifications for WooCommerce orders moved to processing status. Utilizes WooCommerce Webhooks, n8n workflow, JavaScript for message formatting, and Telegram Bot API to instantly alert store owners with detailed order info.</t>
  </si>
  <si>
    <t>WordPress Form Lead Capture to Mautic</t>
  </si>
  <si>
    <t>Automates capturing leads from WordPress forms via webhook, normalizes data (name, email, mobile), validates emails, and creates contacts in Mautic CRM. Built using n8n workflow with WordPress webhook and Mautic API integration.</t>
  </si>
  <si>
    <t>Google Drive AI Document Summarizer &amp; Emailer</t>
  </si>
  <si>
    <t>Automates downloading documents from Google Drive, summarizes content using Mistral AI language model with n8n LangChain integration, and emails the summary via Gmail. Ideal for quick document insights using Google Drive, Mistral Cloud API, and Gmail OAuth2.</t>
  </si>
  <si>
    <t>Clockify Monthly Report Backup to GitHub</t>
  </si>
  <si>
    <t>Automates backup of monthly Clockify detailed time reports by retrieving data via Clockify API, comparing with existing JSON files in GitHub repo, and creating or updating report files. Built with n8n using Clockify, GitHub API, HTTP Request, and data processing nodes.</t>
  </si>
  <si>
    <t>Google Analytics SEO Data Analysis</t>
  </si>
  <si>
    <t>Automates weekly Google Analytics data retrieval using GA4 API, compares current and past week SEO metrics, queries an AI model via Openrouter for SEO insights, and saves results in Baserow. Integrates Google Analytics, Openrouter AI, and Baserow within n8n.</t>
  </si>
  <si>
    <t>CoinMarketCap Crypto Exchange &amp; Sentiment Agent</t>
  </si>
  <si>
    <t>An n8n workflow integrating CoinMarketCap APIs with OpenAI GPT-4o Mini to provide detailed cryptocurrency exchange data, asset holdings, market sentiment via Fear &amp; Greed Index, and the CMC 100 index. Designed for crypto analysts seeking automated, structured insights.</t>
  </si>
  <si>
    <t>Local Ollama Vision Models Image Analyzer</t>
  </si>
  <si>
    <t>Automates detailed image analysis using multiple locally hosted Ollama Vision LLMs, downloading images from Google Drive and saving markdown-formatted results to Google Docs. Ideal for developers needing exhaustive contextual and object insights with Google Drive and Docs integration.</t>
  </si>
  <si>
    <t>Entra to Zammad User Sync Automation</t>
  </si>
  <si>
    <t>Automates synchronization of Microsoft Entra (Azure AD) group users with Zammad user records via Microsoft Graph API and Zammad API. Manages user creation, update, and deactivation to keep Zammad in sync with Entra group memberships.</t>
  </si>
  <si>
    <t>AI-Powered Airtable MCP Server</t>
  </si>
  <si>
    <t>This n8n workflow builds an MCP server integrating Airtable with AI tools from Langchain and OpenAI GPT-4o. It enables chat-triggered intelligent CRUD operations on Airtable records using AI agents, memory buffers, and real-time SSE endpoints. Ideal for automated database interactions.</t>
  </si>
  <si>
    <t>LINE Chatbot Assistant with Google Calendar &amp; Gmail</t>
  </si>
  <si>
    <t>An AI-powered LINE chatbot integrated with Google Calendar and Gmail APIs, using LangChain and OpenAI GPT models for natural language understanding and memory. It handles user queries, manages calendar events, and retrieves emails to provide intelligent, context-aware responses.</t>
  </si>
  <si>
    <t>Email Chatbot with Semantic + Structured RAG via Telegram</t>
  </si>
  <si>
    <t>An advanced chatbot integrating Telegram, OpenAI, Ollama embeddings, and Postgres PGVector for hybrid semantic and SQL-based email retrieval. It handles natural language queries over email data, combining vector search and SQL for precise and contextual answers.</t>
  </si>
  <si>
    <t>Slack Notify &amp; Jira Ticket for Quarantined Emails</t>
  </si>
  <si>
    <t>Automates incident response by notifying quarantined email recipients via Slack using Slack API and Sublime Security API, and creates Jira tickets for opened suspicious emails. Integrates Sublime Security webhook, Slack user lookup, and Jira Software Cloud for security alert management.</t>
  </si>
  <si>
    <t>AI Business Model Canvas Generator</t>
  </si>
  <si>
    <t>An n8n workflow that uses Ollama LLM (LLaMA 3.1) via Langchain nodes to generate a complete Business Model Canvas from user input. Outputs all 9 blocks plus business title as a downloadable HTML file, automating strategic business planning.</t>
  </si>
  <si>
    <t>Discord MCP Server Automation</t>
  </si>
  <si>
    <t>An n8n workflow that automates Discord server management using Discord Bot API and custom API calls. It enables sending messages to channels or users, waiting for replies, managing roles, and fetching servers, channels, and members. Integrated with MCP trigger for flexible event-driven automation.</t>
  </si>
  <si>
    <t>Gmail Email Classification &amp; Labeling</t>
  </si>
  <si>
    <t>Automate Gmail email classification using Google Gemini and LangChain AI. Categorizes emails into High Priority, School Related, Promotion, or Other, then applies Gmail labels via OAuth2. Ideal for organizing and prioritizing inbox with AI-driven text classification.</t>
  </si>
  <si>
    <t>Medoid Setup for Crop Anomaly Detection</t>
  </si>
  <si>
    <t>An n8n workflow setting cluster centers (medoids) and threshold scores for anomaly detection on agricultural crop images. Uses Qdrant vector database for clustering and distance matrix APIs, Voyage AI multimodal embeddings, and Python scipy for sparse matrix operations.</t>
  </si>
  <si>
    <t>OpenAI Citation Formatter for File Retrieval RAG</t>
  </si>
  <si>
    <t>An n8n workflow using OpenAI assistant with vector store for file retrieval augmented generation (RAG). It retrieves chat thread content and file metadata via OpenAI API, formats text with citations, and optionally outputs Markdown or HTML for clean, referenced AI responses.</t>
  </si>
  <si>
    <t>Adobe PDF Services API Workflow</t>
  </si>
  <si>
    <t>n8n workflow that automates Adobe PDF Services API integration for PDF processing. It performs OAuth2 authentication, uploads PDFs, processes extraction/splitting requests, waits for completion, and downloads processed results. Uses Adobe API, Dropbox for test files, and HTTP requests.</t>
  </si>
  <si>
    <t>Graphic Wallpaper Generator with Midjourney &amp; GPT-4o-mini</t>
  </si>
  <si>
    <t>Automates creation of cinematic sci-fi wallpapers using PiAPI's Midjourney image generation, GPT-4o-mini for creative prompts, and Canvas API for final design. Produces visually rich, emotionally resonant graphic wallpapers tailored by user-defined themes, scenarios, and styles.</t>
  </si>
  <si>
    <t>Confluence AI Chatbot with OpenAI &amp; Telegram</t>
  </si>
  <si>
    <t>An n8n workflow that integrates Confluence REST API (basic auth) to fetch page content, converts HTML to Markdown, and uses OpenAI GPT-4o-mini via LangChain for AI-powered Q&amp;A. Supports context memory, responds via Telegram bot.</t>
  </si>
  <si>
    <t>eCommerce Contact Form Text Classifier</t>
  </si>
  <si>
    <t>Automates classification of contact form messages for eCommerce using n8n, OpenAI GPT-4o-mini for text classification, Google Sheets for data storage, and SMTP for email notifications to respective departments (quotes, orders, etc.).</t>
  </si>
  <si>
    <t>LINE to Google Drive File Upload &amp; Logger</t>
  </si>
  <si>
    <t>Automates saving files from LINE Messaging API to Google Drive with folder organization by date and file type. Logs file metadata to Google Sheets. Utilizes LINE API, Google Drive API, and Google Sheets API within n8n workflow for seamless file handling and user reply.</t>
  </si>
  <si>
    <t>Local Ollama LLM Prompt Router</t>
  </si>
  <si>
    <t>An n8n workflow that uses local Ollama LLM models to dynamically route user prompts to the best specialized AI model (text, code, vision) for task-specific responses. It ensures privacy by running entirely on local Ollama API with memory buffers for chat context.</t>
  </si>
  <si>
    <t>Doctor Appointment Booking Assistant</t>
  </si>
  <si>
    <t>An AI-powered virtual assistant workflow that automates medical appointment scheduling for Dr. Hakim using OpenAI GPT-4, Google Calendar, and Google Sheets. It handles patient interaction, checks availability, books slots, and logs data efficiently.</t>
  </si>
  <si>
    <t>Odoo Sales AI Chatbot with Opportunity Summary</t>
  </si>
  <si>
    <t>AI-powered chatbot for Odoo sales module using OpenAI GPT-4, LangChain, and Odoo API to fetch, summarize, and interactively discuss sales opportunities with live context and memory management.</t>
  </si>
  <si>
    <t>Shopify to D365 Business Central Order Sync</t>
  </si>
  <si>
    <t>Automates syncing Shopify orders to Microsoft Dynamics 365 Business Central by creating sales orders or invoices via Business Central REST API. Utilizes n8n, Shopify API, and OAuth2-secured Business Central endpoints for customer lookup, order processing, and fulfillment integration.</t>
  </si>
  <si>
    <t>Email Invoice &amp; Payment Extractor with LLM</t>
  </si>
  <si>
    <t>Automates extraction of transaction details from labeled Gmail invoices and payment emails using n8n. Uses Gmail API triggers, PDF extraction, HTML parsing, Google Gemini and Groq LLMs with structured output parsers, then logs data to Google Sheets for finance management.</t>
  </si>
  <si>
    <t>LinkedIn Profile Finder with Bright Data &amp; GPT-4o-mini</t>
  </si>
  <si>
    <t>Automates LinkedIn profile discovery by processing user form input with Bright Data for Google scraping and GPT-4o-mini for NLP. Extracts and filters LinkedIn search results, generates personalized outreach emails, and sends via SMTP. Ideal for sales prospecting automation.</t>
  </si>
  <si>
    <t>Notion AI Knowledge Base Assistant</t>
  </si>
  <si>
    <t>This n8n workflow creates an AI agent that queries and summarizes data from a Notion knowledge base using OpenAI's GPT-4o model. It integrates Notion API for database search and content retrieval, Langchain for AI memory and tool use, enabling concise, fact-based answers from Notion data.</t>
  </si>
  <si>
    <t>LinkedIn Companies to Airtable CRM Automation</t>
  </si>
  <si>
    <t>Automates searching LinkedIn companies via Ghost Genius API, filters by criteria, checks duplicates, and adds new companies to Airtable CRM. Uses n8n with HTTP requests, batch processing, and Airtable integration for streamlined lead management.</t>
  </si>
  <si>
    <t>Human-in-the-Loop AI Email Assistant</t>
  </si>
  <si>
    <t>Automates email reading via IMAP, summarizes with LangChain and OpenAI GPT models, drafts replies, and sends emails after human approval. Integrates IMAP, SMTP, LangChain AI nodes, and OpenAI GPT-4o-mini for professional business email handling.</t>
  </si>
  <si>
    <t>WhatsApp Business Appointment Bot</t>
  </si>
  <si>
    <t>An n8n workflow automating WhatsApp appointment notifications and user message handling. Uses WhatsApp Business API, Google Sheets, and scheduled triggers to manage user opt-in, send templated messages, receive and reply to messages, and update statuses seamlessly.</t>
  </si>
  <si>
    <t>Obsidian Notes to Podcast Feed Automation</t>
  </si>
  <si>
    <t>Automates turning Obsidian notes into a podcast feed using OpenAI TTS for audio, Cloudinary for storage, and Google Sheets for episode metadata. Generates an RSS podcast feed compatible with major platforms. Integrates Obsidian, OpenAI, Cloudinary, Google Sheets, and n8n.</t>
  </si>
  <si>
    <t>Amazon Data Scraper with Bright Data API</t>
  </si>
  <si>
    <t>Automates structured bulk data extraction from Amazon using Bright Data's Web Scraper API via HTTP requests in n8n. Waits for snapshot readiness, aggregates JSON results, writes data to disk, and triggers webhook notifications. Ideal for data analysts and engineers.</t>
  </si>
  <si>
    <t>Google Drive Image Background Remover</t>
  </si>
  <si>
    <t>Automates background removal for images in Google Drive using the PhotoRoom API. Downloads new images, removes or changes backgrounds with padding and size options, then uploads them back to Drive. Built with n8n, Google Drive API, and PhotoRoom API integration.</t>
  </si>
  <si>
    <t>Ahrefs Keyword Research Automation</t>
  </si>
  <si>
    <t>Automates SEO keyword research using Ahrefs API via RapidAPI, Google Gemini AI for query extraction and response formatting, and custom JS for data extraction. Enables chat-triggered keyword insights with detailed metrics on main and related keywords for content optimization.</t>
  </si>
  <si>
    <t>OpenAI API Usage Examples Workflow</t>
  </si>
  <si>
    <t>An n8n workflow demonstrating various OpenAI API integrations: text completion, chat (ChatGPT), text editing, audio transcription (Whisper), and image generation (DALLE-2). Shows prompts for summaries, translations, HTML SVG generation, and quick email replies.</t>
  </si>
  <si>
    <t>An n8n workflow automating product title and description updates for Printify shops using OpenAI GPT-4o-mini. Integrates Printify API, Google Sheets for trigger and record keeping, and AI-powered content generation to enhance eCommerce product listings efficiently.</t>
  </si>
  <si>
    <t>AI-Powered Local Folder Organizer</t>
  </si>
  <si>
    <t>Automates file organization in a local folder using n8n. It monitors a target directory with a local file trigger, lists files via shell commands, and uses Mistral Cloud AI to suggest subfolder categorization. Files are then moved accordingly with execute command nodes.</t>
  </si>
  <si>
    <t>FLUX-fill Image Editor &amp; Inpainting API</t>
  </si>
  <si>
    <t>An n8n workflow integrating FLUX-fill API for interactive image editing and inpainting. Uses Konva.js and img-comparison-slider in an HTML editor, with webhook-triggered image processing, mask and prompt inputs, and real-time generation via FLUX-fill API.</t>
  </si>
  <si>
    <t>n8n Subworkflow Dependency Graph &amp; Auto-Tagging</t>
  </si>
  <si>
    <t>Automatically builds a dependency graph of n8n workflows to identify and visualize which workflows call others. Uses n8n API, JavaScript code nodes, HTTP Requests, MermaidJS, and chart nodes to provide dependency insights and auto-tagging of sub-workflows for easier management.</t>
  </si>
  <si>
    <t>Invoice Parsing &amp; Database Entry Automation</t>
  </si>
  <si>
    <t>Automates invoice processing: triggers on new Google Drive files, sends files to LlamaParse API for extraction, receives parsed data via webhook, then creates invoices and line items in a database. Uses Google Drive, webhook, LlamaParse API, and OpenAI GPT-4o-mini for data extraction and structuring.</t>
  </si>
  <si>
    <t>AI-Powered Air Quality &amp; Pollen Advisor</t>
  </si>
  <si>
    <t>Automates daily air quality and pollen data retrieval via Ambee API, then uses OpenAI GPT-4 and Langchain AI to generate personalized, easy-to-understand environmental health summaries and care suggestions emailed to users based on location and health profile.</t>
  </si>
  <si>
    <t>Notion Work Time &amp; Break Tracker</t>
  </si>
  <si>
    <t>Automates work time tracking by logging start, break, and end times in Notion using n8n webhook. Integrates Notion API with conditional logic for real-time updates, perfect for personal or team productivity monitoring.</t>
  </si>
  <si>
    <t>Training Feedback Automation with Airtable &amp; Usertask</t>
  </si>
  <si>
    <t>Automates training feedback management using Airtable to trigger workflows, Usertask API for task creation, LinkedIn for positive feedback posting, and SMTP email notifications. It routes poor feedback to urgent tasks and celebrates good feedback on LinkedIn.</t>
  </si>
  <si>
    <t>An n8n workflow integrating OpenAI LLM, Qdrant vector database, Google Drive, and WooCommerce to build a personal shopper chatbot. It extracts user intents and product details from chat, queries WooCommerce for products, and uses RAG with store docs for general queries.</t>
  </si>
  <si>
    <t>Auto Slack Channels for Webflow Forms</t>
  </si>
  <si>
    <t>Automates creation of Slack channels named after Webflow forms, sending form submissions as Slack messages. Utilizes Webflow trigger and Slack API with Bot OAuth token. Also notifies #general channel for new channels, enabling seamless team communication.</t>
  </si>
  <si>
    <t>AI Chatbot for Google Search Console Data</t>
  </si>
  <si>
    <t>An n8n workflow integrating OpenAI GPT-4o and Google Search Console API with Postgres chat memory. Enables conversational querying of Search Console properties and data insights via a secure webhook, providing markdown-formatted responses based on natural language inputs.</t>
  </si>
  <si>
    <t>Batch Upload Crop Images to Qdrant with Embeddings</t>
  </si>
  <si>
    <t>An n8n workflow that imports crop images from Google Cloud Storage, creates embeddings using Voyage AI API, and batch uploads them to a Qdrant Cloud collection. It includes collection management, filtering for anomaly detection, and payload indexing for efficient queries.</t>
  </si>
  <si>
    <t>Prompt-Based Object Detection with Google Gemini 2.0</t>
  </si>
  <si>
    <t>An n8n workflow leveraging Google Gemini 2.0 API for prompt-based object detection in images. It downloads an image, extracts dimensions, queries Gemini for bounding boxes of specified objects, rescales coordinates, and draws boxes on the image using n8n's Edit Image node.</t>
  </si>
  <si>
    <t>Proxmox AI Assistant for API Automation</t>
  </si>
  <si>
    <t>An n8n workflow integrating Google Gemini AI and Proxmox API tools to parse user instructions into validated Proxmox VM management API calls. Features chat, Telegram, Gmail triggers, structured output parsing, and automatic API call execution for managing VMs and clusters.</t>
  </si>
  <si>
    <t>Todoist to Notion Task Sync</t>
  </si>
  <si>
    <t>Automates syncing of Todoist tasks labeled 'send-to-notion' into a Notion database, updating tasks with Notion links. Utilizes Todoist API (OAuth2) and Notion API, triggered on schedule to keep both apps aligned seamlessly.</t>
  </si>
  <si>
    <t>Automated n8n Docker Update with Telegram Alerts</t>
  </si>
  <si>
    <t>An n8n workflow that automates checking the latest n8n Docker image version via GitHub API, compares it with the installed Docker container version, and if outdated, pulls and updates the container. It uses SSH commands to manage Docker and Telegram API for user notifications and approvals.</t>
  </si>
  <si>
    <t>LinkedIn Company Story Generator with AI &amp; Bright Data</t>
  </si>
  <si>
    <t>Automates company story creation from LinkedIn data using Bright Data's web scraping API and Google Gemini AI models for extraction, formatting, and summarization. Combines HTTP requests, recursive text splitting, and AI-driven language modeling for detailed and concise narratives.</t>
  </si>
  <si>
    <t>Automated Discord Channel Cleanup</t>
  </si>
  <si>
    <t>This n8n workflow automates daily cleanup of Discord channels by deleting messages older than 7 days. It uses Discord API, scheduled triggers, batching, filtering, and waits to respect rate limits, ensuring efficient and compliant channel management.</t>
  </si>
  <si>
    <t>Weekly SSL Expiry Monitoring &amp; Alert</t>
  </si>
  <si>
    <t>Automates weekly SSL certificate checks for URLs listed in Google Sheets using ssl-checker.io API and sends alert emails via Gmail if expiry is within 7 days. Built with n8n, Google Sheets API, ssl-checker.io, and Gmail API for proactive SSL management.</t>
  </si>
  <si>
    <t>RetellAI Automated Lead Call &amp; Scheduling</t>
  </si>
  <si>
    <t>Automates outbound lead qualification calls and inbound appointment scheduling using RetellAI. Integrates Google Sheets (lead tracking), Twilio (SMS reminders), OpenAI GPT-4 (call summarization), and Gmail (email notifications) to streamline call workflows and post-call updates.</t>
  </si>
  <si>
    <t>Tavily API Search &amp; Extract with AI Summary</t>
  </si>
  <si>
    <t>An n8n workflow integrating Tavily API for intelligent web search and content extraction, combined with OpenAI to summarize content. Automates fetching relevant web data and summarizing it for research or content enrichment using Tavily's search/extract endpoints and OpenAI's LLM.</t>
  </si>
  <si>
    <t>Lead Qualification in Google Sheets via GPT-4</t>
  </si>
  <si>
    <t>Automates lead qualification by monitoring Google Sheets for new entries, using OpenAI GPT-4 (chat model) to evaluate leads based on business criteria, and updating the sheet with a rating. Integrates Google Sheets API and OpenAI's GPT-4 for seamless lead scoring.</t>
  </si>
  <si>
    <t>Automated Lead Qualification &amp; CRM Deal Creation</t>
  </si>
  <si>
    <t>An n8n workflow integrating Gmail, Pipedrive CRM, and OpenAI GPT-4 to automatically assess email replies from cold campaigns, identify interested leads, and create deals in Pipedrive. It enables scalable, AI-powered sales pipeline automation with multi-inbox support.</t>
  </si>
  <si>
    <t>GitHub Prompt Loader and Dynamic AI Prompting</t>
  </si>
  <si>
    <t>n8n workflow fetches markdown prompts from a GitHub repo, dynamically replaces variables set in the workflow, verifies missing variables, and sends the prepared prompt to LangChain AI agent and Ollama chat model for processing and content generation.</t>
  </si>
  <si>
    <t>AI-Driven Rental Payment Reconciliation</t>
  </si>
  <si>
    <t>An n8n self-hosted workflow automating rental payment reconciliation by monitoring local CSV bank statements, querying tenant &amp; property data from an Excel file, using OpenAI GPT-4 for AI analysis, and updating reports in XLSX format. Stack: n8n, localFileTrigger, OpenAI API, SheetJS.</t>
  </si>
  <si>
    <t>Auto Remove PII from Google Drive CSV</t>
  </si>
  <si>
    <t>An n8n workflow that monitors a Google Drive folder for new CSV files, uses OpenAI GPT-4o-mini to detect PII columns in tabular data, removes those PII columns, and uploads sanitized CSVs to another Drive folder. Integrates Google Drive API and OpenAI API.</t>
  </si>
  <si>
    <t>Real Estate Lead Enrichment &amp; CRM Automation</t>
  </si>
  <si>
    <t>Automates property lead discovery by querying BatchData API with custom filters, enriches leads via skip tracing for owner contacts, scores leads, exports to Excel, and pushes to HubSpot CRM with email notifications. Uses n8n HTTP, code, spreadsheet, and email nodes.</t>
  </si>
  <si>
    <t>Asana Task Rescheduler &amp; Cleaner</t>
  </si>
  <si>
    <t>Automates Asana task management by rescheduling overdue open tasks to today's date and deleting completed tasks. Uses Asana API with n8n scheduling and conditional logic nodes to keep workspace organized and up-to-date daily.</t>
  </si>
  <si>
    <t>NeurochainAI Telegram Chatbot</t>
  </si>
  <si>
    <t>Automates AI-powered chat and image generation via Telegram using NeurochainAI API. Utilizes Telegram Bots and NeurochainAI's REST API for text and image generation with configurable AI models. Handles user prompts, errors, and sends AI responses directly in chat.</t>
  </si>
  <si>
    <t>Telegram AI Chatbot with Long-Term Memory</t>
  </si>
  <si>
    <t>An AI-powered Telegram bot using DeepSeek and LangChain for conversational interaction with long-term memory stored in Google Docs. It validates users, routes message types, and uses DeepSeek's AI models for context-aware, personalized responses.</t>
  </si>
  <si>
    <t>BambooHR Webhook Testing with PostBin &amp; Slack</t>
  </si>
  <si>
    <t>This n8n workflow enables testing BambooHR webhooks without changing webhook URLs by using PostBin for request capturing and Slack for notifications. It integrates BambooHR API, PostBin API, Slack API, and OpenAI to monitor HR data changes and send welcome messages.</t>
  </si>
  <si>
    <t>Trustpilot Review Scraper &amp; Sentiment Analyzer</t>
  </si>
  <si>
    <t>Automates scraping of Trustpilot reviews using DeepSeek API, extracts detailed review info, analyzes sentiment with OpenAI, and stores results in Google Sheets. Ideal for companies monitoring customer feedback and sentiment analysis.</t>
  </si>
  <si>
    <t>Google Analytics SEO Insights Workflow</t>
  </si>
  <si>
    <t>Automates weekly Google Analytics data retrieval and comparison using GA4 API, processes page engagement, search console metrics, and country views. Uses Openrouter AI (meta-llama model) for SEO analysis and stores results in Baserow database.</t>
  </si>
  <si>
    <t>Email PDF Attachment Filter &amp; Upload</t>
  </si>
  <si>
    <t>Automates filtering of PDF attachments from Gmail using OpenAI to detect relevant documents (e.g., payslips), then uploads matched PDFs to Google Drive. Uses Gmail API, OpenAI API, and Google Drive API within n8n workflow for document management automation.</t>
  </si>
  <si>
    <t>Linear Issue Sentiment Monitoring &amp; Alerts</t>
  </si>
  <si>
    <t>Automates sentiment analysis on updated Linear.app issue comments using OpenAI, stores insights in Airtable, and sends Slack alerts on negative sentiment transitions, enabling proactive support issue management. Tech stack: Linear GraphQL API, OpenAI, Airtable, Slack, n8n.</t>
  </si>
  <si>
    <t>Hey Siri AI Agent with n8n and OpenAI</t>
  </si>
  <si>
    <t>An n8n workflow integrating Apple Shortcuts with OpenAI's GPT-4o-mini model, enabling voice-driven AI interactions via Siri. It uses webhook triggers, LangChain agents, and responds with voice-optimized AI answers, perfect for hands-free intelligent assistant tasks on iOS/macOS.</t>
  </si>
  <si>
    <t>AI Event Banner Generator with n8n</t>
  </si>
  <si>
    <t>Create event banners using n8n forms, OpenAI DALL·E 3 for AI image generation, Cloudinary for image hosting and optimization, BannerBear for templated design, and Discord for automated event posting. Streamlines banner creation and sharing via automation.</t>
  </si>
  <si>
    <t>SERPBear SEO Rank Analysis &amp; Storage</t>
  </si>
  <si>
    <t>Automates SEO keyword rank monitoring using SERPBear API. Processes ranking data with JavaScript, sends it to Meta-LLama AI for expert analysis, and stores insights in Baserow database. Utilizes n8n for scheduled triggers and API integrations, enabling easy SEO performance tracking.</t>
  </si>
  <si>
    <t>Auto Google Doc Summarizer to Sheets</t>
  </si>
  <si>
    <t>Automates summarizing new Google Docs uploaded to a Drive folder using OpenAI GPT-4O-MINI and logs summaries with metadata into Google Sheets for easy management. Integrates Google Drive, Docs, Sheets APIs and Langchain AI tools for streamlined document insights.</t>
  </si>
  <si>
    <t>AI Email Summarizer &amp; Messenger Notifier</t>
  </si>
  <si>
    <t>Automates reading emails via IMAP, summarizes content using Openrouter.ai's LLaMA model, and sends concise summaries or important alerts with deadlines to LINE messenger. Integrates IMAP, Openrouter API, and LINE Messaging API for streamlined email management.</t>
  </si>
  <si>
    <t>YouTube Video Summarizer with AI</t>
  </si>
  <si>
    <t>Automates summarization of YouTube videos by extracting transcripts via Apify API, then using OpenAI's language model with n8n Langchain nodes to produce concise summaries. Ideal for content creators, researchers, and professionals seeking quick insights.</t>
  </si>
  <si>
    <t>SQL Query Agent with Conversational Memory</t>
  </si>
  <si>
    <t>An n8n workflow that enables conversational AI to query a local SQLite database using OpenAI's GPT-4-turbo model via LangChain. It fetches, extracts, and stores the Chinook sample SQLite DB, then allows interactive SQL queries with memory of previous interactions for better context.</t>
  </si>
  <si>
    <t>Spotify Control via Telegram and AI</t>
  </si>
  <si>
    <t>Automate Spotify music control by sending messages through Telegram. Uses Telegram API for message triggers, OpenAI GPT-4o-mini to parse artist and track info from chat, and Spotify API to search, play, and manage tracks. Ideal for hands-free Spotify interaction.</t>
  </si>
  <si>
    <t>Location-Based Work Attendance Logger</t>
  </si>
  <si>
    <t>Automates work attendance tracking by logging check-in/check-out times via iPhone location-triggered webhooks to Google Sheets using Google Drive and Sheets APIs.</t>
  </si>
  <si>
    <t>Text Automations for Apple Shortcuts with OpenAI</t>
  </si>
  <si>
    <t>This n8n workflow integrates Apple Shortcuts with OpenAI GPT-4o-mini API to automate text tasks: translating (English/Spanish), grammar correction, and content length adjustments. Users select text on iOS/macOS, invoke shortcuts linked to a webhook, and receive AI-processed text updates.</t>
  </si>
  <si>
    <t>n8n Google Drive Workflow Backup Automation</t>
  </si>
  <si>
    <t>Automates nightly backups of n8n workflows to Google Drive using Google Drive and n8n APIs. It manages backup folders, moves old backups, and purges backups older than 30 days automatically.</t>
  </si>
  <si>
    <t>Email Verification Waitlist Automation</t>
  </si>
  <si>
    <t>Automates user registration with email verification for a waitlist using n8n. Integrates Google Sheets for data storage, SMTP for sending verification codes, and n8n Forms for user input and validation, ensuring secure and organized waitlist management.</t>
  </si>
  <si>
    <t>Productboard to Snowflake Data Sync</t>
  </si>
  <si>
    <t>An n8n workflow automating import of Productboard notes, companies, and features into Snowflake data warehouse, using Productboard API and Snowflake DB nodes. Includes Slack notifications for weekly updates and Metabase dashboard linking.</t>
  </si>
  <si>
    <t>Linear to Productboard Sync Automation</t>
  </si>
  <si>
    <t>Automates syncing project status and target end dates from Linear to Productboard features using their APIs. Updates Productboard features' status and timeframe, and sends notifications via Slack. Tech stack: n8n, Linear API, Productboard API, Slack API.</t>
  </si>
  <si>
    <t>Multi-Step Newsletter Signup &amp; Survey</t>
  </si>
  <si>
    <t>This n8n workflow captures newsletter signups and further user details via chained multi-page forms, storing data in Google Sheets and sending Slack alerts. Tech stack: n8n built-in Form and FormTrigger nodes, Google Sheets API, Slack API. Ideal for onboarding and lead capture.</t>
  </si>
  <si>
    <t>Google Search Console Data to Google Sheets</t>
  </si>
  <si>
    <t>Automates fetching Google Search Console data (queries, pages, dates) using Google OAuth2 API, processes it in n8n, and updates Google Sheets reports regularly to track SEO metrics like clicks, impressions, CTR, and position.</t>
  </si>
  <si>
    <t>Calendly-KlickTipp Booking &amp; Cancellation Sync</t>
  </si>
  <si>
    <t>Automates the sync of booking and cancellation data from Calendly to KlickTipp. Converts Calendly event info, manages invitee and guest subscriptions, handles rescheduling, and updates contact lists in KlickTipp using APIs. Streamlines event-based subscriber management.</t>
  </si>
  <si>
    <t>Linear Issue Sentiment Monitoring &amp; Alerting</t>
  </si>
  <si>
    <t>Automates monitoring of Linear app issues using GraphQL, performs sentiment analysis on issue comments via OpenAI's Chat Model, stores results in Airtable, and sends Slack alerts on negative sentiment transitions. Enables proactive issue management with n8n automation.</t>
  </si>
  <si>
    <t>This n8n workflow uses Google Gemini 2.0 API to perform prompt-based object detection on an image, detecting specific objects (e.g., rabbits) with bounding boxes. It fetches an image via HTTP, gets image info, calls Gemini 2.0 for detection, rescales coordinates, and draws boxes using n8n's Edit Image node.</t>
  </si>
  <si>
    <t>Automates backup of all n8n instance workflows to a specified GitHub repo. Uses n8n API to fetch workflows, GitHub API to retrieve and update files, and compares JSON content to avoid duplicates or unnecessary overwrites. Runs on schedule or manual trigger.</t>
  </si>
  <si>
    <t>Invoice Parser: Google Drive to Airtable</t>
  </si>
  <si>
    <t>Automates invoice data extraction from Google Drive using LlamaParse API, OpenAI GPT-4 for line item extraction, then stores structured invoice and line item data in Airtable. Utilizes Google Drive trigger, HTTP requests, and webhook integrations for seamless, real-time processing.</t>
  </si>
  <si>
    <t>ServiceNow Incident Alerts to Slack</t>
  </si>
  <si>
    <t>Automates fetching new ServiceNow incidents every 5 minutes and posts detailed incident notifications to a Slack channel. Utilizes ServiceNow API, Slack API, and n8n scheduling and sorting nodes for real-time IT incident monitoring and team alerting.</t>
  </si>
  <si>
    <t>CSV to JSON Conversion API</t>
  </si>
  <si>
    <t>An n8n workflow that converts CSV files or raw CSV text to JSON format using webhook POST requests. It uses n8n nodes for file extraction, CSV parsing via JavaScript code, and conditional branching. Supports error handling with Slack notifications for conversion errors.</t>
  </si>
  <si>
    <t>Social Media Lead Analyzer &amp; Email Generator</t>
  </si>
  <si>
    <t>Automates lead outreach by extracting LinkedIn and Twitter posts via RapidAPI, analyzes data using OpenAI GPT-4, and generates personalized HTML cover letters sent via SMTP. Integrates Google Sheets for lead data and tracking, ideal for marketers and sales pros.</t>
  </si>
  <si>
    <t>Docker Registry Image Cleaner</t>
  </si>
  <si>
    <t>Automates cleanup of Docker registry by listing images and tags, identifying old tags beyond latest 10, removing them via Docker Registry HTTP API, running garbage collection via SSH, and sending email notifications. Uses HTTP Request, SSH, Code nodes in n8n.</t>
  </si>
  <si>
    <t>SuiteCRM Drive-To-Store Lead Automation</t>
  </si>
  <si>
    <t>Automates lead generation for drive-to-store campaigns by integrating Google Sheets, SuiteCRM API (OAuth2), and webhooks. Checks duplicates, assigns coupons, and updates leads with custom fields to streamline CRM workflows.</t>
  </si>
  <si>
    <t>Notion Content Blocks Markdown Sync</t>
  </si>
  <si>
    <t>Automates syncing Notion database updates by converting Notion blocks to Markdown and back. Uses Notion API, n8n Notion Trigger, HTTP Request, and custom JS code to preserve rich text formatting including headings, lists, and annotations for seamless content manipulation.</t>
  </si>
  <si>
    <t>AI Fact-Checker for Articles with Ollama</t>
  </si>
  <si>
    <t>An n8n workflow that uses Ollama LLM models and Langchain nodes to split articles into sentences, fact-check each statement against given facts, and summarize factual inaccuracies. Integrates code splitting, merging, filtering, and aggregation nodes to automate article verification.</t>
  </si>
  <si>
    <t>BBC News to Podcast Script &amp; TTS</t>
  </si>
  <si>
    <t>An n8n workflow that fetches BBC news, classifies headlines using Google Gemini LLM, extracts details, and converts multiple news articles into a natural podcast script. The script is formatted for Hugging Face text-to-speech synthesis, enabling automated news podcast creation.</t>
  </si>
  <si>
    <t>YouTube AI News Playlist Creator</t>
  </si>
  <si>
    <t>Automates daily creation of YouTube playlists from AI news channels using Google Sheets for channel management, YouTube API to fetch recent videos, and Telegram for notifications. Deletes previous playlists to keep updates fresh and organized.</t>
  </si>
  <si>
    <t>Google Form Quiz Certificate Automation</t>
  </si>
  <si>
    <t>Automates certificate generation for quiz takers using Google Forms (quiz mode), Google Sheets, Google Slides, Drive, and Gmail. It triggers on new form responses, evaluates scores, creates personalized certificates from a Slides template, converts them to PDF, and emails them to users.</t>
  </si>
  <si>
    <t>AI-Powered Prompt Generator &amp; Categorizer</t>
  </si>
  <si>
    <t>An n8n workflow leveraging Google Gemini (PaLM) LLM to generate, categorize, name, and store AI prompts. Uses LangChain nodes to parse output and Airtable API to save prompts in a structured Prompt Library for seamless AI prompt management.</t>
  </si>
  <si>
    <t>CallForge Gong Call Data Processor</t>
  </si>
  <si>
    <t>Automates processing Gong call data integrated with Salesforce. Uses Salesforce and Gong APIs in n8n to fetch, filter, and format call records by stage and opportunity, then passes them for AI-based call preprocessing, enabling sales insights extraction.</t>
  </si>
  <si>
    <t>CallForge AI Sales Call Processor</t>
  </si>
  <si>
    <t>An n8n workflow integrating Gong API, Notion, Google Sheets, and OpenAI to automate extraction, enrichment, and processing of sales call transcripts for actionable insights and error correction in Gong calls.</t>
  </si>
  <si>
    <t>CallForge AI Gong Sales Call Processor</t>
  </si>
  <si>
    <t>An n8n workflow that extracts and enriches Gong sales call transcripts with Salesforce data using Gong API, Salesforce API, and advanced data transformation nodes. It segments speakers, enriches call metadata, and formats data for AI analysis.</t>
  </si>
  <si>
    <t>CallForge Sales Call AI Summarizer</t>
  </si>
  <si>
    <t>Automates extraction and organization of sales call data from Gong into Notion. Uses n8n with Notion API, Slack API, and AI subworkflows to analyze calls, update databases, and send progress alerts. Ideal for sales teams wanting streamlined call analysis and tracking.</t>
  </si>
  <si>
    <t>AI Sales Call Data to Notion DB</t>
  </si>
  <si>
    <t>Automates extraction and organization of sales call insights like competitors, integrations, objections, and use cases using AI-generated data. Utilizes n8n with Notion API, handling data splitting, aggregation, and rate limiting to update multiple Notion databases for sales analytics.</t>
  </si>
  <si>
    <t>AI Sales Call Insights to Notion</t>
  </si>
  <si>
    <t>Automates processing of AI-generated sales call data with Notion integration. Extracts Marketing Insights, Recurring Topics, and Actionable Insights from Gong calls, then organizes and updates them in separate Notion databases. Uses n8n workflow automation with Notion API.</t>
  </si>
  <si>
    <t>Slack Water Drinking Reminder with AI Motivate</t>
  </si>
  <si>
    <t>Automates water intake reminders via Slack using Google Sheets for logging, OpenAI GPT-4o-mini for personalized motivational messages, and iOS shortcuts integration. Encourages healthy hydration with friendly AI-generated advice and tracks drinking habits.</t>
  </si>
  <si>
    <t>AI-Driven Google Sheets Data Analyst</t>
  </si>
  <si>
    <t>An n8n workflow integrating OpenAI GPT-4, LangChain AI Agent, and Google Sheets API to analyze and query transaction data via chat. It filters by date, status, and product using Google Sheets OAuth, enabling dynamic, AI-powered data insights and calculations.</t>
  </si>
  <si>
    <t>Google Gemini AI Media Analyzer Workflow</t>
  </si>
  <si>
    <t>An n8n workflow demonstrating 5 methods to analyze images and PDFs using Google Gemini AI (PaLM API), Unsplash image source, and direct API calls. Automates media content understanding with dynamic prompts, batch processing, and data transformations in n8n.</t>
  </si>
  <si>
    <t>Dartagnan to Braze Email Template Sync</t>
  </si>
  <si>
    <t>An n8n workflow automating synchronization of email templates from Dartagnan to Braze. It fetches auth tokens, lists and compares campaigns and email templates, processes HTML content including image embedding, and updates or creates templates via Dartagnan and Braze REST APIs. Runs on schedule.</t>
  </si>
  <si>
    <t>Mistral OCR Document &amp; Image Parsing</t>
  </si>
  <si>
    <t>An n8n workflow integrating Mistral Cloud API for advanced OCR of PDFs and images. It supports public URL input or private file uploads via Google Drive and Mistral signed URLs, offering document parsing, text extraction, and document question answering capabilities.</t>
  </si>
  <si>
    <t>HIBP New Breach Alert Automation</t>
  </si>
  <si>
    <t>Automates monitoring of new data breaches from HaveIBeenPwned API every 15 minutes. Caches last breach info locally, compares for new incidents, and triggers alerts for new breaches. Built with n8n using HTTP Request, file operations, and conditional logic nodes.</t>
  </si>
  <si>
    <t>Automated Email Categorizer &amp; Responder</t>
  </si>
  <si>
    <t>This n8n workflow automates email handling by triggering on new Gmail messages, classifying them using Google Gemini NLP, and sending tailored responses (guest posts, YouTube inquiries, courses) via SMTP. Contacts are updated in Brevo. Tech used: Gmail API, Google Gemini, SMTP, Brevo API.</t>
  </si>
  <si>
    <t>Shopify Customers to Google Sheets Exporter</t>
  </si>
  <si>
    <t>Automates fetching Shopify customers via Shopify API, handles pagination, and appends/upserts customer data (email, first name, last name, ID) to a Google Sheets document. Uses n8n with Shopify API, Google Sheets OAuth2, JavaScript for pagination parsing.</t>
  </si>
  <si>
    <t>Dropbox Folder Watch &amp; New File Automation</t>
  </si>
  <si>
    <t>An n8n workflow that monitors specified Dropbox folders using Dropbox webhooks and API, filters new files against a NocoDB database to exclude known files, and triggers subworkflows for new files processing. Uses Dropbox API, NocoDB, and n8n automation platform.</t>
  </si>
  <si>
    <t>Webpage Change Monitor &amp; Notifier</t>
  </si>
  <si>
    <t>Automates monitoring of webpage content changes using n8n's HTTP Request, HTML extraction, Crypto hashing, Google Drive &amp; Sheets APIs, and Gmail. Tracks changes via hashes, logs updates, saves snapshots, and sends email alerts for updated webpages.</t>
  </si>
  <si>
    <t>Gmail PDF Invoice Classifier &amp; Drive Uploader</t>
  </si>
  <si>
    <t>n8n workflow using Gmail, Google Drive, and OpenAI GPT-4.1-mini to scan emails for PDF invoices/receipts, classify via AI, upload matched PDFs to Drive folders by date, and optionally email them. Customizable with token limits and search terms.</t>
  </si>
  <si>
    <t>Automated Arabic Kids Story Creator</t>
  </si>
  <si>
    <t>This n8n workflow automates creating, translating, and sharing kids' stories in Arabic using OpenAI GPT-4 Turbo for story generation and translation, DALL·E for image creation, audio generation, and Telegram for distribution. It fosters educational storytelling with visual and audio content.</t>
  </si>
  <si>
    <t>Personal Resume AI Chatbot with Google Gemini</t>
  </si>
  <si>
    <t>An AI chatbot that answers questions about a personal resume/CV using Google Gemini (PaLM) for embeddings and chat, Pinecone vector DB for data storage, Google Drive for document triggering, and NocoDB for conversation logging. Sends daily email summaries via Gmail.</t>
  </si>
  <si>
    <t>Umami Analytics SEO Insights Automation</t>
  </si>
  <si>
    <t>Automates fetching website traffic stats from Umami analytics API, uses Openrouter AI to generate SEO summaries &amp; improvement suggestions, and stores results in Baserow database. Integrates Umami, Openrouter AI, and Baserow in n8n for weekly reporting and analysis.</t>
  </si>
  <si>
    <t>AI Chatbot for Kadampa Book Q&amp;A</t>
  </si>
  <si>
    <t>An n8n workflow that downloads an EPUB of a Kadampa Buddhist book from Google Drive, processes it with LangChain loaders and OpenAI embeddings, stores data in Supabase vector DB, and provides a chatbot for Q&amp;A using OpenAI's chat model and vector retrieval.</t>
  </si>
  <si>
    <t>Automates HR recruitment by extracting candidate info from PDF CVs via LangChain AI, evaluating fit against job criteria, and storing results in Google Sheets. Uses n8n workflow, OpenAI GPT-4o-mini, Google Drive, and Sheets APIs for streamlined candidate management.</t>
  </si>
  <si>
    <t>AI-Powered A/B Split Testing Chatbot</t>
  </si>
  <si>
    <t>An n8n workflow that implements A/B split testing for chatbot prompts using OpenAI's GPT-4o-mini model, Supabase for session management, and Postgres for chat memory. Enables testing of different prompt variants for chat sessions to optimize AI responses.</t>
  </si>
  <si>
    <t>Telegram AI Chatbot with Voice &amp; Text</t>
  </si>
  <si>
    <t>An n8n workflow integrating Telegram API, OpenAI GPT-4o, and LangChain to build a multi-format chatbot. It handles text and voice messages, transcribing audio via OpenAI, maintaining conversation memory, and replying with rich HTML formatting on Telegram.</t>
  </si>
  <si>
    <t>NeurochainAI Telegram Bot Integration</t>
  </si>
  <si>
    <t>An n8n workflow that integrates Telegram bot messages with NeurochainAI's REST API. It processes user prompts via Telegram, sends them to NeurochainAI for text or image generation (using models like Meta-Llama and Flux), then returns AI-generated responses or images to the user on Telegram.</t>
  </si>
  <si>
    <t>Telegram AI Chatbot with Image Generation</t>
  </si>
  <si>
    <t>An automated Telegram bot leveraging n8n workflows, OpenAI GPT-4 for chatbot replies, and DALL·E for image creation. It supports multi-language chat, welcome messages, text-to-image commands, and error handling for unsupported commands.</t>
  </si>
  <si>
    <t>Telegram PDF RAG Chatbot with Pinecone</t>
  </si>
  <si>
    <t>An n8n workflow that automates processing PDFs sent via Telegram by extracting, chunking, embedding with OpenAI, and storing in Pinecone vector DB. Enables retrieval-augmented generation (RAG) chat using Groq LLaMA-3.1-70b model for precise answers from uploaded documents.</t>
  </si>
  <si>
    <t>Text Automation via Apple Shortcuts &amp; OpenAI</t>
  </si>
  <si>
    <t>An n8n workflow integrating Apple Shortcuts with OpenAI GPT-4o-mini models to automate text tasks: translate (English/Spanish), grammar correction, and text length adjustments. Sends text via webhook, processes through OpenAI, responds to Shortcut for in-app editing.</t>
  </si>
  <si>
    <t>Company Data Enrichment with OpenAI &amp; Google Sheets</t>
  </si>
  <si>
    <t>Workflow enriches company data from Google Sheets using ScrapingBee for homepage scraping and OpenAI GPT-4o-mini for extracting business insights. It updates sheets with company business areas, offers, models, and ideal customer profiles automatically.</t>
  </si>
  <si>
    <t>GitHub Release Updates to Slack</t>
  </si>
  <si>
    <t>Automates monitoring of GitHub repo releases using RSS feeds, caches release IDs in Redis, processes release notes with Google Gemini AI to extract and translate key info to Chinese, and posts formatted updates to Slack channels with error notifications.</t>
  </si>
  <si>
    <t>Amazon Product Price Tracker</t>
  </si>
  <si>
    <t>Automates tracking Amazon product prices using ScrapeOps API, logging data to Google Sheets, calculating price changes, and sending alert emails when prices cross thresholds. Utilizes n8n workflow with Google Sheets, ScrapeOps HTTP API, and SMTP email integration.</t>
  </si>
  <si>
    <t>Bank Statement OCR to Data Extraction</t>
  </si>
  <si>
    <t>Automates extraction of deposit data from bank statements by converting PDFs to images, then transcribing pages to markdown with Google Gemini VLM, finally extracting structured data. Uses Google Drive API, Stirling PDF API, and n8n nodes for PDF/image processing.</t>
  </si>
  <si>
    <t>French-To-English Audio Translator</t>
  </si>
  <si>
    <t>Automates French text-to-speech with ElevenLabs, transcribes speech via OpenAI Whisper, translates text using OpenAI GPT, and generates English speech again with ElevenLabs. Useful for multilingual audio content creation and language learning.</t>
  </si>
  <si>
    <t>Airtop AI Web Automation Agent</t>
  </si>
  <si>
    <t>An intelligent n8n workflow integrating Airtop browser tooling and Anthropic Claude 3.5 AI to automate complex web browsing tasks. It uses Langchain AI Agent to query, click, type, load URLs and manage browser sessions, enabling natural language driven web interaction and data extraction.</t>
  </si>
  <si>
    <t>Indeed Company Data Scraper &amp; AI Summarizer</t>
  </si>
  <si>
    <t>Automates scraping company profiles from Indeed using Bright Data Web Unlocker, extracts and converts markdown data, then summarizes with Google Gemini AI models. Integrates Airtable for URL input and webhook notifications for processed summaries.</t>
  </si>
  <si>
    <t>Automates scraping Trustpilot reviews using DeepSeek API, extracts detailed review info, analyzes sentiment via OpenAI, and stores results on Google Sheets for easy tracking and analysis.</t>
  </si>
  <si>
    <t>TOTP Code Generator in n8n</t>
  </si>
  <si>
    <t>This n8n workflow demonstrates generating Time-based One-Time Passwords (TOTP) using the n8n TOTP node with a configured TOTP account credential. It includes a manual trigger node to test the workflow and is ideal for implementing 2FA code generation within automation processes.</t>
  </si>
  <si>
    <t>Bitwarden Group &amp; Member Management</t>
  </si>
  <si>
    <t>Automates Bitwarden password manager group creation, lists all members, updates group members, and retrieves group members. Uses Bitwarden API via n8n nodes. Ideal for managing Bitwarden user groups programmatically and synchronizing member access.</t>
  </si>
  <si>
    <t>Twitter New Tweets to Airtable</t>
  </si>
  <si>
    <t>Automates fetching the latest tweets about 'verstappen' using Twitter API and appends only new tweets to Airtable database. Uses n8n with Twitter and Airtable nodes to filter out duplicates and update records seamlessly.</t>
  </si>
  <si>
    <t>Daily Weather SMS Alert via Plivo</t>
  </si>
  <si>
    <t>Automates sending daily SMS weather updates for Berlin at 9 AM using OpenWeatherMap API for temperature data and Plivo API for messaging, orchestrated by n8n's Cron node for scheduling.</t>
  </si>
  <si>
    <t>Todoist Task Categorizer with AI Priority Update</t>
  </si>
  <si>
    <t>Automates categorizing Todoist inbox tasks into projects using OpenAI's GPT-4o-mini, then updates their priority in Todoist accordingly. Uses n8n workflow with Todoist and OpenAI APIs, scheduled trigger, and filters to streamline task management.</t>
  </si>
  <si>
    <t>Copper CRM Person Create-Update-Get Flow</t>
  </si>
  <si>
    <t>n8n workflow automates Copper CRM interactions by creating a person with email, updating phone number, then retrieving the person data, using Copper API and manual trigger node for streamlined CRM data management.</t>
  </si>
  <si>
    <t>Email Existence Verification Workflow</t>
  </si>
  <si>
    <t>An n8n workflow that verifies if an email address exists using Uproc's checkEmailExists API. It triggers manually, creates the email item, checks its deliverability status, and branches accordingly. Useful for validating emails in automation.</t>
  </si>
  <si>
    <t>Webflow CMS Item Create &amp; Update Workflow</t>
  </si>
  <si>
    <t>An n8n workflow automating creation and update of CMS items in Webflow using Webflow API. It triggers manually, creates a new item, then updates it with additional fields including an avatar URL, ensuring content management automation.</t>
  </si>
  <si>
    <t>IP-Based Location Email Sender</t>
  </si>
  <si>
    <t>n8n workflow using Uproc API to get geographic location from IP, then sends a customized welcome email in Spanish or English via AWS SES based on user country (Spain or not). Automates localized email outreach using IP geolocation and email automation.</t>
  </si>
  <si>
    <t>Clearbit Email Person Lookup</t>
  </si>
  <si>
    <t>An n8n workflow that uses Clearbit API to fetch and enrich person details by email input. It triggers manually and retrieves person data like name, job, and company using Clearbit's person resource for streamlined data enrichment.</t>
  </si>
  <si>
    <t>Airtable Email Validation Workflow</t>
  </si>
  <si>
    <t>An n8n workflow that fetches email records from Airtable, validates them using Mailcheck API to check MX record existence, and updates Airtable records with validation results. Tech stack includes Airtable API and Mailcheck API integration for data integrity.</t>
  </si>
  <si>
    <t>Orbit Member Management Workflow</t>
  </si>
  <si>
    <t>Automates creating and updating members in Orbit using its API. It adds notes and posts linked to members in a workspace. The workflow triggers manually and sequentially manages member data, notes, and posts via Orbit API within n8n.</t>
  </si>
  <si>
    <t>ClickUp Task Creator</t>
  </si>
  <si>
    <t>An n8n workflow to automate task creation in ClickUp using ClickUp API. Trigger tasks manually and create tasks in specified ClickUp spaces, folders, and lists. Useful for streamlining project management with no-code automation.</t>
  </si>
  <si>
    <t>ISS Position Publisher via MQTT</t>
  </si>
  <si>
    <t>Automates fetching the current ISS location every minute using the WhereTheISS.at API and publishes latitude, longitude, and timestamp data to an MQTT topic for real-time tracking. Built with n8n, integrating Cron, HTTP Request, Set, and MQTT nodes.</t>
  </si>
  <si>
    <t>Gmail Attachment to Google Drive Link</t>
  </si>
  <si>
    <t>Automates retrieving Gmail messages with a specific label, uploads their attachments to Google Drive, and outputs the file link. Uses Gmail and Google Drive APIs within n8n workflow to streamline attachment management and sharing.</t>
  </si>
  <si>
    <t>Add a Book Volume to Google Bookshelf</t>
  </si>
  <si>
    <t>This n8n workflow uses Google Books API with OAuth2 to fetch a specific book volume by ID and add it to a chosen Google Bookshelf. It automates managing your digital library inside Google Books, simplifying book collection updates.</t>
  </si>
  <si>
    <t>Email Invite with iCalendar Attachment</t>
  </si>
  <si>
    <t>Automates sending an email with an iCalendar event invite using n8n. Utilizes n8n manual trigger, iCal node for calendar event creation, and SMTP email node (Outlook). Ideal for sending event invites with calendar attachments.</t>
  </si>
  <si>
    <t>Notion to Mattermost Meeting Alerts</t>
  </si>
  <si>
    <t>Automates notifications in Mattermost when new meeting notes are added to a Notion database for the Marketing team. Uses Notion Trigger node to monitor Notion API, applies conditional logic, then sends formatted messages via Mattermost API to alert team members.</t>
  </si>
  <si>
    <t>Chargebee Event Updates Receiver</t>
  </si>
  <si>
    <t>An n8n workflow using the Chargebee Trigger node to listen for all Chargebee subscription and billing events in real-time, enabling automated processing and integration with other systems.</t>
  </si>
  <si>
    <t>Calendly to Notion Personality Sync</t>
  </si>
  <si>
    <t>Automates the creation of Notion database pages with personality insights by triggering on new Calendly invitees, querying Humantic AI for detailed personality analysis, and storing results in Notion. Uses Calendly webhook, Humantic AI API, and Notion API.</t>
  </si>
  <si>
    <t>SSL Certificate Expiry Notifier</t>
  </si>
  <si>
    <t>An n8n workflow that checks the SSL certificate validity of a specified domain (default: n8n.io) using the Uproc API and sends an alert to a Telegram chat if the certificate has expired. Integrates manual trigger, function item, Uproc and Telegram nodes.</t>
  </si>
  <si>
    <t>ClickUp Event Updates Receiver</t>
  </si>
  <si>
    <t>An n8n workflow using the ClickUp Trigger node to receive real-time updates for all events in a ClickUp workspace. Integrates with ClickUp's API to automate task and project monitoring efficiently.</t>
  </si>
  <si>
    <t>URL to Notion Link Logger</t>
  </si>
  <si>
    <t>This n8n workflow uses Webhook, HTTP Request, HTML Extract, and Notion API to capture URLs, fetch page titles, and add them as entries into a Notion database. It includes Discord reply confirmation. Automates link organization with webpage title retrieval.</t>
  </si>
  <si>
    <t>UptimeRobot Monitor Create-Update-Get</t>
  </si>
  <si>
    <t>Workflow using UptimeRobot API in n8n to create a monitor for n8n.io, update its friendly name, and retrieve monitor details. Ideal for website uptime tracking automation with UptimeRobot API credentials.</t>
  </si>
  <si>
    <t>Microsoft To Do Task Automator</t>
  </si>
  <si>
    <t>Automates creation and status update of tasks in Microsoft To Do using n8n workflow with manual trigger and Microsoft OAuth API integration. Simplifies task management by creating, updating to 'inProgress', and retrieving tasks seamlessly.</t>
  </si>
  <si>
    <t>Get and Update Contacts from GetResponse</t>
  </si>
  <si>
    <t>Workflow to fetch all contacts from GetResponse using its API, check their campaign association, and update the campaign ID if it differs. Built in n8n automation platform, it uses manual triggers, GetResponse API integration, conditional logic, and updates contacts accordingly.</t>
  </si>
  <si>
    <t>Syncro to OpsGenie Alert Sync</t>
  </si>
  <si>
    <t>Automates alert creation and closure in OpsGenie from Syncro MSP by receiving webhook notifications. Utilizes Syncro webhooks and OpsGenie API with HTTP Request nodes for real-time incident management and status synchronization.</t>
  </si>
  <si>
    <t>Shopify Product Launch Social Broadcaster</t>
  </si>
  <si>
    <t>Automates social media announcements for new Shopify products by posting customizable messages to Twitter and Telegram using Shopify Trigger, Twitter API, and Telegram API integration in n8n workflow.</t>
  </si>
  <si>
    <t>Telegram Toxic Language Filter</t>
  </si>
  <si>
    <t>This n8n workflow monitors Telegram messages and uses Google Perspective API to detect toxic language (profanity, identity attack, threat). Offending messages trigger an automatic Telegram reply warning users. Integrates Telegram API and Google Perspective API for real-time content moderation.</t>
  </si>
  <si>
    <t>Steam Phishing Domain Reporter</t>
  </si>
  <si>
    <t>Automates detection and reporting of Steam phishing domains via webhook. Uses DNS dig commands to validate domain and Cloudflare nameservers, then sends alert emails via Mailgun API to Steam and Cloudflare security teams.</t>
  </si>
  <si>
    <t>Segment Event Tracking Workflow</t>
  </si>
  <si>
    <t>An n8n workflow to track custom events in Segment using the Segment API. It triggers manually and sends event data to Segment's tracking endpoint, enabling user behavior data collection for analytics and marketing automation.</t>
  </si>
  <si>
    <t>API Rate Limiter with Airtable Data Fetch</t>
  </si>
  <si>
    <t>n8n workflow implements an API rate limiting system using Redis for per-minute and per-hour limits with secured webhook authentication. It fetches Pokemon data from Airtable and returns it if limits are not exceeded, ensuring controlled API usage and data delivery.</t>
  </si>
  <si>
    <t>AWS Textract Invoice OCR Workflow</t>
  </si>
  <si>
    <t>Automates OCR extraction of invoice data from an image stored in AWS S3 using AWS Textract API. Triggered manually in n8n, processes 'Rechnung.jpg' from 'textract-demodata' bucket to extract text for further workflows, leveraging AWS cloud services.</t>
  </si>
  <si>
    <t>Slack Error Notification Workflow</t>
  </si>
  <si>
    <t>An n8n workflow that triggers on any error event and sends a formatted alert to a specified Slack channel using the Slack API. It helps teams quickly identify failed workflow executions with direct links for troubleshooting.</t>
  </si>
  <si>
    <t>Invoice Email to Nextcloud Uploader</t>
  </si>
  <si>
    <t>Automates fetching invoices from an IMAP 'Invoices' email folder, processes each attachment by sanitizing filenames, and uploads them to dated folders in Nextcloud. Utilizes IMAP Email node, custom JavaScript for filename sanitization, and Nextcloud API integration.</t>
  </si>
  <si>
    <t>GitLab Issue for New GitHub Release</t>
  </si>
  <si>
    <t>Automates weekly checks of the latest GitHub release of a repo and creates a new GitLab issue if no corresponding issue exists. Uses n8n with GitHub API (releases), GitLab API (issues), and cron scheduler to sync release tracking.</t>
  </si>
  <si>
    <t>ISS Position Tracker to Firebase DB</t>
  </si>
  <si>
    <t>An n8n workflow that fetches the International Space Station's geolocation every minute using WhereTheISS.at API, then saves latitude, longitude, and timestamp data to Google Firebase Realtime Database. Automates real-time ISS tracking and storage.</t>
  </si>
  <si>
    <t>Twitter Followers Banner Updater</t>
  </si>
  <si>
    <t>Automates updating Twitter profile banner with latest followers' avatars. Uses Twitter API v2 to fetch followers, downloads and edits avatars and a background image, composites them, and updates banner via Twitter API v1.1 with OAuth1.0 authentication.</t>
  </si>
  <si>
    <t>Product Label Generator with DB &amp; API Integration</t>
  </si>
  <si>
    <t>Automates product label creation by integrating n8n webhook, MySQL and PostgreSQL databases, and a local HTTP API for print configuration. Retrieves detailed product, fabric roll, and composition data to generate comprehensive labels for inventory management.</t>
  </si>
  <si>
    <t>Automated MySQL Cleanup with Telegram Alerts</t>
  </si>
  <si>
    <t>This n8n workflow automates the cleanup of old package records from two MySQL databases at 8 AM daily using Cron, then sends Telegram notifications to specific chats. It leverages MySQL, Cron, Telegram API, and a webhook trigger for manual invocations.</t>
  </si>
  <si>
    <t>User Signup &amp; Notion Semester Tracker</t>
  </si>
  <si>
    <t>Automates user signup via a secure HTTP webhook, extracts user name and email, checks existence in Notion database, creates new user if absent, and updates their associated semester info. Uses n8n with Notion API and basic auth for secure, streamlined academic user management.</t>
  </si>
  <si>
    <t>GitLab Release to Outline Document</t>
  </si>
  <si>
    <t>Automates creating published documents in Outline from GitLab release tag pushes. Uses GitLab Trigger node for tag_push events, IF node to filter release events, and HTTP Request node to call Outline API to create release notes automatically.</t>
  </si>
  <si>
    <t>Mautic Form Submission SMS Alert</t>
  </si>
  <si>
    <t>Automates sending SMS confirmations via Twilio when a form is submitted in Mautic. Uses Mautic API for form trigger and Twilio API to send personalized SMS notifications, ideal for webinar sign-ups or lead confirmations.</t>
  </si>
  <si>
    <t>Daily Weather Push Notifications with Spontit</t>
  </si>
  <si>
    <t>Automates daily weather updates for Berlin using OpenWeatherMap API and sends them as push notifications via Spontit. Scheduled with n8n Cron node for daily delivery at 9 AM, ideal for keeping users informed about temperature changes.</t>
  </si>
  <si>
    <t>HubSpot New Company Domain Validator &amp; Alert</t>
  </si>
  <si>
    <t>Automates monitoring of new HubSpot companies by validating their website domains via HTTP request. Suspicious or unreachable domains trigger alerts posted to Slack. Integrates HubSpot API for company data and Slack API for real-time notifications.</t>
  </si>
  <si>
    <t>News Change Alert via Telegram</t>
  </si>
  <si>
    <t>Automates monitoring of Hacker News front page by fetching the page every 5 minutes, comparing the content, and sending a Telegram alert if changes are detected. Uses HTTP Request nodes, Cron trigger, Wait node, IF condition, and Telegram API integration.</t>
  </si>
  <si>
    <t>SyncroMSP Call Timer Sync</t>
  </si>
  <si>
    <t>Automates call duration logging to SyncroMSP by syncing webhook call data with Google Sheets to find matching tickets, then adds timer entries via SyncroMSP API. Uses n8n, Google Sheets API, webhooks, and HTTP requests for efficient call tracking.</t>
  </si>
  <si>
    <t>Strava Activity Reminder &amp; Encouragement</t>
  </si>
  <si>
    <t>Automates daily activity checks using Strava API to track moving time. If activity is below threshold, sends encouragement emails to accountability partners via SMTP. Built with n8n, integrates Strava OAuth2 and email sending.</t>
  </si>
  <si>
    <t>Add Subscriber and Send Email Campaign</t>
  </si>
  <si>
    <t>Automates adding an email subscriber to a Sendy list and sends a welcome email campaign using Sendy API triggered manually in n8n workflow.</t>
  </si>
  <si>
    <t>Onfleet Driver Signup Slack Notification</t>
  </si>
  <si>
    <t>Automates notifications to Slack when a new driver signs up in Onfleet. Uses Onfleet API trigger to detect new driver creation and Slack API to send messages to a specific channel, enhancing team awareness instantly.</t>
  </si>
  <si>
    <t>Airtable to Mattermost Notification</t>
  </si>
  <si>
    <t>This n8n workflow automates notifications by triggering on new data entries in Airtable and sending formatted messages to a Mattermost channel. It integrates Airtable API and Mattermost API for real-time alerts, facilitating team collaboration and data monitoring.</t>
  </si>
  <si>
    <t>Download Image and Post to Slack</t>
  </si>
  <si>
    <t>An n8n workflow that downloads an image file from a specified URL using HTTP Request and then posts it to a designated Slack channel via Slack's API with OAuth2 authentication. Automates file sharing seamlessly between web and Slack.</t>
  </si>
  <si>
    <t>PagerDuty Incident Create, Update, and Retrieve</t>
  </si>
  <si>
    <t>An n8n workflow automating PagerDuty incident management with create, update, and get operations. Uses PagerDuty API via n8n nodes to streamline incident lifecycle management triggered manually.</t>
  </si>
  <si>
    <t>City Weather Info via OpenWeatherMap API</t>
  </si>
  <si>
    <t>An n8n workflow that receives a city name via webhook and fetches current weather data using the OpenWeatherMap API. It extracts temperature and weather description to return concise weather info dynamically. Tech stack: n8n, Webhook, OpenWeatherMap API.</t>
  </si>
  <si>
    <t>URL Job Analysis with Cortex API</t>
  </si>
  <si>
    <t>This n8n workflow triggers manually to analyze a URL using Cortex's Abuse Finder analyzer and retrieves detailed job results. It integrates n8n with the Cortex API to automate URL threat detection and forensic job data collection.</t>
  </si>
  <si>
    <t>TheHive Event Update Notifier</t>
  </si>
  <si>
    <t>An n8n workflow using TheHive Trigger node to receive real-time updates for any event occurring in TheHive security incident response platform. Enables automation based on security event notifications via webhooks.</t>
  </si>
  <si>
    <t>Iterable User Management Workflow</t>
  </si>
  <si>
    <t>An n8n workflow integrating with Iterable API to create, update, and retrieve user data by email. It automates user profile management in Iterable marketing platform using n8n's Iterable nodes triggered manually.</t>
  </si>
  <si>
    <t>Kafka Temperature Alert via SMS</t>
  </si>
  <si>
    <t>An n8n workflow that listens to a Kafka topic for temperature readings, checks if the temperature exceeds 50, and sends an alert SMS via Vonage API. Integrates Kafka, conditional logic, and Vonage SMS for real-time temperature monitoring alerts.</t>
  </si>
  <si>
    <t>Shorten URL &amp; Fetch URL Stats with YOURLS</t>
  </si>
  <si>
    <t>An n8n workflow to create short URLs using YOURLS API and retrieve their statistics. It uses n8n's manual trigger and YOURLS nodes to automate URL shortening and stats fetching, ideal for tracking short link performance.</t>
  </si>
  <si>
    <t>Factory IoT Data Generator with AMQP</t>
  </si>
  <si>
    <t>Generates synthetic smart factory data including machine ID, temperature, uptime, and timestamp at regular intervals using n8n. Sends data via AMQP to a specified queue for IoT or monitoring integrations. Tech: n8n workflow, JavaScript, AMQP protocol.</t>
  </si>
  <si>
    <t>Manage Ghost Posts via Admin API</t>
  </si>
  <si>
    <t>Automates creating, updating, and fetching posts on Ghost CMS using n8n. Utilizes Ghost Admin API and n8n's Ghost node to streamline content management workflows with manual trigger initiation.</t>
  </si>
  <si>
    <t>Airtable Data Insert and Update Workflow</t>
  </si>
  <si>
    <t>An n8n workflow integrating Airtable API to append, list with filter, and update records in an Airtable base. It automates managing data rows programmatically via manual trigger, ideal for streamlined data syncing and updates.</t>
  </si>
  <si>
    <t>Snowflake Table Create &amp; Upsert Workflow</t>
  </si>
  <si>
    <t>Automates creation of a Snowflake table and performs insert and update operations using n8n with Snowflake API integration. Ideal for managing and updating data programmatically with no manual SQL needed.</t>
  </si>
  <si>
    <t>Random User Data to Google Sheets &amp; CSV</t>
  </si>
  <si>
    <t>Fetches random user data via the RandomUser API, extracts name and country, then appends it to a Google Sheets spreadsheet using OAuth2 authentication and also exports the data as a CSV file. Utilizes HTTP Request, Google Sheets, and Spreadsheet File nodes in n8n.</t>
  </si>
  <si>
    <t>Random User Data to Sheets &amp; Email</t>
  </si>
  <si>
    <t>Automates fetching random user data from randomuser.me API, formats it, appends to Google Sheets via OAuth2, converts data to CSV and JSON files, saves locally, and emails JSON file using Gmail API. Integrates HTTP Request, Google Sheets, File, and Gmail nodes in n8n.</t>
  </si>
  <si>
    <t>Automate Twist Channel Creation &amp; Messaging</t>
  </si>
  <si>
    <t>n8n workflow using Twist API to create and update channels, add users, and send custom messages with action buttons linking to docs. Integrates Twist OAuth2 for secure access to workspace, streamlining team communications and onboarding.</t>
  </si>
  <si>
    <t>Customer Data Filtering &amp; Branching Demo</t>
  </si>
  <si>
    <t>An n8n workflow demonstrating conditional filtering and routing of customer data from a custom datastore using If and Switch nodes. Highlights multi-condition logic with AND/OR combos and branching by country (US, CO, UK, others). Ideal for learning data-driven workflow branching.</t>
  </si>
  <si>
    <t>Customer Messaging Approval Workflow</t>
  </si>
  <si>
    <t>An n8n workflow demonstrating batch message sending with rate limiting, waits for external approval via webhook, and simulates sending approval URLs to merchants. Uses n8n core nodes, custom Customer Datastore &amp; Messenger, wait, splitInBatches, and webhook nodes.</t>
  </si>
  <si>
    <t>Weekly MySQL to Google Sheets Export</t>
  </si>
  <si>
    <t>Automates weekly data export from a MySQL database to Google Sheets using n8n. Triggers every week at 5am, queries all records from 'books' table, and appends them to a specified Google Sheet via OAuth2 authentication.</t>
  </si>
  <si>
    <t>Google Sheets Row Processing Automation</t>
  </si>
  <si>
    <t>An n8n workflow that reads rows from a Google Sheets document every 5 minutes, checks if rows are unprocessed, executes actions on new data, marks them processed with timestamps. Utilizes Google Sheets API with OAuth2 for automatic data management.</t>
  </si>
  <si>
    <t>Google Sheets to HTML Exporter</t>
  </si>
  <si>
    <t>Automates exporting data from Google Sheets to an HTML file using n8n workflow. Utilizes Google Sheets API via OAuth2 credentials and n8n's spreadsheet file node to convert sheet data into an HTML document triggered by a webhook.</t>
  </si>
  <si>
    <t>Gmail Label Manage: Fetch, Remove, Add</t>
  </si>
  <si>
    <t>Automates Gmail email management by fetching messages with a specific label, removing that label, and applying a new one using Gmail API via OAuth2 in n8n workflow. Ideal for organizing emails automatically.</t>
  </si>
  <si>
    <t>GitHub Fork Leads to Pipedrive Automation</t>
  </si>
  <si>
    <t>Automates lead creation in Pipedrive CRM from GitHub fork events using GitHub API and Pipedrive API. Detects fork, retrieves user info, checks/creates person in Pipedrive, creates lead and note linking GitHub URL. Tech stack: n8n, GitHub Trigger, HTTP Request, Pipedrive nodes.</t>
  </si>
  <si>
    <t>GitHub PR to Pipedrive Note Automation</t>
  </si>
  <si>
    <t>Automates adding notes to Pipedrive persons when a GitHub pull request is created. Uses GitHub webhook trigger, HTTP request to GitHub API, and Pipedrive API. Checks PR sender email in Pipedrive, adds PR URL as a note if person exists.</t>
  </si>
  <si>
    <t>Mattermost Channel Setup and Welcome Message</t>
  </si>
  <si>
    <t>Automates Mattermost by creating a new channel, adding a specific member, and posting a welcome message using Mattermost API within n8n workflow. Ideal for onboarding and team collaboration setup.</t>
  </si>
  <si>
    <t>Customer Data Invoice &amp; Email Automation</t>
  </si>
  <si>
    <t>Automates fetching customer data, sorting, generating invoices and customer lists using n8n, a custom Customer Datastore API, Document Generator for templates, and SMTP for email delivery. Enables sending individual invoice emails and summarized new customer report emails.</t>
  </si>
  <si>
    <t>JSON to Google Sheets Append</t>
  </si>
  <si>
    <t>Automates reading a local JSON file and appending its data to a Google Sheets spreadsheet using OAuth2 authentication. Utilizes n8n's Read Binary File, Move Binary Data, and Google Sheets nodes to streamline data synchronization.</t>
  </si>
  <si>
    <t>Podcast RSS Feed Generator from Web Episodes</t>
  </si>
  <si>
    <t>An n8n workflow that scrapes podcast episode data from ardaudiothek.de, parses JSON metadata from episode pages, and generates a valid RSS feed. Utilizes HTTP Requests, HTML extraction, JSON parsing, and custom JS code to create podcast RSS XML feeds dynamically.</t>
  </si>
  <si>
    <t>Typeform to NextCloud Spreadsheet Sync</t>
  </si>
  <si>
    <t>Automates data flow from Typeform submissions to NextCloud-stored Excel files. Uses Typeform Trigger to capture form responses, merges with existing spreadsheet data from NextCloud, updates the file, and uploads it back to NextCloud.</t>
  </si>
  <si>
    <t>Google Drive to Notion File Logger</t>
  </si>
  <si>
    <t>Automates logging of newly uploaded Google Drive files to a Notion database. Uses Google Drive API trigger to detect file uploads in a specific folder and Notion API to create database entries with file details and links. Ideal for file management and tracking.</t>
  </si>
  <si>
    <t>Calendly to Mautic Contact Sync</t>
  </si>
  <si>
    <t>Automates contact creation/update in Mautic when a new Calendly event is created using Calendly webhook and Mautic API integration. Keeps contact info up-to-date by syncing invitee email and first name upon scheduling events.</t>
  </si>
  <si>
    <t>Clockify Invoice to Notion Logger</t>
  </si>
  <si>
    <t>Automates logging of new Clockify invoices into a Notion database using Clockify webhook and Notion API. Captures invoice number, issue date, due date, and amount for centralized invoice tracking and management.</t>
  </si>
  <si>
    <t>Export MySQL Table to XLSX File</t>
  </si>
  <si>
    <t>An n8n workflow to export data from a specified MySQL table into an XLSX spreadsheet file using MySQL and spreadsheet nodes. Triggered manually, it allows easy saving of SQL table data for sharing or backup.</t>
  </si>
  <si>
    <t>Manage e-goi Subscribers: Create, Update, Retrieve</t>
  </si>
  <si>
    <t>An n8n workflow using the e-goi API to create, update, and fetch subscriber details. It automates subscriber management by chaining operations with manual trigger, utilizing e-goi's contact list API for email marketing and audience handling.</t>
  </si>
  <si>
    <t>Gender Inclusive Language Notifier</t>
  </si>
  <si>
    <t>An n8n workflow that listens for messages containing gendered terms via a webhook and sends a Mattermost bot suggestion to use gender inclusive language alternatives like "folks" or "y'all". Uses n8n Webhook and Mattermost API integration.</t>
  </si>
  <si>
    <t>Website Screenshot to Telegram Channel</t>
  </si>
  <si>
    <t>Automates capturing a full-page website screenshot via uProc API and sends it as a photo to a specified Telegram channel using Telegram Bot API, triggered manually in n8n workflow.</t>
  </si>
  <si>
    <t>Postgres to Google Sheets Lead Sync</t>
  </si>
  <si>
    <t>Automates syncing qualified lead data from a PostgreSQL database to Google Sheets, filtering out internal emails. Uses Postgres Trigger, Filter, and Google Sheets nodes in n8n to enable real-time or manual lead data export for easy tracking and contact management.</t>
  </si>
  <si>
    <t>MySQL Products to XML File Exporter</t>
  </si>
  <si>
    <t>Automates extraction of 16 random product records from MySQL, formats data with or without XML attributes, converts to XML, and saves as files. Utilizes n8n with MySQL node, JSON to XML conversion, and file writing for easy product data export.</t>
  </si>
  <si>
    <t>Paul Graham Essays Scraper &amp; Summarizer</t>
  </si>
  <si>
    <t>An n8n workflow that scrapes the latest essays from paulgraham.com, extracts titles and full texts, and summarizes them using OpenAI's GPT-4o-mini model with Langchain nodes. Automates content aggregation and summarization of Paul Graham's essays.</t>
  </si>
  <si>
    <t>LangChain Q&amp;A with Workflow Content Retriever</t>
  </si>
  <si>
    <t>An n8n workflow using LangChain integration with OpenAI (GPT-4o-mini) to perform question-answering on dynamically retrieved workflow data. It uses a manual trigger, a subworkflow retriever, and a set node to input queries, enabling smart Q&amp;A on saved workflow content.</t>
  </si>
  <si>
    <t>Chatbot with Mistral-7B via Hugging Face</t>
  </si>
  <si>
    <t>An n8n workflow that triggers on chat message input and generates polite, emoji-rich replies using an open-source Mistral-7B-Instruct-v0.1 model via Hugging Face API. Utilizes LangChain nodes to manage LLM chaining for conversational AI.</t>
  </si>
  <si>
    <t>Telegram Controlled N8N Workflow Activator</t>
  </si>
  <si>
    <t>Automates activation/deactivation of n8n workflows via Telegram bot commands. Uses Telegram API for command input and n8n API for workflow control. Enables quick management of marketing and sales workflows remotely through '/start' and '/stop' commands.</t>
  </si>
  <si>
    <t>Snowflake CSV Data Importer</t>
  </si>
  <si>
    <t>Automates importing CSV data from an HTTP URL into a Snowflake database table. Uses n8n nodes: HTTP Request to fetch CSV, Spreadsheet File to parse, Set to map fields, and Snowflake node to insert data.</t>
  </si>
  <si>
    <t>TwentyCRM Event Notifications to Email &amp; Slack</t>
  </si>
  <si>
    <t>An n8n workflow that receives event triggers from TwentyCRM via webhook, filters and logs event data to Google Sheets, and sends notifications to Gmail or Slack channels based on event type (e.g. deletion events emailed, others sent to Slack).</t>
  </si>
  <si>
    <t>Website Screenshot Capture with Bright Data</t>
  </si>
  <si>
    <t>An n8n workflow to capture website screenshots using Bright Data's Web Unlocker API and save them locally. Utilizes HTTP requests with authenticated headers, proxy zone configuration, and file system write operations to automate web page capture.</t>
  </si>
  <si>
    <t>Email to Nextcloud Deck Card</t>
  </si>
  <si>
    <t>Automates creation of Nextcloud Deck cards from emails using IMAP for email retrieval, JavaScript function to strip HTML, and Nextcloud Deck API via HTTP request for card creation. Ideal for task management workflows.</t>
  </si>
  <si>
    <t>Daily Telegram Journal Reminder</t>
  </si>
  <si>
    <t>Automates daily 6 AM journal prompts via Telegram by generating a reminder message with yesterday's date. Uses n8n Cron for scheduling, JavaScript function for message formatting, and Telegram API for notification delivery. Helps maintain consistent journaling habit.</t>
  </si>
  <si>
    <t>Email XML Order Processing and API Submission</t>
  </si>
  <si>
    <t>Automates order processing by reading emails via IMAP, extracting XML attachments, converting them to JSON, and sending data via HTTP POST to a sales order API. Uses n8n nodes: IMAP Email, XML, Set, HTTP Request, and Move Binary Data for seamless integration.</t>
  </si>
  <si>
    <t>Batch Email Sender with CSV and Image Attachments</t>
  </si>
  <si>
    <t>Automates batch email sending using n8n with CSV parsing, batch processing, and SMTP email sending. Reads CSV data, processes in batches of 5, attaches personalized PNGs per recipient, and sends certificate emails via SMTP.</t>
  </si>
  <si>
    <t>Website Availability Monitor with Discord Alerts</t>
  </si>
  <si>
    <t>An hourly website content monitor using n8n's HTTP Request node to check for specific text ('Out Of Stock'), conditionally triggering Discord notifications via webhook. Integrates Cron for scheduling, IF node for logic branching, and Discord nodes for alerting.</t>
  </si>
  <si>
    <t>WordPress Posts to CSV Exporter</t>
  </si>
  <si>
    <t>Automates exporting all WordPress posts using WordPress API, converts them to CSV via n8n spreadsheet node, and saves a local CSV file. Ideal for non-coders needing quick WordPress content exports as CSV files.</t>
  </si>
  <si>
    <t>Icypeas Real-Time Email Search Listener</t>
  </si>
  <si>
    <t>Automates real-time retrieval of email search results from Icypeas via webhook, extracting emails and names. Uses n8n webhook and Set nodes to process data for integration with services like Lemlist. Ideal for bulk email/domain scans with instant notifications.</t>
  </si>
  <si>
    <t>Phantombuster Data to Airtable Logger</t>
  </si>
  <si>
    <t>Automates retrieval of data from Phantombuster API and stores structured results (name, email, company) into Airtable. Utilizes n8n workflow with Phantombuster connector, manual trigger, data mapping, and Airtable API for seamless data capture and storage.</t>
  </si>
  <si>
    <t>Fastmail JMAP Unread Email Fetcher</t>
  </si>
  <si>
    <t>An n8n workflow integrating with Fastmail's JMAP API using HTTP requests and header auth to retrieve mailbox info and fetch the latest unread emails. Designed to automate email monitoring leveraging Fastmail's API and n8n's HTTP Request nodes.</t>
  </si>
  <si>
    <t>Azure DevOps PR to DingTalk Notifier</t>
  </si>
  <si>
    <t>Automates notifications on new Azure DevOps Pull Requests by sending customized DingTalk messages. Uses Azure DevOps webhook, MySQL for user mapping, and DingTalk's robot webhook API to notify correct users in group chats.</t>
  </si>
  <si>
    <t>Save URLs to Notion via Webhook</t>
  </si>
  <si>
    <t>An n8n workflow that uses a POST webhook to capture URLs and automatically saves them as pages in a specified Notion bookmarks database, enabling easy bookmarking and organization. Tech stack: n8n, Notion API, Webhook.</t>
  </si>
  <si>
    <t>Website Analytics to Airtable Logger</t>
  </si>
  <si>
    <t>Automates fetching Google Analytics data (sessions by country over a date range) and appends it into an Airtable base for easy tracking. Utilizes Google Analytics API, Airtable API, and n8n automation platform for seamless data integration.</t>
  </si>
  <si>
    <t>Monday.com Error Logging Automation</t>
  </si>
  <si>
    <t>Automates error detection in n8n workflows by triggering on errors, extracting stack traces via JavaScript, and logging detailed error records into a specified Monday.com board with timestamps. Integrates n8n, Monday.com API, and custom code for workflow error management.</t>
  </si>
  <si>
    <t>French to English Audio Translation Workflow</t>
  </si>
  <si>
    <t>This n8n workflow converts French text to spoken audio using ElevenLabs TTS, transcribes it with OpenAI Whisper, translates to English with GPT-4o-mini, and generates English speech via ElevenLabs. Integrates ElevenLabs TTS API and OpenAI APIs for a full audio translation cycle.</t>
  </si>
  <si>
    <t>AI Activity Suggestion Chatbot</t>
  </si>
  <si>
    <t>An n8n AI agent workflow integrating OpenAI GPT-4o-mini and Bored API to suggest personalized activity ideas based on user input on activity type and participants. Includes memory buffer for chat context and a sub-workflow for API calls.</t>
  </si>
  <si>
    <t>SendGrid Contact Management Workflow</t>
  </si>
  <si>
    <t>Automates creating, updating, and retrieving contacts using SendGrid API within n8n. Utilizes manual trigger, SendGrid node for contact resource operations including adding first and last names, and fetching contact by email. Ideal for managing email lists.</t>
  </si>
  <si>
    <t>n8n Workflow Sync to Notion Database</t>
  </si>
  <si>
    <t>Automates syncing of n8n workflows tagged 'sync-to-notion' with a Notion database. Uses n8n API to fetch workflows every 15 mins, then queries and updates or adds corresponding pages in Notion via Notion API. Ideal for workflow management and monitoring.</t>
  </si>
  <si>
    <t>G Suite Admin User Management Workflow</t>
  </si>
  <si>
    <t>Automate creation, updating, and retrieval of G Suite users using the n8n G Suite Admin node with OAuth2 authentication. Ideal for managing Google Workspace users programmatically within n8n workflows.</t>
  </si>
  <si>
    <t>Gmail Error Notification Workflow</t>
  </si>
  <si>
    <t>An n8n workflow that triggers on errors in other workflows and sends an email alert via Gmail API with error details. Set up with Gmail OAuth2 credentials and target email to receive notifications about workflow failures for quick troubleshooting.</t>
  </si>
  <si>
    <t>Set Default Error Workflow in n8n</t>
  </si>
  <si>
    <t>Automates updating the default error workflow ID in n8n workflows stored in a Postgres DB. Uses n8n API to fetch workflows, filters by tags, and updates workflow settings via Postgres node. Scheduled every 4 hours or manually triggered.</t>
  </si>
  <si>
    <t>Country Info Lookup via GraphQL API</t>
  </si>
  <si>
    <t>An n8n workflow that retrieves country details (name, phone code, emoji) using a GraphQL query to the countries.trevorblades.com API. It accepts a country code from a webhook, processes the response, and returns a formatted summary string.</t>
  </si>
  <si>
    <t>HighLevel Contact Address Verifier</t>
  </si>
  <si>
    <t>Automates verification of mailing addresses from HighLevel CRM contacts using Lob API. It triggers via webhook, verifies address deliverability, and tags contacts in HighLevel accordingly for follow-up or confirmation. Integrates HighLevel CRM, n8n workflow, and Lob address verification API.</t>
  </si>
  <si>
    <t>Grist Record Transfer with Confirmation</t>
  </si>
  <si>
    <t>An n8n workflow that uses a Webhook and Grist API to transfer records from a source to a destination table only when a 'Confirmed' boolean flag is true. It prevents duplicate entries by checking existing records before creating new ones, ensuring manual confirmation triggers the process.</t>
  </si>
  <si>
    <t>XML to JSON Conversion API</t>
  </si>
  <si>
    <t>An n8n workflow webhook that converts uploaded XML files or XML text payloads into JSON. Uses n8n's Extract From File and XML nodes, supports binary file uploads and text input, sends JSON responses, and logs errors to Slack.</t>
  </si>
  <si>
    <t>Dynamic NASA API Key Credentials</t>
  </si>
  <si>
    <t>An n8n workflow demonstrating how to dynamically set NASA API credentials using form input expressions. Utilizes n8n Form Trigger, NASA API node, and Respond to Webhook to fetch and redirect to NASA's picture of the day. Great for learning dynamic credential handling.</t>
  </si>
  <si>
    <t>Email Validation &amp; Domain Extraction Workflow</t>
  </si>
  <si>
    <t>An n8n workflow that validates email addresses and extracts domains using native functions. It uses n8n's manual trigger, random data generator for sample emails, and set node for processing. Ideal for quick email checks in automated processes.</t>
  </si>
  <si>
    <t>Automated Mautic Contact Unsubscribe via Gmail</t>
  </si>
  <si>
    <t>This n8n workflow automates unsubscribing contacts in Mautic based on unsubscribe emails received in Gmail. It uses Gmail API to trigger on new emails, parses sender emails, searches Mautic contacts via Mautic API, updates contact segments (unsubscribe and newsletter), and replies with a confirmation message.</t>
  </si>
  <si>
    <t>Redis Workflow Lock for Scheduled Runs</t>
  </si>
  <si>
    <t>An n8n workflow that uses Redis to lock execution status, preventing concurrent runs of a main workflow triggered on a set schedule. It checks and updates workflow state as 'running' or 'idle' to ensure serialized runs, using scheduleTrigger, Redis, and executeWorkflow nodes.</t>
  </si>
  <si>
    <t>FlutterFlow Low-Code API Endpoint</t>
  </si>
  <si>
    <t>n8n workflow provides a low-code API endpoint for FlutterFlow apps using webhooks, a customer datastore node, data aggregation, and response formatting. Easily customize with your database and serve GET requests for app data integration.</t>
  </si>
  <si>
    <t>DOCX to PDF Conversion Workflow</t>
  </si>
  <si>
    <t>An n8n workflow that converts DOCX files to PDF using ConvertAPI service. It fetches a DOCX file from a URL, sends it to ConvertAPI with query authentication, and saves the resulting PDF locally. Ideal for automated document format conversion.</t>
  </si>
  <si>
    <t>Scheduled Website Scraper with Scrappey API</t>
  </si>
  <si>
    <t>An automated workflow using n8n that triggers on schedule to scrape any website via the Scrappey API, avoiding anti-bot blocks. It uses n8n's Schedule Trigger, HTTP Request node with Scrappey API, and customizable URL input for scalable web scraping tasks.</t>
  </si>
  <si>
    <t>XLSX to PDF Conversion Workflow</t>
  </si>
  <si>
    <t>Automates downloading an XLSX file, converts it to PDF using ConvertAPI's API, and saves the PDF locally. Utilizes n8n, HTTP Requests, and file handling nodes to streamline document format conversion.</t>
  </si>
  <si>
    <t>PPTX to PDF Conversion Workflow</t>
  </si>
  <si>
    <t>An n8n workflow that automates downloading a PPTX file, converting it to PDF using ConvertAPI's API, and saving the result locally. Utilizes HTTP Request nodes and file system operations with authentication via ConvertAPI query credentials.</t>
  </si>
  <si>
    <t>PDF Password Protect and Save Workflow</t>
  </si>
  <si>
    <t>An n8n automation workflow that downloads a PDF, applies password protection using ConvertAPI, saves it locally, and uploads to Google Drive. Utilizes ConvertAPI for PDF processing and Google Drive API for cloud storage.</t>
  </si>
  <si>
    <t>Webpage to PDF Converter</t>
  </si>
  <si>
    <t>Convert any webpage URL into a downloadable PDF file using ConvertAPI via HTTP request, with automated file saving on disk, triggered manually in n8n workflow.</t>
  </si>
  <si>
    <t>HTML to PDF Conversion with ConvertAPI</t>
  </si>
  <si>
    <t>Automates conversion of a simple HTML document to PDF using ConvertAPI via HTTP request, with file handling in n8n. Demonstrates use of manual trigger, code node for binary conversion, and authenticated API request to create a PDF file.</t>
  </si>
  <si>
    <t>Image to PDF Conversion Workflow</t>
  </si>
  <si>
    <t>An n8n workflow that downloads an image from a URL, converts it to PDF using ConvertAPI, then saves the PDF locally. Utilizes HTTP Request node with ConvertAPI for file conversion, manual trigger to start, and file system write node for output.</t>
  </si>
  <si>
    <t>PDF to PDF/A Conversion Workflow</t>
  </si>
  <si>
    <t>Automates downloading a PDF file, converting it to the PDF/A standard using ConvertAPI, and saving the result locally. Utilizes n8n, HTTP Request nodes, and ConvertAPI's authenticated REST API for file conversion.</t>
  </si>
  <si>
    <t>Systeme.io Contacts &amp; Tags Management</t>
  </si>
  <si>
    <t>Automate retrieval and management of contacts and tags using Systeme.io API in n8n. Includes pagination and rate limiting handling for full data sync, plus batch adding contacts with custom fields via HTTP requests.</t>
  </si>
  <si>
    <t>Zigbee2MQTT Weekly Backup to SFTP</t>
  </si>
  <si>
    <t>Automates weekly Zigbee2MQTT backups by triggering an MQTT request every Monday at 2:45 AM, receiving the base64 backup response, converting it to a ZIP file, and uploading it securely to an SFTP server. Utilizes MQTT, SFTP, JSON parsing, and n8n scheduling.</t>
  </si>
  <si>
    <t>TOTP 2FA Code Validation Workflow</t>
  </si>
  <si>
    <t>An n8n workflow to validate 6-digit TOTP codes using Python in a function node without creating credentials. It runs a time-based one-time password algorithm for 2FA verification, suitable for secure authentication systems.</t>
  </si>
  <si>
    <t>Todoist Task Prioritization with OpenAI</t>
  </si>
  <si>
    <t>Automates task prioritization in Todoist using a scheduled n8n workflow. It fetches inbox tasks, categorizes them to projects via OpenAI GPT-4o-mini, and updates their priority accordingly. Utilizes Todoist API, OpenAI API, and n8n automation platform.</t>
  </si>
  <si>
    <t>Image Overlay Watermark Automation</t>
  </si>
  <si>
    <t>Automates overlaying a watermark or logo image onto a background image using n8n nodes like HTTP Request, Edit Image, and Code. Downloads images, extracts metadata, calculates center position, and composites them. Useful for branding and watermarking.</t>
  </si>
  <si>
    <t>Fastmail Masked Email Generator</t>
  </si>
  <si>
    <t>An n8n workflow that creates disposable masked email addresses via Fastmail's JMAP API. Triggered by a webhook, it authenticates using HTTP header credentials, processes input state and description, generates a masked email, and responds with the details. Ideal for privacy and testing integrations.</t>
  </si>
  <si>
    <t>Xero Webhook Verification &amp; FileMaker Sync</t>
  </si>
  <si>
    <t>Automatically verifies Xero webhook payloads using HMAC SHA256 and syncs data to FileMaker. Utilizes n8n's webhook, crypto, and FileMaker nodes to securely validate and store webhook events with custom script execution.</t>
  </si>
  <si>
    <t>Access Token Management with Static Data</t>
  </si>
  <si>
    <t>An n8n workflow to manage expiring API access tokens using static data storage. Uses Webhook and Schedule Trigger nodes, HTTP Request to fetch new tokens, JavaScript code nodes to store tokens and timestamps globally, and conditional logic to validate token expiry before reuse.</t>
  </si>
  <si>
    <t>Book Info Scraper to Google Sheets</t>
  </si>
  <si>
    <t>This n8n workflow scrapes book data from a website using HTTP request with Jina AI, extracts details via OpenAI-powered Langchain, and saves structured info (title, price, availability, image, link) into Google Sheets. Tech stack: n8n, Jina AI, OpenAI, Google Sheets API.</t>
  </si>
  <si>
    <t>Daily Calvin &amp; Hobbes Comic with AI Translation</t>
  </si>
  <si>
    <t>Automates daily retrieval of Calvin &amp; Hobbes comics using HTTP requests to GoComics, extracts comic images with LangChain, translates dialogues to Korean &amp; English via OpenAI GPT-4o-mini, and posts results on Discord via webhook. Uses n8n scheduler for daily automation.</t>
  </si>
  <si>
    <t>BlueSky Auto Post from RSS Feed</t>
  </si>
  <si>
    <t>Automates posting new RSS feed items to BlueSky social. Uses BlueSky API (session creation, image upload, post creation) and n8n workflow nodes to download images, upload blobs, and create posts with text, images, and metadata. Ideal for content syndication.</t>
  </si>
  <si>
    <t>ConvertKit Subscriber &amp; Tag Automation</t>
  </si>
  <si>
    <t>Automates adding subscribers to ConvertKit forms, creating tags, and associating subscribers with tags using ConvertKit API in n8n. Enables streamlined email marketing list management by linking subscribers and tags automatically.</t>
  </si>
  <si>
    <t>n8n Cleanup Old Workflow Executions</t>
  </si>
  <si>
    <t>This n8n workflow uses n8n API and scheduling to automatically list and delete workflow executions older than 10 days. It includes manual and scheduled triggers, conditional date checking, and execution deletion to keep the n8n instance clean and performant.</t>
  </si>
  <si>
    <t>Line to LEGO Style Image via DALL·E</t>
  </si>
  <si>
    <t>Transforms images sent via LINE messaging app into LEGO-style isometric images using a LINE webhook, LINE Messaging API, and OpenAI's DALL·E and GPT models for prompt creation and image generation.</t>
  </si>
  <si>
    <t>Sentry Release Management Workflow</t>
  </si>
  <si>
    <t>An n8n workflow that automates creating a new release and retrieving all releases in Sentry.io using its API. Triggered manually, it integrates with the Sentry API to manage software release versions and track project releases efficiently.</t>
  </si>
  <si>
    <t>Telegram Welcome and Farewell Bot - Spanish</t>
  </si>
  <si>
    <t>An n8n workflow automating greetings and farewells in a Spanish Telegram group using Telegram API. It detects new or leaving members and sends personalized welcome or goodbye messages in Spanish to the group @comunidadn8n.</t>
  </si>
  <si>
    <t>Perplexity AI Q&amp;A with n8n</t>
  </si>
  <si>
    <t>Automates sending system and user prompts to Perplexity AI's Sonar model via HTTP API in n8n, processing answers and citations. Uses n8n workflows with HTTP Request node and Generic Header Authentication to query AI-driven chat completions for knowledge comparison.</t>
  </si>
  <si>
    <t>Keyword IT Service Identifier</t>
  </si>
  <si>
    <t>An n8n workflow that reads keywords from a Google Sheet, uses OpenAI GPT-4 via Langchain to identify if keywords include known IT software or services, then updates the sheet with 'yes' or 'no' results. It features batch processing and rate-limiting wait nodes for API stability.</t>
  </si>
  <si>
    <t>Daily Telegram Text Affirmations</t>
  </si>
  <si>
    <t>Automates sending daily positive affirmations at 9 AM via Telegram using n8n with a Cron trigger, affirmations.dev API for content, and Telegram API for delivery to user Daniel.</t>
  </si>
  <si>
    <t>RSS to Mastodon Auto Poster</t>
  </si>
  <si>
    <t>Automates posting new RSS feed items to a Mastodon instance using n8n. Utilizes RSS Feed Read, Cron scheduling, Function node for deduplication, and HTTP Request node to post updates via Mastodon API every 10 minutes.</t>
  </si>
  <si>
    <t>SIGNL4 Alert Automation</t>
  </si>
  <si>
    <t>This n8n workflow triggers hourly to read alert data from a JSON file, sends or resolves alerts via the SIGNL4 API, and updates the stored alert status. It uses n8n nodes like Cron, file read/write, JSON-binary conversion, and SIGNL4 integration to automate alert management.</t>
  </si>
  <si>
    <t>Syncro Tickets to Clockify Timer</t>
  </si>
  <si>
    <t>Automates time tracking by creating Clockify entries from Syncro ticket data via a webhook. Uses n8n workflow with Syncro webhook POST input and Clockify API to log work sessions efficiently.</t>
  </si>
  <si>
    <t>Auto Insert Text into YouTube Descriptions</t>
  </si>
  <si>
    <t>This n8n workflow uses YouTube API to fetch videos, insert custom text between specified lines in video descriptions, and update them automatically. Ideal for YouTubers managing multiple videos. Tech stack: n8n, YouTube API, JavaScript for description editing.</t>
  </si>
  <si>
    <t>Telegram Nocode Tool Info Bot</t>
  </si>
  <si>
    <t>An n8n workflow creating a Telegram bot that retrieves no-code tool info from a Strapi API and sends translated descriptions and images. Utilizes Telegram API, Strapi REST API, and local translation CLI, enabling multilingual responses for no-code enthusiasts.</t>
  </si>
  <si>
    <t>MailerLite Subscriber to Airtable Logger</t>
  </si>
  <si>
    <t>Automates capturing new MailerLite subscriber additions to a group and stores their name and email in Airtable. Uses MailerLite webhook trigger and Airtable API via n8n to keep subscriber data synced in real-time for easy CRM or marketing use.</t>
  </si>
  <si>
    <t>n8n Invite Users from Google Sheets</t>
  </si>
  <si>
    <t>Automates inviting users to an n8n instance by syncing email addresses from a Google Sheet with existing n8n users. Uses Google Sheets API, n8n API, and supports pagination and scheduled or manual triggers for updates.</t>
  </si>
  <si>
    <t>PDF Downloader and Merger Workflow</t>
  </si>
  <si>
    <t>n8n workflow automates downloading multiple PDF files from URLs, merges them into a single PDF using a custom PDF Toolkit node, and writes the merged file to disk. Uses HTTP Request, Split Out, and file system nodes with custom-js PDF merge API.</t>
  </si>
  <si>
    <t>Customer.io: Create Customer &amp; Add to Segment</t>
  </si>
  <si>
    <t>An n8n workflow using Customer.io API to create a new customer with custom properties and add them to a specific segment. Utilizes manual trigger and Customer.io nodes for customer management and segmentation automation.</t>
  </si>
  <si>
    <t>Sensor Alert System with PostgreSQL and Twilio</t>
  </si>
  <si>
    <t>Automates monitoring of sensor data in PostgreSQL, sending SMS alerts via Twilio for readings above a threshold. Uses n8n Cron to schedule, queries the DB, sends notifications, and updates alert status to avoid duplicates.</t>
  </si>
  <si>
    <t>Gumroad Sale Notification Trigger</t>
  </si>
  <si>
    <t>This n8n workflow listens to Gumroad sales using the Gumroad API webhook trigger to notify users in real-time when a sale is made. It enables automated updates for sales events, ideal for creators and sellers using Gumroad.</t>
  </si>
  <si>
    <t>PagerDuty Incident Acknowledge Notifier</t>
  </si>
  <si>
    <t>An n8n workflow that listens for POST webhook calls, acknowledges PagerDuty incidents via their API, and posts confirmation messages to Mattermost channels. Utilizes PagerDuty and Mattermost APIs for incident management and team notifications.</t>
  </si>
  <si>
    <t>HTML to Compressed PDF Workflow</t>
  </si>
  <si>
    <t>n8n workflow automates converting HTML content to PDF and compresses PDFs. Utilizes CustomJS PDF Toolkit nodes for HTML-to-PDF conversion and PDF compression, plus manual trigger and code nodes. Useful for content generation, document processing automation.</t>
  </si>
  <si>
    <t>HTML to PDF and PDF to PNG Converter</t>
  </si>
  <si>
    <t>An n8n workflow using CustomJS PDF Toolkit to convert HTML content to PDF and transform PDFs (from generated output or URL) into PNG images. It automates document format conversions with HTML input, manual trigger, and URL-based PDF input.</t>
  </si>
  <si>
    <t>Email Open Tracking Transparent Pixel</t>
  </si>
  <si>
    <t>This n8n workflow creates and serves a 1x1 transparent PNG tracking pixel via webhook to detect email opens. It uses n8n nodes to decode base64 image data, convert to binary, and respond with the image. Includes logging placeholder and supports capturing userId via query parameter.</t>
  </si>
  <si>
    <t>n8n Auto-Start Workflows by Tag</t>
  </si>
  <si>
    <t>Automates activation of n8n workflows tagged with 'Auto start' via n8n API integration. Runs post-start to ensure tagged workflows are activated automatically, ideal for auto deployment pipelines and containerized n8n setups.</t>
  </si>
  <si>
    <t>Export PostgreSQL Table Data to CSV</t>
  </si>
  <si>
    <t>An n8n workflow using PostgreSQL and Spreadsheet nodes to export data from a specified database table (e.g., booksRead) into a CSV file format with manual trigger execution.</t>
  </si>
  <si>
    <t>Daily Poem Telegram Bot</t>
  </si>
  <si>
    <t>Automates daily delivery of a random poem via Telegram using Poemist API for poem retrieval and LingvaNex for translation to English. Triggered by Cron at 10 AM, it sends translated poems to a specified Telegram chat. Useful for daily literary inspiration.</t>
  </si>
  <si>
    <t>Orlen Invoice Auto Archiver</t>
  </si>
  <si>
    <t>Automates extraction of Orlen invoice emails, saves attachments to date-organized Google Drive folders, marks emails as read, and sends Slack notifications. Uses Gmail API, Google Drive API, Slack API, and cron scheduling in n8n.</t>
  </si>
  <si>
    <t>Webflow Form Submission Trigger</t>
  </si>
  <si>
    <t>Automates receiving updates from Webflow form submissions using Webflow Trigger node with OAuth2 authentication in n8n workflow. Ideal for alerting or processing form data instantly from your Webflow site.</t>
  </si>
  <si>
    <t>DigitalOcean Droplet Creation via API</t>
  </si>
  <si>
    <t>An n8n workflow that automates creating a DigitalOcean droplet using HTTP Request node. It sends a POST request to DigitalOcean API with droplet details (name, region, size, image) and requires a personal access token for authorization.</t>
  </si>
  <si>
    <t>Wit.ai Speech-to-Text from WAV File</t>
  </si>
  <si>
    <t>An n8n workflow that reads a WAV audio file and sends it to the Wit.ai speech recognition API for transcription. Utilizes the Read Binary File node and HTTP Request node with audio/wav content type to convert speech to text.</t>
  </si>
  <si>
    <t>Weekly Cocktail Recipe Poster</t>
  </si>
  <si>
    <t>Automates fetching random cocktail recipes from TheCocktailDB API, generates a custom image with Bannerbear API, and posts it weekly to Rocket.Chat. Uses n8n workflow automation with HTTP Request, Bannerbear, Cron, and Rocket.Chat nodes.</t>
  </si>
  <si>
    <t>GitHub Notifications to Discord Alert</t>
  </si>
  <si>
    <t>This n8n workflow fetches GitHub notifications every minute using GitHub API with Basic Auth, processes them to create a summary report, then sends the report as a tagged message to a Discord channel. Utilizes Cron, HTTP Request, Function, IF, and Discord nodes.</t>
  </si>
  <si>
    <t>Asana Event Update Notifier</t>
  </si>
  <si>
    <t>Workflow that triggers notifications on updates within Asana's Engineering workspace using n8n's Asana Trigger node. Ideal for automating task/event updates by leveraging the Asana API to monitor changes in real-time.</t>
  </si>
  <si>
    <t>Email Bounce &amp; Open Event Receiver</t>
  </si>
  <si>
    <t>An n8n workflow using Postmark API webhook to receive real-time notifications for email bounce and open events, enabling users to track email engagement and delivery status automatically.</t>
  </si>
  <si>
    <t>Wallabag Auto-Starred RSS Importer</t>
  </si>
  <si>
    <t>Automates fetching starred articles from Tiny Tiny RSS and posts them to Wallabag. Uses TTRSS API for authentication &amp; retrieving articles, Wallabag API for OAuth2 token and posting. Enables scheduled article archival every 10 minutes.</t>
  </si>
  <si>
    <t>GitHub Stars Slack Notifier</t>
  </si>
  <si>
    <t>Automates Slack notifications for GitHub star events on n8n's repository, using GitHub Trigger and Slack API nodes. It alerts the #general Slack channel when someone stars or unstars the repo, showing user info and star count.</t>
  </si>
  <si>
    <t>Mailchimp Subscribe Event Listener</t>
  </si>
  <si>
    <t>An n8n workflow that triggers on Mailchimp subscribe events using Mailchimp API credentials. It listens to new subscribers from multiple sources (API, admin, user) for a specific list ID, enabling automated responses or actions on subscriber signup events.</t>
  </si>
  <si>
    <t>Email Verification with Hunter API</t>
  </si>
  <si>
    <t>Automates email verification using Hunter API in an n8n workflow. Triggered manually, it validates the format and existence of an email address to reduce bounce rate and improve outreach accuracy.</t>
  </si>
  <si>
    <t>MQTT Message Receiver</t>
  </si>
  <si>
    <t>An n8n workflow using MQTT Trigger node to receive messages from an MQTT queue. It listens to MQTT broker messages and can be extended for IoT, messaging, or automation projects requiring MQTT integration.</t>
  </si>
  <si>
    <t>Hacker News Feed Fetcher</t>
  </si>
  <si>
    <t>An n8n workflow that fetches the latest stories from Hacker News using the native Hacker News node triggered manually. It provides a simple way to retrieve news data for automation or integration purposes.</t>
  </si>
  <si>
    <t>GitHub Repository Event Trigger</t>
  </si>
  <si>
    <t>An n8n workflow that listens to all event types on the n8n-io/n8n-docs GitHub repository using GitHub API via webhook trigger. Ideal for automating actions based on repo activity.</t>
  </si>
  <si>
    <t>Invoice Ninja Data Fetcher</t>
  </si>
  <si>
    <t>Automates fetching all invoices from Invoice Ninja using its API triggered manually in n8n workflow. Useful for financial data retrieval and integration with other systems.</t>
  </si>
  <si>
    <t>Eventbrite Order Event Listener</t>
  </si>
  <si>
    <t>An n8n workflow to listen for Eventbrite order events (placed, updated, refunded) using Eventbrite API via webhook trigger. Ideal for automating responses to ticket sales and order changes in an Eventbrite organization.</t>
  </si>
  <si>
    <t>Shopify New Order Trigger</t>
  </si>
  <si>
    <t>An n8n workflow that uses Shopify API to trigger on new orders creation in a Shopify store. It leverages Shopify webhook to automate workflows based on new order events, useful for order processing and notifications.</t>
  </si>
  <si>
    <t>Shopify Products Fetcher</t>
  </si>
  <si>
    <t>An n8n workflow that triggers manually to fetch all products from a Shopify store using Shopify API credentials. It helps automate retrieval of product data for e-commerce operations.</t>
  </si>
  <si>
    <t>Typeform to Airtable Submission Logger</t>
  </si>
  <si>
    <t>Automates capturing form responses from Typeform via webhook and appends them to an Airtable base for organized storage. Utilizes Typeform API trigger and Airtable API node in n8n. Ideal for streamlined data collection and management workflows.</t>
  </si>
  <si>
    <t>Zoho CRM Data Fetch Trigger</t>
  </si>
  <si>
    <t>An n8n workflow that triggers manually to fetch all records from Zoho CRM using Zoho OAuth2 API. Useful for integrating and automating CRM data retrieval.</t>
  </si>
  <si>
    <t>Daily Cocktail Recipe via Telegram Bot</t>
  </si>
  <si>
    <t>Automates sending a daily random cocktail recipe with image and instructions to a Telegram chat using TheCocktailDB API, n8n HTTP Request node, and Telegram Bot integration triggered every day at 8 PM via Cron node.</t>
  </si>
  <si>
    <t>Facebook Page Comments Extractor</t>
  </si>
  <si>
    <t>An n8n workflow that uses the Facebook Graph API to fetch latest posts and their comments from a specified Facebook Page. It processes, filters, and organizes Facebook post and comment data, leveraging nodes like Set, Split Out, Filter, Merge, and Code to structure the output.</t>
  </si>
  <si>
    <t>GitHub Release Notifier to Slack</t>
  </si>
  <si>
    <t>Automates notifications of new GitHub releases from Mesdocteurs/mda-admin-partner-api repository by triggering on release events and sending detailed messages to Slack channel 'extranet-md' using GitHub API and Slack API integration in n8n.</t>
  </si>
  <si>
    <t>Clockify Ticket Status Sync</t>
  </si>
  <si>
    <t>An n8n workflow that syncs ticket statuses with Clockify projects via webhook triggers. It uses the Clockify API to archive or unarchive projects based on ticket status updates, automating time tracking project management for support tickets.</t>
  </si>
  <si>
    <t>WordPress Post Create and Update Workflow</t>
  </si>
  <si>
    <t>Automates creating and updating WordPress posts using the WordPress API nodes in n8n. Triggered manually, it first creates a post with a title, then updates its content. Useful for content management automation with WordPress and n8n.</t>
  </si>
  <si>
    <t>NextCloud Image Download &amp; Upload</t>
  </si>
  <si>
    <t>Automates downloading an image from a URL and uploading it to NextCloud folders using n8n workflow. Utilizes HTTP Request and NextCloud API nodes to manage files seamlessly.</t>
  </si>
  <si>
    <t>Contentful Data Fetcher</t>
  </si>
  <si>
    <t>An n8n workflow that fetches all entries from Contentful CMS using its API, triggered manually. Useful for automating content retrieval from Contentful for various applications without coding.</t>
  </si>
  <si>
    <t>Fetch Completed Orders from Unleashed Software</t>
  </si>
  <si>
    <t>n8n workflow to manually trigger and fetch all completed orders from Unleashed Software API using the Unleashed Software node. Ideal for inventory or order management automation setups.</t>
  </si>
  <si>
    <t>Download and Upload File via FTP</t>
  </si>
  <si>
    <t>Automates downloading a file via HTTP request and uploads it to an FTP server, then lists files on the FTP. Uses n8n's HTTP Request and FTP nodes. Enables simple file transfer automation between web and FTP storage.</t>
  </si>
  <si>
    <t>Salesforce Lead Creation and Update Workflow</t>
  </si>
  <si>
    <t>Automates lead creation in Salesforce, updates lead details (city), and adds a note marking 'Deal Won!'. Uses n8n with Salesforce OAuth2 API integration to streamline CRM lead management tasks.</t>
  </si>
  <si>
    <t>Microsoft Teams Channel Setup &amp; Messaging</t>
  </si>
  <si>
    <t>n8n workflow automates creating and updating a Microsoft Teams channel and sending a message using Microsoft Teams OAuth2 API. Triggered manually, it integrates Microsoft Teams operations to manage team channels and post messages efficiently.</t>
  </si>
  <si>
    <t>LinkedIn Image Post Automation</t>
  </si>
  <si>
    <t>An n8n workflow that automates posting an image with text on LinkedIn. It downloads an image via HTTP request from a URL and then publishes it as a post on a LinkedIn profile using LinkedIn API and OAuth2 authentication.</t>
  </si>
  <si>
    <t>Weather Alert SMS Notification</t>
  </si>
  <si>
    <t>Automates sending SMS alerts via Twilio based on current Berlin weather from OpenWeatherMap. Uses n8n with Cron trigger, weather API, conditional logic, and Twilio messaging to notify if 'feels_like' temperature is under 18°C.</t>
  </si>
  <si>
    <t>Taiga Project Event Update Trigger</t>
  </si>
  <si>
    <t>An n8n workflow that triggers notifications upon events in a specific Taiga project using the TaigaCloud API. Ideal for automating project update alerts and integrations within team workflows.</t>
  </si>
  <si>
    <t>Session Feedback Reminder via Mattermost</t>
  </si>
  <si>
    <t>Automates scheduled feedback requests by fetching session details from Google Sheets and posting a customized message with a feedback link to a Mattermost channel using n8n automation.</t>
  </si>
  <si>
    <t>Clockify Project, Tag &amp; Time Entry Automation</t>
  </si>
  <si>
    <t>Automates workflow in Clockify by creating a project, adding a tag, creating a time entry with details, and updating it with the project ID. Utilizes Clockify API through n8n nodes for seamless time tracking and project management automation.</t>
  </si>
  <si>
    <t>Bulk Telegram Message Sender from Google Sheets</t>
  </si>
  <si>
    <t>Automates sending messages via Telegram bot to multiple chat IDs listed in a Google Sheets column. Utilizes Google Sheets API for data retrieval, Telegram API for messaging, batching with SplitInBatches, and timed delays to avoid flooding. Ideal for broadcast messaging.</t>
  </si>
  <si>
    <t>BTC Price Alert via SMS</t>
  </si>
  <si>
    <t>Automates BTC price monitoring in EUR using CoinGecko API every minute; sends an SMS alert via Twilio if the price is &gt;= 9000 EUR. Uses cron scheduling, conditional logic (IF node), and Twilio API for messaging.</t>
  </si>
  <si>
    <t>Web Page Scraper with FireCrawl API</t>
  </si>
  <si>
    <t>An n8n workflow that takes a URL input and uses the FireCrawl API to scrape the webpage content in markdown format. It automates fetching web page data via HTTP requests and processes it for reuse in AI agents or other applications.</t>
  </si>
  <si>
    <t>Sitemap Reader and URL Filter</t>
  </si>
  <si>
    <t>An n8n workflow that fetches a sitemap.xml via HTTP, converts its XML to JSON, splits URLs, and filters them by criteria (e.g., PDFs). Main tools used: HTTP Request, XML node, Split Out, and Filter nodes. Useful for automated URL extraction and filtering.</t>
  </si>
  <si>
    <t>YouTube Playlist to Raindrop Bookmarks</t>
  </si>
  <si>
    <t>Automates saving new videos from a specified YouTube playlist to Raindrop.io as bookmarks every 30 mins. Uses YouTube API with OAuth2, filters new videos via workflow static data, and creates bookmarks with tags and titles in Raindrop via its OAuth2 API.</t>
  </si>
  <si>
    <t>Disk Usage Alert via Twilio SMS</t>
  </si>
  <si>
    <t>This n8n workflow monitors hard disk usage on the host machine twice daily using a shell command, and sends an SMS alert via Twilio if usage exceeds 80%. It automates system resource monitoring and alerting with Cron, Execute Command, IF, and Twilio nodes.</t>
  </si>
  <si>
    <t>WooCommerce Refund Alerts to Slack</t>
  </si>
  <si>
    <t>Automates notifications for WooCommerce store refund events over $100 by sending detailed alerts to a Slack channel. Utilizes WooCommerce API as the trigger and Slack API to deliver refund info, streamlining refund monitoring for e-commerce teams.</t>
  </si>
  <si>
    <t>Zoom Meeting Creation Workflow</t>
  </si>
  <si>
    <t>An n8n workflow that automates creating a Zoom meeting using the Zoom API. Triggered manually, it leverages the Zoom node with OAuth2 authentication to set up meetings instantly within automation pipelines.</t>
  </si>
  <si>
    <t>Mautic Contact Email Validation Alert</t>
  </si>
  <si>
    <t>Automates validation of new Mautic contacts' emails using One Simple API. Triggers on new contact creation, verifies email quality and domain, and sends alerts to Slack for suspicious addresses. Integrates Mautic, One Simple API, and Slack for lead quality control.</t>
  </si>
  <si>
    <t>Create Jira Issue on Manual Trigger</t>
  </si>
  <si>
    <t>An n8n workflow that creates a new issue in Jira Software Cloud when manually triggered. It uses the n8n Jira node connected to Jira Software Cloud API, enabling quick issue creation with specified project, summary, and issue type.</t>
  </si>
  <si>
    <t>ISS Real-Time Position Tracker</t>
  </si>
  <si>
    <t>An n8n workflow that fetches the current International Space Station (ISS) position using the whereistheiss.at API every minute, filters out duplicate timestamps, and outputs new coordinates with timestamps for monitoring ISS position changes in real time.</t>
  </si>
  <si>
    <t>New RSS Feed Fetcher with Images</t>
  </si>
  <si>
    <t>Automates fetching of only new articles from The Verge RSS every 5 minutes, extracts titles, authors, publication dates, content snippets, and images using n8n nodes like Cron, RSS Feed Read, HTML Extract, and Function to filter duplicates.</t>
  </si>
  <si>
    <t>Workflow Error Notification via Mailgun</t>
  </si>
  <si>
    <t>An n8n workflow that captures runtime errors using an Error Trigger and sends detailed error reports via Mailgun email API, including error message and stack trace, to specified recipients for quick debugging.</t>
  </si>
  <si>
    <t>ISS Position Logger to TimescaleDB</t>
  </si>
  <si>
    <t>Automates fetching the International Space Station's live latitude, longitude, and timestamp every minute using the 'wheretheiss.at' API, then stores the data into a TimescaleDB database for time-series analysis.</t>
  </si>
  <si>
    <t>Reddit Post and Comment Automation</t>
  </si>
  <si>
    <t>Automates creating a Reddit post, fetching it, and adding a comment using n8n's Reddit node with OAuth2 credentials. Ideal for Reddit content automation workflows using n8n's automation platform and Reddit API.</t>
  </si>
  <si>
    <t>Tapfiliate Affiliate Management Workflow</t>
  </si>
  <si>
    <t>Automates affiliate creation and tagging in Tapfiliate using n8n. Includes manual trigger, affiliate creation, metadata tagging, and program assignment via Tapfiliate API integration, streamlining affiliate program management.</t>
  </si>
  <si>
    <t>Typeform to Demio Webinar Registration</t>
  </si>
  <si>
    <t>Automates webinar sign-ups by triggering on Typeform submissions and registering users to Demio events using their APIs. Streamlines lead capture from surveys or signup forms directly into webinar platform.</t>
  </si>
  <si>
    <t>Raindrop Bookmark CRUD Workflow</t>
  </si>
  <si>
    <t>An n8n workflow automating bookmark create, update, and retrieve operations using Raindrop API with OAuth2 authentication. It manages bookmark collections and individual bookmarks like creating a collection, adding docs link, updating title, and fetching bookmark details.</t>
  </si>
  <si>
    <t>Strava Activity Auto-Tweet</t>
  </si>
  <si>
    <t>Automates tweeting new Strava activities using Strava API trigger and Twitter API. When a new activity is created on Strava, it tweets the activity name and distance automatically using OAuth2 and OAuth1 authentication.</t>
  </si>
  <si>
    <t>GoToWebinar Webinar Automation Workflow</t>
  </si>
  <si>
    <t>An n8n workflow automating webinar management in GoToWebinar API: creates a webinar, updates its description, and fetches webinar details using OAuth2 credentials. Ideal for automating webinar setups and updates seamlessly.</t>
  </si>
  <si>
    <t>Weather Alert Notification via SIGNL4</t>
  </si>
  <si>
    <t>Automates weather monitoring for Berlin using OpenWeatherMap API, triggers a SIGNL4 alert if the temperature drops below 25°C. Utilizes n8n's schedule and conditional nodes for timely notifications.</t>
  </si>
  <si>
    <t>Webhook to PostHog Event Tracker</t>
  </si>
  <si>
    <t>An n8n workflow that receives events via a webhook and sends them to PostHog analytics using the PostHog API. Useful for real-time event tracking with no-code automation.</t>
  </si>
  <si>
    <t>Airtable to Lemlist Lead Sync</t>
  </si>
  <si>
    <t>Automates lead syncing by fetching contacts from Airtable and adding them to a Lemlist email campaign. Utilizes Airtable API for data retrieval and Lemlist API to manage leads and campaigns, streamlining outreach and lead management workflows.</t>
  </si>
  <si>
    <t>Lemlist to Mattermost Reply Notifier</t>
  </si>
  <si>
    <t>Automates notifications in Mattermost when a recipient replies to a Lemlist email campaign. Utilizes Lemlist API webhook triggers and Mattermost API to post personalized reply messages to a specified channel, streamlining sales and outreach follow-up.</t>
  </si>
  <si>
    <t>Asana Task Creation via Webhook</t>
  </si>
  <si>
    <t>An n8n workflow that creates Asana tasks triggered by HTTP requests via webhook using Asana's OAuth2 API. It automates task creation and returns a confirmation URL. Useful for integrating external systems with Asana task management.</t>
  </si>
  <si>
    <t>Create Task in Asana</t>
  </si>
  <si>
    <t>Automates creation of tasks in Asana using n8n workflow with manual trigger and Asana API integration. Ideal for streamlined task management within teams.</t>
  </si>
  <si>
    <t>Autopilot to Airtable Contact Sync</t>
  </si>
  <si>
    <t>An n8n workflow that triggers on new Autopilot contacts, extracts their first name, last name, and email, and appends them to an Airtable base. Utilizes Autopilot API for contact events and Airtable API to store contact data for easy CRM management.</t>
  </si>
  <si>
    <t>Random Cocktail Recipe Translator</t>
  </si>
  <si>
    <t>n8n workflow fetches a random cocktail recipe via TheCocktailDB API and translates the instructions to French using the DeepL API, automating cocktail content localization.</t>
  </si>
  <si>
    <t>Microsoft SQL Query Executor</t>
  </si>
  <si>
    <t>n8n workflow to manually trigger and execute SQL queries on Microsoft SQL Server using n8n's built-in Microsoft SQL node. Enables easy database querying via automated workflows with manual control, ideal for database admins and developers.</t>
  </si>
  <si>
    <t>3D Figurine Views Generator with AI APIs</t>
  </si>
  <si>
    <t>Automates creation of 3D figurine orthographic views using Midjourney for initial 3D-style image generation and GPT-4o-Image API to produce front, side, and back views on a turnaround sheet. Built with n8n workflow automation handling HTTP requests and image URL parsing.</t>
  </si>
  <si>
    <t>Matrix Virtual Coffee Group Organizer</t>
  </si>
  <si>
    <t>Automates weekly virtual coffee meetups by grouping Matrix chat room members into randomized small groups. Utilizes Matrix API, cron scheduling, and custom JavaScript to fetch members, shuffle, and announce groups in the room every Monday at 10 AM.</t>
  </si>
  <si>
    <t>Paul Graham Essays Milvus AI Agent</t>
  </si>
  <si>
    <t>n8n workflow scrapes Paul Graham essays, extracts and processes text, loads to Milvus vector database, and enables AI chat with OpenAI GPT-4o mini model. Tech stack: HTTP requests, HTML parsing, LangChain tools, Milvus vector store, and OpenAI embeddings and chat APIs.</t>
  </si>
  <si>
    <t>Line Messaging API Auto Reply &amp; Push</t>
  </si>
  <si>
    <t>n8n workflow leveraging Line Messaging API to automatically reply to incoming Line messages using reply tokens and send push messages with user-specific Line UID. Integrates webhook listener, conditional checks, and HTTP requests for interactive chat automation.</t>
  </si>
  <si>
    <t>Telegram Image Description with GROQ LLAVA</t>
  </si>
  <si>
    <t>Automates image description by sending photos received via Telegram to the GROQ LLAVA V1.5-7B API for detailed analysis and returns text descriptions back to Telegram users. Uses Telegram Bot API, base64 image encoding, and GROQ AI vision API.</t>
  </si>
  <si>
    <t>Book Data Scraper to Google Sheets</t>
  </si>
  <si>
    <t>An n8n workflow that scrapes book details from a website using HTTP request to Jina.ai endpoint, extracts structured info with OpenAI-powered Langchain nodes, and appends data (title, price, availability, image, link) into Google Sheets. Automates product price tracking.</t>
  </si>
  <si>
    <t>LangChain Workflow Retriever with OpenAI QA</t>
  </si>
  <si>
    <t>An n8n workflow integrating LangChain and OpenAI API to retrieve and query data from another n8n workflow by ID. It uses LangChain's Workflow Retriever and Retrieval QA Chain with an OpenAI Chat model to answer questions based on workflow data.</t>
  </si>
  <si>
    <t>Typeform Feedback Sentiment Alert</t>
  </si>
  <si>
    <t>Automates sentiment analysis on Typeform event feedback using AWS Comprehend and sends negative feedback alerts to Mattermost. Integrates Typeform API, AWS Comprehend for sentiment detection, and Mattermost API for messaging.</t>
  </si>
  <si>
    <t>Automated Website Change Spy &amp; Email Alerts</t>
  </si>
  <si>
    <t>An n8n workflow that automates detecting changes on specified websites using Firecrawl scraping API, compares content over a day, uses OpenAI GPT-4 models to analyze differences, and conditionally sends detailed Gmail alerts. Integrates OpenAI, Firecrawl, and Gmail for spy-like website monitoring.</t>
  </si>
  <si>
    <t>TikTok Video Downloader &amp; Google Drive Uploader</t>
  </si>
  <si>
    <t>Automate downloading TikTok videos without watermarks using HTTP requests and HTML parsing. The workflow scrapes the raw video URL and downloads the file, then optionally uploads it to Google Drive with public sharing. Integrates TikTok website, JavaScript code node, and Google Drive API.</t>
  </si>
  <si>
    <t>Telegram Meetup Scheduler AI Bot</t>
  </si>
  <si>
    <t>An n8n workflow integrating Telegram Bot API, Google Sheets, and OpenRouter AI to provide meetup scheduling assistance. It fetches schedule data from Google Sheets, converts it to markdown, and uses LangChain with OpenRouter for AI-powered chat responses on Telegram.</t>
  </si>
  <si>
    <t>GitHub Daily Top 13 Trending Repo Scraper</t>
  </si>
  <si>
    <t>An n8n workflow that scrapes GitHub's trending page to extract details of the top 13 repositories daily using HTTP Request and HTML Extract nodes. It parses repository info like author, title, URL, description, and language, enabling automation of GitHub trend data collection.</t>
  </si>
  <si>
    <t>n8n Workflow Auto On/Off Scheduler</t>
  </si>
  <si>
    <t>Automates activation and deactivation of an n8n workflow daily at 08:00 and 20:00 using n8n API node and cron-based schedule triggers. Ideal for controlling workflow operation hours in DevOps setups with custom API credentials.</t>
  </si>
  <si>
    <t>Chat with Local LLMs via n8n &amp; Ollama</t>
  </si>
  <si>
    <t>Interact with self-hosted Large Language Models (LLMs) using n8n workflow and Ollama API. This system captures user chat input, sends it to a local Ollama-powered LLM, and returns AI responses seamlessly within n8n, enabling private, customizable AI chats.</t>
  </si>
  <si>
    <t>Webpage to Markdown &amp; Link Extractor</t>
  </si>
  <si>
    <t>n8n workflow that uses Firecrawl.dev API to convert webpage HTML into markdown and extract all links. Supports batch processing with rate limiting and integrates with custom data sources for input/output. Ideal for content extraction and AI preprocessing.</t>
  </si>
  <si>
    <t>Docker WHMCS/WISECP API Backend</t>
  </si>
  <si>
    <t>An n8n workflow providing an API backend for managing Docker containers via WHMCS/WISECP integrations. Uses SSH to run bash scripts on Docker servers, managing container lifecycle, disk mounts, NGINX config, and user/password operations for containerized n8n instances.</t>
  </si>
  <si>
    <t>DigitalOcean File Upload via Form</t>
  </si>
  <si>
    <t>An n8n workflow that accepts file uploads through a web form and uploads them to a DigitalOcean Spaces bucket using the S3 API with public read access. It then returns the public URL of the uploaded file. Uses n8n form trigger, S3 node, and form completion steps.</t>
  </si>
  <si>
    <t>Uber Eats Email Expense Logger</t>
  </si>
  <si>
    <t>Automates extraction of Uber Eats order details from Gmail emails and sends formatted expense info to Slack with Moze app links, using Gmail and Slack APIs within n8n workflow for seamless delivery expense tracking.</t>
  </si>
  <si>
    <t>n8n workflow integrating Telegram API and Google Perspective API to detect and respond to toxic language in Telegram chats by automatically replying with a warning message when profanity is detected above a threshold.</t>
  </si>
  <si>
    <t>PDF Merge Automation with ConvertAPI</t>
  </si>
  <si>
    <t>This n8n workflow automates downloading two remote PDF files, merging them into one using ConvertAPI's PDF merge endpoint, and saving the result locally. It integrates HTTP Request nodes for file download and the ConvertAPI for file merging, requiring API key authentication.</t>
  </si>
  <si>
    <t>HTML Page Generator with OpenAI Structured Output</t>
  </si>
  <si>
    <t>An n8n workflow that uses OpenAI GPT-4o to generate structured JSON UI components styled with Tailwind CSS from user queries, converts JSON to formatted HTML, and serves dynamic web pages via webhook.</t>
  </si>
  <si>
    <t>Squarespace Code Injection Backup to GitHub</t>
  </si>
  <si>
    <t>Automates backing up Squarespace header and footer code injections to a GitHub repository using n8n workflow. Utilizes Squarespace HTTP API, GitHub API, and cheerio for HTML cleaning. Enables scheduled and manual backup to organized repo folders.</t>
  </si>
  <si>
    <t>SQL Dataset Comparison Workflow</t>
  </si>
  <si>
    <t>An n8n workflow to compare two SQL datasets using MySQL queries and the Compare Datasets node. It fetches aggregated payment data for customers from overlapping years and identifies differences based on customerNumber and year fields.</t>
  </si>
  <si>
    <t>Google OAuth2 Credentials Auto-Creator</t>
  </si>
  <si>
    <t>Automates creation of OAuth2 credentials for multiple Google services (Docs, Sheets, Slides, Drive, Gmail, Calendar, Contacts) in n8n using Google JSON client info and user email. Simplifies tedious manual setup with n8n API integration.</t>
  </si>
  <si>
    <t>Sign-in IPs Report &amp; Email Automation</t>
  </si>
  <si>
    <t>Automates retrieval of sign-in events via SaaS Alerts API, deduplicates IP data, converts to CSV, encodes base64, and emails the report using SMTP2Go. Includes an auth form for API key and email input for last 24h sign-in IP info delivery.</t>
  </si>
  <si>
    <t>Daily ProductHunt AI Launch Monitor</t>
  </si>
  <si>
    <t>This n8n workflow monitors daily ProductHunt launches related to specified products like AI Agents using Airtop API for web extraction, and sends the curated list via Slack. Automates product discovery using ProductHunt, Airtop API, and Slack integration.</t>
  </si>
  <si>
    <t>Airtable Query &amp; AI Response in Obsidian</t>
  </si>
  <si>
    <t>This n8n workflow links Airtable data with Obsidian notes using OpenAI GPT-4 through an AI Agent. It automates querying Airtable and sends AI-processed answers back into Obsidian via webhook, enhancing note-taking with dynamic database insights.</t>
  </si>
  <si>
    <t>GetBible Scripture Retrieval</t>
  </si>
  <si>
    <t>An n8n workflow that fetches Bible verses from the GetBible API v2 using JSON input with references, translation, and version. It processes scripture references, queries the API, and returns standardized scripture texts for dynamic integration in faith-based apps or projects.</t>
  </si>
  <si>
    <t>Text-to-Speech Voice Call Automation</t>
  </si>
  <si>
    <t>Automates text-to-speech phone calls using the ClickSend API triggered by form submissions. Users input text, recipient number, voice, and language. Built with n8n using HTTP Request and formTrigger nodes for easy voice message delivery and notifications.</t>
  </si>
  <si>
    <t>Personal Data Extractor with Self-Hosted LLM</t>
  </si>
  <si>
    <t>An n8n workflow that extracts structured personal data from chat messages using a self-hosted Mistral NeMo LLM via Ollama API. It includes auto-fixing output parser and JSON schema validation to ensure precise extraction of user info like name, contact, and communication details.</t>
  </si>
  <si>
    <t>Icypeas Email Verification (Single)</t>
  </si>
  <si>
    <t>n8n workflow to verify a single email using Icypeas API. It authenticates with API key, secret, and user ID using HMAC-SHA1 signature, then sends a POST request to Icypeas email verification endpoint. Useful for integrating email validation in automation.</t>
  </si>
  <si>
    <t>Amazon Keyword Suggestion &amp; Storage Workflow</t>
  </si>
  <si>
    <t>This n8n workflow automates fetching Amazon keyword suggestions via Amazon's Completion API, cleans and aggregates keywords, and stores them in Airtable. Utilizes n8n HTTP Request, Airtable integration, and JavaScript code node for keyword processing.</t>
  </si>
  <si>
    <t>PDF Text Extraction &amp; HTML to PDF</t>
  </si>
  <si>
    <t>An n8n workflow using CustomJS PDF Toolkit nodes to convert HTML to PDF and extract text from PDFs via URL or direct input. It automates PDF content extraction and generation steps with manual trigger initiation, suitable for document processing tasks.</t>
  </si>
  <si>
    <t>TechCrunch Latest Articles Scraper</t>
  </si>
  <si>
    <t>n8n workflow scraping the latest 20 articles from TechCrunch using HTTP Request and HTML parsing nodes. Extracts post metadata, detailed content, images, and timestamps for use in content aggregation or analysis.</t>
  </si>
  <si>
    <t>Monday.com Subitem &amp; Linked Items Fetcher</t>
  </si>
  <si>
    <t>An n8n workflow that integrates with Monday.com API to retrieve an item's details, its subitems, and linked pulses by parsing specific columns. Uses JavaScript code nodes, splitOut, and API calls to fetch and merge detailed relational data from Monday.com boards.</t>
  </si>
  <si>
    <t>PDF Merge Automation</t>
  </si>
  <si>
    <t>Automates downloading two PDF files via HTTP requests, merges them using a custom JS PDF toolkit in n8n, and writes the merged PDF to disk. Utilizes n8n's HTTP Request, custom JS node, and file system nodes for seamless PDF processing.</t>
  </si>
  <si>
    <t>Youtube Podcast Discord AI Bot</t>
  </si>
  <si>
    <t>An n8n workflow that creates a Discord AI assistant using Google Gemini chat and Langchain memory. It responds to user questions with context-aware answers about 'Presting Podcasts' YouTube videos, integrating webhook input and formatting replies for Discord.</t>
  </si>
  <si>
    <t>Namesilo Bulk Domain Availability Checker</t>
  </si>
  <si>
    <t>Automates checking domain name availability in bulk using Namesilo API. Supports batches up to 200 domains with rate-limit handling. Outputs results as Excel file. Built with n8n workflow using HTTP Request, JavaScript code, Wait, and Convert to Excel nodes.</t>
  </si>
  <si>
    <t>Forward Netflix Emails via Gmail and Mailjet</t>
  </si>
  <si>
    <t>Automates forwarding Netflix emails from a Gmail account to multiple recipients using Gmail API and Mailjet. Detects Netflix emails via Gmail trigger, splits recipient list, and sends personalized forwards via Mailjet SMTP API for seamless multi-recipient delivery.</t>
  </si>
  <si>
    <t>Automated Posting to X via Airtop &amp; n8n</t>
  </si>
  <si>
    <t>Automatically post text content on x.com using Airtop API and n8n workflow automation. It creates a browser session, opens X, types a post, and publishes it. Triggered via form submission or another workflow for seamless marketing updates.</t>
  </si>
  <si>
    <t>API Uptime Monitor with SMS Alert</t>
  </si>
  <si>
    <t>Automates API uptime checks using scheduled HTTP requests and Twilio SMS alerts when the API status code is not 200. Built with n8n automation, leveraging HTTP Request and Twilio nodes for timely service downtime notifications.</t>
  </si>
  <si>
    <t>AI Financial Chart Analyzer Backend</t>
  </si>
  <si>
    <t>An n8n workflow backend for a Chrome extension that uses OpenAI's GPT-4o-mini model to analyze stock or cryptocurrency chart images sent via webhook. It provides simple, novice-friendly technical market analysis with disclaimers. Tech stack: n8n, OpenAI API, webhook integration.</t>
  </si>
  <si>
    <t>Conditional Retry Workflow with Known Error Handling</t>
  </si>
  <si>
    <t>An n8n workflow for retrying failed API calls up to 3 times, except for specific known errors (e.g., 'could not be found'). Uses wait and counter logic with Manual Trigger, If and Set nodes to manage retries and error handling, ensuring robust error flow control.</t>
  </si>
  <si>
    <t>This n8n workflow automates querying Perplexity AI's chat completions API using HTTP requests, setting system and user prompts, and cleaning responses. It uses generic HTTP header authentication and enables retrieval of AI-driven answers filtered by search domains, ideal for dynamic Q&amp;A automation.</t>
  </si>
  <si>
    <t>Multi-file Zip Compressor</t>
  </si>
  <si>
    <t>An n8n workflow that compresses multiple input files (images, PDFs, CSV/XLSX) into a single ZIP archive. Uses n8n's Execute Workflow Trigger, JavaScript code node for binary handling, and Compression node to produce a dated zip file as output.</t>
  </si>
  <si>
    <t>n8n Keyword-Based Community Topic Tracker</t>
  </si>
  <si>
    <t>Automates tracking of new topics matching a keyword on the n8n community forum using n8n workflows. Integrates HTTP API requests to n8n community search, Google Sheets for data storage, and optional Slack and email notifications. Ideal for monitoring community discussions.</t>
  </si>
  <si>
    <t>Multi-Image Upload to Instagram &amp; TikTok</t>
  </si>
  <si>
    <t>Automates uploading multiple images to Instagram and TikTok using the Upload-Post API. It fetches images, renames binary data for upload, merges files, and sends multipart-form requests with API key authorization, simplifying cross-platform social media posts.</t>
  </si>
  <si>
    <t>Git Commit and Push Automation</t>
  </si>
  <si>
    <t>Automates adding files, committing with a message, and pushing changes to a Git repository using n8n's Git nodes, triggered manually to streamline version control operations.</t>
  </si>
  <si>
    <t>n8n Workflow Export to Google Drive</t>
  </si>
  <si>
    <t>An n8n workflow that retrieves all workflows from an n8n instance via HTTP API with Basic Auth, processes the data, and uploads each workflow as individual JSON files to Google Drive. Uses n8n core nodes including HTTP Request, Cron, Function, Merge, and Google Drive integration for automated daily export.</t>
  </si>
  <si>
    <t>Gmail Bulk Delete Automation</t>
  </si>
  <si>
    <t>An n8n workflow that connects to Gmail via OAuth2, retrieves all emails excluding chats and unsubscribe content, and deletes them in batches of 100. Automates inbox cleanup using Gmail API within n8n automation platform.</t>
  </si>
  <si>
    <t>Daily Weather Updates via Gotify</t>
  </si>
  <si>
    <t>Automates sending daily weather updates for Berlin at 9 AM using n8n. Utilizes OpenWeatherMap API to fetch current temperature and Gotify API to deliver messages. Ideal for users wanting automated, timely weather notifications.</t>
  </si>
  <si>
    <t>Strapi Entry CRUD Automation</t>
  </si>
  <si>
    <t>Automates creating, updating, and retrieving blog posts in Strapi CMS using n8n. Utilizes n8n's Strapi nodes with manual trigger, Set nodes for data, and sequential API operations to streamline content management workflows.</t>
  </si>
  <si>
    <t>Plex Qbittorrent Throttle Automator</t>
  </si>
  <si>
    <t>Automates bandwidth throttling of qBittorrent based on Plex media playback events using n8n workflow. Integrates Plex webhook triggers, qBittorrent API authentication, and speed limit toggling to optimize network usage during media consumption.</t>
  </si>
  <si>
    <t>Netlify Deploy Failure Alert to Slack</t>
  </si>
  <si>
    <t>An n8n workflow that triggers on Netlify deploy failures and sends detailed alerts to a Slack channel. Integrates Netlify webhook events with Slack API to notify teams about deployment errors instantly.</t>
  </si>
  <si>
    <t>Image Text Extraction and Logging Workflow</t>
  </si>
  <si>
    <t>Automates downloading an image, extracting embedded text using AWS Rekognition OCR, processing the text with custom logic, and appending results to Google Sheets. Uses AWS Rekognition API, HTTP Request node, and Google Sheets API with OAuth2 for easy text extraction and data logging.</t>
  </si>
  <si>
    <t>Random Cocktail Suggestion to Mattermost</t>
  </si>
  <si>
    <t>This n8n workflow triggers via a POST webhook, fetches a random cocktail recipe from TheCocktailDB API, and sends a formatted message with recipe details and image to a Mattermost channel. Integrates webhook, HTTP Request, and Mattermost API for cocktail recommendations.</t>
  </si>
  <si>
    <t>SWIFT Code Scraper &amp; MongoDB Importer</t>
  </si>
  <si>
    <t>An n8n workflow automating extraction of banking SWIFT codes by country from theswiftcodes.com. Uses HTTP Request &amp; HTML Extract nodes for scraping, uProc API for country normalization, and MongoDB for storing parsed data. Efficiently handles pagination and batch processing.</t>
  </si>
  <si>
    <t>Quick Base Record CRUD Automation</t>
  </si>
  <si>
    <t>Automates creating, updating, and retrieving records in Quick Base using n8n workflows. Utilizes Quick Base API and n8n built-in nodes like Set and Manual Trigger to manage database records efficiently.</t>
  </si>
  <si>
    <t>Multilingual Telegram Welcome Bot</t>
  </si>
  <si>
    <t>An n8n workflow integrating Telegram API and NocoDB to manage multilingual user interactions. It welcomes new users, provides help, and updates user language preferences, using Telegram Trigger, HTTP requests, and language dictionaries.</t>
  </si>
  <si>
    <t>Telegram Weather Bot with R Visualization</t>
  </si>
  <si>
    <t>An automated Telegram bot workflow built in n8n that fetches weather data from OpenWeatherMap API for major European cities, processes it into CSV, runs an R script to generate ggplot2 weather charts, and sends the image back to users on Telegram.</t>
  </si>
  <si>
    <t>Gmail JSON Email to CSV Exporter</t>
  </si>
  <si>
    <t>Automates extraction of the latest JSON email from Gmail using OAuth2, processes its binary data, and exports content into a CSV spreadsheet file using n8n's Gmail and spreadsheet nodes. Ideal for email-driven data workflows.</t>
  </si>
  <si>
    <t>Telegram to Facebook Ad Interest Exporter</t>
  </si>
  <si>
    <t>Automates extraction of Facebook ad interests from Telegram messages using Telegram API, Facebook Graph API v17.0, and n8n. Extracts hashtagged interests, queries Facebook, formats data into CSV, and sends back via Telegram.</t>
  </si>
  <si>
    <t>Send Gmail Email with Embedded Image</t>
  </si>
  <si>
    <t>An n8n workflow using Gmail API, HTTP Request, and base64 encoding to send an email with embedded images. Fetches an image from a URL, converts it to base64, composes MIME email with inline image, and sends via Gmail OAuth2.</t>
  </si>
  <si>
    <t>DigitalOcean Droplet Snapshot Manager</t>
  </si>
  <si>
    <t>An n8n workflow that automates DigitalOcean Droplet snapshot management using the DigitalOcean API. It runs every 48 hours, lists droplets, deletes oldest snapshots if over 4, and creates new snapshots to maintain up-to-date backups.</t>
  </si>
  <si>
    <t>Scheduled SharePoint List Fetcher</t>
  </si>
  <si>
    <t>An n8n workflow that periodically retrieves SharePoint list items using OAuth 2.0 client credentials flow. It integrates Microsoft Azure AD for token generation and SharePoint REST API for data fetching, automating secure SharePoint data access.</t>
  </si>
  <si>
    <t>Telegram Sticker Info Responder</t>
  </si>
  <si>
    <t>An n8n workflow automating Telegram bot interactions to detect and respond with sticker info. Uses Telegram Trigger node and conditional logic to reply with sticker details or a no-sticker message, enhancing Telegram bot user engagement easily.</t>
  </si>
  <si>
    <t>Auto Website Screenshot from Google Sheets</t>
  </si>
  <si>
    <t>This n8n workflow triggers on new rows added in a Google Sheets document containing URLs. It captures website screenshots using a custom PDF Toolkit node and stores the images in a specified Google Drive folder. Useful for automated visual content archiving.</t>
  </si>
  <si>
    <t>Postgres Sensor Data Ingestion</t>
  </si>
  <si>
    <t>Automates ingestion of simulated sensor data into a PostgreSQL database every minute using n8n. Utilizes Cron for scheduling, a Function node to generate random humidity sensor readings with timestamps, and PostgreSQL node to insert data. Ideal for IoT data pipelines.</t>
  </si>
  <si>
    <t>Zendesk Support Updates Listener</t>
  </si>
  <si>
    <t>Workflow listens for real-time support ticket updates via Zendesk API using n8n Zendesk Trigger node to automate support workflows and notifications. It captures events as they happen to streamline customer support processes.</t>
  </si>
  <si>
    <t>BetterStack Log Sender Workflow</t>
  </si>
  <si>
    <t>n8n workflow to send log messages from other workflows to BetterStack Logs via HTTP POST with header authentication. Supports manual testing and embedding. Utilizes n8n executeWorkflow nodes and HTTP Request node for log forwarding.</t>
  </si>
  <si>
    <t>Mautic CRM User Sync &amp; Tagging</t>
  </si>
  <si>
    <t>Automates user management in Mautic CRM via webhook-triggered workflow. Processes student data, finds or creates contacts, updates details, handles subscription tags, and manages marketing email opt-in status using Mautic OAuth2 API integration.</t>
  </si>
  <si>
    <t>Brave Search via Telegram Bot</t>
  </si>
  <si>
    <t>This n8n workflow integrates Brave Search API with Telegram using MCP community nodes. Users send /brave commands to a Telegram bot, triggering Brave search queries and receiving results directly in chat. Tech stack: n8n, MCP client for Brave API, Telegram node, JavaScript code for query cleaning.</t>
  </si>
  <si>
    <t>Philips Hue Light On &amp; Brightness Set</t>
  </si>
  <si>
    <t>Automation workflow using n8n to turn on a Philips Hue light and set its brightness via Philips Hue API. Triggered manually, it sets brightness level to 90 for light ID 123. Useful for smart home lighting control with Philips Hue OAuth2 integration.</t>
  </si>
  <si>
    <t>CSV to Google Sheets COVID Data Importer</t>
  </si>
  <si>
    <t>Automates downloading COVID-19 testing CSV data from ECDC, filters for DACH region in 2023, adds unique keys, and uploads to a specified Google Sheets document via Google Sheets API using n8n workflow nodes.</t>
  </si>
  <si>
    <t>Telegram Tron USDT Wallet Blacklist Checker</t>
  </si>
  <si>
    <t>An n8n workflow integrating Telegram and Tronscan API to verify if a TRON USDT wallet address is blacklisted. Users send wallet addresses via Telegram; the system validates format, queries the Tronscan stablecoin blacklist API, and replies with the blacklist status.</t>
  </si>
  <si>
    <t>Luma AI Webhook to Airtable Video Logger</t>
  </si>
  <si>
    <t>An n8n workflow that captures POST requests from Luma AI's video generation webhook, extracts video and thumbnail URLs, and automatically updates Airtable records with this data. Integrates Luma AI webhook, Airtable API, and conditional data validation.</t>
  </si>
  <si>
    <t>PDFMonkey Callback PDF Downloader</t>
  </si>
  <si>
    <t>n8n workflow automates PDFMonkey webhook callbacks by receiving PDF generation status, verifying success, and downloading the generated PDF via HTTP request. Integrates PDFMonkey API and n8n webhook for seamless PDF retrieval upon generation completion.</t>
  </si>
  <si>
    <t>Automates scraping of Paul Graham's latest essays from his website using HTTP and HTML nodes, then summarizes the top 3 essays with GPT-4 via OpenAI API and LangChain nodes in n8n workflow.</t>
  </si>
  <si>
    <t>Daily Gratitude Reminder via LINE</t>
  </si>
  <si>
    <t>An automated daily reminder system that sends personalized gratitude prompts at 9 PM via LINE. Utilizes Azure OpenAI for varied message generation and reformats output for LINE Push API. Helps build positive habits using n8n workflow and AI.</t>
  </si>
  <si>
    <t>Daily Calvin &amp; Hobbes Comic Auto Poster</t>
  </si>
  <si>
    <t>Automates fetching daily Calvin and Hobbes comic images via HTTP request, extracts the image URL using LangChain info extractor, translates dialogues to English and Korean with OpenAI GPT-4o-mini, and posts the results to Discord daily using a webhook. Uses n8n, OpenAI API, and Discord webhook.</t>
  </si>
  <si>
    <t>Squarespace Blog to Google Sheets Sync</t>
  </si>
  <si>
    <t>Automates fetching blog and event collections from a Squarespace site via HTTP API with pagination, and appends or updates the data in Google Sheets using Google Sheets OAuth2. Scheduled or manual trigger allows easy syncing of blog content to spreadsheets.</t>
  </si>
  <si>
    <t>Automated Video Captioning with json2video API</t>
  </si>
  <si>
    <t>This n8n workflow automates adding captions to videos using the json2video API. It accepts video URL and dimensions, sends a video captioning request, polls for completion, and outputs the captioned video link and details. Uses HTTP Request, Wait, and If nodes for automation.</t>
  </si>
  <si>
    <t>Twitter Banner Auto-Updater</t>
  </si>
  <si>
    <t>Automates updating your Twitter profile banner by downloading an image from Unsplash and uploading it to Twitter using OAuth1 authentication. Utilizes HTTP Request nodes in n8n for image retrieval and Twitter API interaction, triggered manually.</t>
  </si>
  <si>
    <t>Monthly Absence Summary Email Automation</t>
  </si>
  <si>
    <t>Automates monthly extraction of absence data (holidays &amp; illness) from Google Calendar, summarizes days absent per person, and emails payroll. Built with n8n using Google Calendar API, cron scheduler, JavaScript code nodes, and SMTP email.</t>
  </si>
  <si>
    <t>Nostr #damus AI Report with Gmail &amp; Telegram</t>
  </si>
  <si>
    <t>Automates analysis of Nostr #damus hashtag threads using Google Gemini LLM, aggregates themes, and generates detailed AI reports sent via Gmail and Telegram for community insights and engagement.</t>
  </si>
  <si>
    <t>n8n Workflow: Export Executions to CSV</t>
  </si>
  <si>
    <t>An n8n workflow that retrieves all workflow executions via the n8n API, converts the data into a CSV file for easy parsing, and prepares it for export to a cloud storage or other destination. Utilizes n8n manual trigger, n8n API node, and file conversion tools.</t>
  </si>
  <si>
    <t>YogiAI Daily Yoga Pose Reminder</t>
  </si>
  <si>
    <t>Automates daily yoga pose reminders via Line using Azure OpenAI and Google Sheets. Fetches weighted random poses from Sheets, formats messages with AI, creates Line Flex messages with images, and sends scheduled notifications. Tech: n8n, Azure OpenAI, Google Sheets, Line Messaging API.</t>
  </si>
  <si>
    <t>Web Page Content Scraper via FireCrawl API</t>
  </si>
  <si>
    <t>This n8n workflow fetches webpage content in markdown format using FireCrawl API. It accepts a URL as input, triggers an HTTP POST request to FireCrawl, and extracts markdown content for reuse. Ideal for automating web data extraction leveraging n8n and FireCrawl API.</t>
  </si>
  <si>
    <t>Google Sheets &amp; MySQL Event Inquiry Sync</t>
  </si>
  <si>
    <t>An n8n workflow automating sync between Google Sheets (Google Sheets API) and MySQL database for event inquiries. It compares datasets, upserts new records, updates statuses, and schedules regular 30-min interval checks on weekdays. Ideal for managing event form data efficiently.</t>
  </si>
  <si>
    <t>OpenAI Image Generation Webhook</t>
  </si>
  <si>
    <t>This n8n workflow exposes a webhook that triggers OpenAI's image generation API using a user-provided prompt via URL query. It returns the generated image directly in the browser. Tech stack: n8n, OpenAI API, webhook, URL query parameters.</t>
  </si>
  <si>
    <t>ProspectLens Company Research Automation</t>
  </si>
  <si>
    <t>Automates company data enrichment by integrating Google Sheets with ProspectLens API using n8n. Retrieves detailed company profiles and updates sheets with firmographic info, funding, traffic, and location, streamlining business research workflows.</t>
  </si>
  <si>
    <t>Shopify Campaign Image Uploader</t>
  </si>
  <si>
    <t>Automates updating Shopify theme assets by uploading campaign images via Shopify GraphQL and REST APIs using n8n. Integrates Baserow webhook for triggers and supports dynamic content injection into Liquid templates.</t>
  </si>
  <si>
    <t>CSV to Excel Converter from URL</t>
  </si>
  <si>
    <t>Automates downloading a CSV file from a public URL, imports it using n8n's HTTP Request and Spreadsheet nodes, and converts it to an Excel (.xlsx) file. Utilizes n8n native nodes with no external APIs, ideal for data processing automation.</t>
  </si>
  <si>
    <t>Bluesky Image Post Creator</t>
  </si>
  <si>
    <t>Automates posting image posts on Bluesky by downloading images from URLs, uploading as blobs via Bluesky API, and creating posts with captions. Utilizes HTTP Request and Code nodes in n8n for session creation, image handling, and feed posting.</t>
  </si>
  <si>
    <t>2D Image to 3D Model Automation</t>
  </si>
  <si>
    <t>Automates converting 2D images to 3D models using Fal.run AI API, Google Sheets for input/output management, and Google Drive for storing 3D files. Periodically checks image status, updates results in sheets, and uploads final .glb 3D models.</t>
  </si>
  <si>
    <t>Google Sheets to Shopware 6 Manufacturer Import</t>
  </si>
  <si>
    <t>Automates importing multiple product manufacturers from Google Sheets into Shopware 6 using Shopware's API. Utilizes Google Sheets API, OAuth2 authentication, and custom JavaScript for multi-language translations and logo uploads for seamless e-commerce management.</t>
  </si>
  <si>
    <t>n8n Workflow Nodes Update Notifier</t>
  </si>
  <si>
    <t>Automates checking and updating outdated nodes in n8n workflows using n8n API and Gmail for summary emails. Identifies outdated nodes, prepends symbols, optionally adds updated nodes to canvas, and notifies via Gmail. Helps maintain workflow health.</t>
  </si>
  <si>
    <t>Zammad User Role Update via Excel</t>
  </si>
  <si>
    <t>Automates updating user roles in Zammad helpdesk by processing Excel data sourced via HTTP. Utilizes n8n workflow nodes including HTTP Request, Excel extraction, and data merging to sync user roles based on email matching. Requires Zammad API with Bearer token.</t>
  </si>
  <si>
    <t>n8n Workflow Cloner Between Instances</t>
  </si>
  <si>
    <t>Automates cloning of n8n workflows from one instance to another using n8n API and HTTP requests. Syncs workflows and assigns them to projects, leveraging native n8n nodes and API calls for efficient workflow migration between environments.</t>
  </si>
  <si>
    <t>Post WordPress Blog via XML-RPC HTTP Request</t>
  </si>
  <si>
    <t>An n8n workflow to post blog entries on Wordpress.com using XML-RPC protocol via HTTP Request node. It uses JavaScript code to prepare XML payload, handles XML response, and supports posting with a manual trigger. Tech stack: n8n, Wordpress XML-RPC API.</t>
  </si>
  <si>
    <t>WhatsApp Echo Bot via Meta API</t>
  </si>
  <si>
    <t>Automates WhatsApp messaging using Meta's WhatsApp API with n8n. Verifies webhook, listens for incoming messages, checks message presence, and echoes text back to the sender. Ideal for building interactive WhatsApp bots with webhook and API integration.</t>
  </si>
  <si>
    <t>Monday.com Full Item Data Fetcher</t>
  </si>
  <si>
    <t>n8n workflow to fetch comprehensive data for a specific Monday.com board item, including all columns, subitems, and board relations. Utilizes Monday.com API nodes, JavaScript code nodes for data processing, and merging/aggregation nodes for structured JSON output.</t>
  </si>
  <si>
    <t>Bitrix24 Task Widget with Webhook Integration</t>
  </si>
  <si>
    <t>Automates Bitrix24 task widget app installation and task data retrieval using webhooks, HTTP requests, and file handling within n8n. Integrates with Bitrix24 REST API to manage widget placement, installation responses, and display task details dynamically.</t>
  </si>
  <si>
    <t>Taiwan Agricultural Market Data to Google Sheets</t>
  </si>
  <si>
    <t>Automates fetching sheep quotation data from Taiwan's Ministry of Agriculture API (data.moa.gov.tw) for specified dates and markets, then appends parsed data into Google Sheets using Google Sheets API via OAuth2. Aids agricultural data tracking and analysis.</t>
  </si>
  <si>
    <t>Generate llms.txt from Screaming Frog CSV</t>
  </si>
  <si>
    <t>Automate creation of llms.txt files from Screaming Frog website crawl CSVs. Uses n8n nodes, optional OpenAI GPT-4o-mini text classifier, and file processing to filter, format, and generate AI-ready text files describing site content for LLM training or analysis.</t>
  </si>
  <si>
    <t>Ollama Chat Integration with Llama 3.2</t>
  </si>
  <si>
    <t>n8n workflow integrating Ollama API with Llama 3.2 model for chat message processing. Uses LangChain nodes including chat trigger, LLM chain, and structured response formatting to handle and respond to chat prompts as JSON objects.</t>
  </si>
  <si>
    <t>Reddit n8n Posts Classification &amp; Summary</t>
  </si>
  <si>
    <t>Automates fetching recent n8n-related Reddit posts, filters by upvotes and date, classifies relevance with OpenAI, then summarizes content. Uses Reddit API and OpenAI API, aiming to monitor and categorize discussions about n8n.io efficiently.</t>
  </si>
  <si>
    <t>Icypeas Bulk Email Search Automation</t>
  </si>
  <si>
    <t>Automates bulk email search with Icypeas API using Google Sheets. Reads names and companies from a sheet, authenticates via custom JS with API key/secret, and triggers POST requests for email search results. Tech: n8n, Google Sheets API, Icypeas API, Node.js crypto.</t>
  </si>
  <si>
    <t>Monthly Event Scraper &amp; Email Newsletter</t>
  </si>
  <si>
    <t>Automates scraping of monthly event listings from a location-specific website using HTTP requests and HTML extraction; processes event data, formats it into an HTML email, and sends via Gmail. Ideal for keeping informed about local events monthly.</t>
  </si>
  <si>
    <t>Automated n8n Workflow Backup to Dropbox</t>
  </si>
  <si>
    <t>This n8n workflow automates backing up current workflows by exporting them as JSON files to Dropbox, organizing backups into folders, and purging backups older than 30 days. It uses n8n API, Dropbox API, and date-time nodes for scheduling and maintenance.</t>
  </si>
  <si>
    <t>Email to HTML Webpage via GitHub &amp; Telegram</t>
  </si>
  <si>
    <t>Automates converting incoming IMAP emails into private GitHub Gist HTML pages and sends a Telegram notification with a link. Uses IMAP for email, GitHub API for gist creation/deletion, and Telegram Bot API for notifications and message lifecycle management.</t>
  </si>
  <si>
    <t>Discord Member Role Filter with Google Sheets</t>
  </si>
  <si>
    <t>Automates fetching Discord server members using Discord Bot API, filters by role, and tracks progress in Google Sheets. Useful for managing member lists and roles with n8n integration of Discord API and Google Sheets.</t>
  </si>
  <si>
    <t>n8n Workflow Outdated Node Checker</t>
  </si>
  <si>
    <t>Checks n8n workflows for nodes with outdated versions by comparing each node's type and version to the latest available via the n8n API. Uses n8n's HTTP Request, Aggregate, If, and Code nodes with n8n API key authentication to identify nodes needing updates.</t>
  </si>
  <si>
    <t>Contabo VPS Snapshot Automation</t>
  </si>
  <si>
    <t>Automates daily backup snapshots for Contabo VPS instances using Contabo API, UUIDGenerator for unique request IDs, and n8n nodes. Handles authorization, instance listing, snapshot checking, deletion, and creation with scheduled and manual triggers.</t>
  </si>
  <si>
    <t>Webhook.site to Local n8n Relay</t>
  </si>
  <si>
    <t>Automates receiving public webhooks via webhook.site API and forwards them to a local n8n workflow. Utilizes schedule triggers, key-value storage (@horka.tv/n8n-nodes-storage-kv), HTTP requests, and custom JavaScript for filtering and processing. Ideal for testing and local webhook processing.</t>
  </si>
  <si>
    <t>Fastmail Masked Email Management</t>
  </si>
  <si>
    <t>An n8n workflow leveraging Fastmail API to manage masked email addresses: create, update, delete, and list. It uses HTTP Request nodes with Fastmail JMAP API, a webhook secured by basic auth, and generates an interactive HTML table for email states.</t>
  </si>
  <si>
    <t>Customer.io Unsubscribe Event Trigger</t>
  </si>
  <si>
    <t>An n8n workflow that uses the Customer.io Trigger node to automatically capture and respond to customer unsubscribes in real time via Customer.io API, enabling automated actions upon unsubscribe events.</t>
  </si>
  <si>
    <t>MP4 to Text Transcript with Eleven Labs API</t>
  </si>
  <si>
    <t>Automates transcription of local MP4 video files into text using Eleven Labs speech-to-text API. Uses n8n workflow with local file reading and HTTP Request nodes for audio transcription, enabling seamless offline media processing.</t>
  </si>
  <si>
    <t>Redis Locking Workflow for Webhook Concurrency</t>
  </si>
  <si>
    <t>An n8n workflow that uses Redis to implement distributed locking for webhook handling, preventing concurrent or duplicate executions. It parses Slack webhook payloads, checks and acquires Redis locks, conditionally executes workflows, and releases locks after completion.</t>
  </si>
  <si>
    <t>n8n Tag-to-Folder Workflow Organizer</t>
  </si>
  <si>
    <t>Automates organization of n8n workflows by converting tags into folders via n8n API. Uses n8n HTTP Request, Form Trigger, and Code nodes to login, fetch tags, create folders, and move workflows. Simplifies project management for personal owned projects.</t>
  </si>
  <si>
    <t>Automated RSS to Google Sheets Updater</t>
  </si>
  <si>
    <t>An n8n workflow that periodically reads RSS feed URLs from a Google Sheet, fetches and filters recent news (last 3 days), converts content from HTML to Markdown, updates and deletes entries in a Google Sheet to maintain fresh news data. Uses Google Sheets API, RSS feed reader, and custom JavaScript code.</t>
  </si>
  <si>
    <t>Paul Graham Essays Scraper &amp; QA Chat</t>
  </si>
  <si>
    <t>Automates scraping of Paul Graham's essays from his website, processes texts using OpenAI GPT-4o-mini, and stores embeddings in Milvus vector DB. Enables QA chat with the indexed essays via LangChain nodes in n8n workflow.</t>
  </si>
  <si>
    <t>Linux Filesystem MCP Server</t>
  </si>
  <si>
    <t>An n8n workflow implementing a Model Context Protocol (MCP) server for Linux filesystem. It enables remote MCP clients to list, search, read, create directories and files securely on the host machine using n8n's MCP trigger and Execute Command tools. Ideal for file management automation.</t>
  </si>
  <si>
    <t>SQLite MCP Server for Database CRUD</t>
  </si>
  <si>
    <t>Self-hosted n8n workflow acting as an MCP server to securely manage SQLite DB via CRUD operations. Utilizes SQLite3 Node.js lib, MCP server trigger, and Code + custom workflow tools for read, insert, update. Ideal for business intelligence tasks.</t>
  </si>
  <si>
    <t>PayPal Payment Capture &amp; Template Delivery</t>
  </si>
  <si>
    <t>An n8n workflow to handle PayPal NVP SOAP webhook for payment captures, fetch order details using PayPal API with OAuth2, filter specific product purchases, convert JSON template to file, and email the purchased workflow template to customers. Tech stack includes PayPal API, HTTP Requests, webhooks, and email node.</t>
  </si>
  <si>
    <t>Retell Voice Agent Booking Webhook</t>
  </si>
  <si>
    <t>An n8n workflow that connects Retell AI Voice Agents with custom logic via webhooks. It captures booking requests, processes data, and sends confirmation responses in real-time. Tech stack includes Retell AI, n8n webhook and respond nodes, with potential for API integrations and AI enhancements.</t>
  </si>
  <si>
    <t>Encrypted WhatsApp Flow Handler</t>
  </si>
  <si>
    <t>n8n workflow for secure WhatsApp interactions using hybrid RSA-AES decryption. It decrypts encrypted webhook payloads, parses user state ('screen'), applies conditional routing, extracts appointment or seat data, then encrypts and responds via API. Utilizes n8n nodes, Node.js Crypto, and webhook integration.</t>
  </si>
  <si>
    <t>Google News RSS Decoder to Clean Article Links</t>
  </si>
  <si>
    <t>An n8n workflow that reads Google News RSS feeds (customizable by language), decodes obfuscated Google News URLs via reverse-engineered POST requests, and outputs clean, direct article links. Uses RSS Feed, HTTP Request, HTML extraction, and JavaScript code nodes.</t>
  </si>
  <si>
    <t>Squarespace to Shopify Customer Sync via Google Sheets</t>
  </si>
  <si>
    <t>Automates conversion of Squarespace profile data to Shopify customer format using Google Sheets for data handling. Uses n8n webhook to receive submissions, processes data in batches, and updates Shopify customers and Squarespace profiles in Google Sheets seamlessly.</t>
  </si>
  <si>
    <t>Automated Bluesky Thread Creator</t>
  </si>
  <si>
    <t>An n8n workflow that authenticates to Bluesky via API and automates creation of threaded posts (initial post, replies, siblings) on schedule. Uses Bluesky's xrpc API with HTTP Request and JavaScript code nodes to build and post multi-level conversation threads daily at 9 AM.</t>
  </si>
  <si>
    <t>Automated Price Tracker and Notifier</t>
  </si>
  <si>
    <t>This n8n workflow automates monitoring product prices across multiple web pages using HTTP requests and CSS selectors for data extraction. It compares current prices with stored data and sends email alerts via SMTP for price drops or extraction issues.</t>
  </si>
  <si>
    <t>Docker InfluxDB WHMCS API Backend</t>
  </si>
  <si>
    <t>Automates Docker-based InfluxDB container management for WHMCS/WISECP. Uses n8n workflow with Webhook API (Basic Auth), SSH for Docker commands, Docker Compose, and nginx-proxy configs to deploy, start, stop, suspend, and monitor InfluxDB containers per client domain.</t>
  </si>
  <si>
    <t>Centroid Calculator for Vector Sets</t>
  </si>
  <si>
    <t>An n8n workflow that receives vector arrays via webhook, validates uniform dimensions, computes their centroid by averaging each component, and returns the result. Uses n8n's Webhook, Set, Code, and Respond nodes for API-driven vector centroid calculations.</t>
  </si>
  <si>
    <t>Crop Image Anomaly Detection Workflow</t>
  </si>
  <si>
    <t>An n8n workflow detecting anomalous crop images using Voyage.ai embeddings and Qdrant vector search. It compares image embeddings to cluster medoids of a crops dataset and flags unknown or rare crops. Tech: Voyage AI API, Qdrant Cloud, Python code for scoring.</t>
  </si>
  <si>
    <t>Telegram Links to Readeck &amp; Hoarder Bookmark Sync</t>
  </si>
  <si>
    <t>Automates fetching links from a specific Telegram channel using the Telegram Bot API and syncs new links to Readeck and Hoarder bookmark management platforms via their APIs, ensuring links are saved without duplication. Built with n8n workflow automation.</t>
  </si>
  <si>
    <t>n8n Workflow AI Model Usage Tracker</t>
  </si>
  <si>
    <t>This n8n workflow fetches all n8n workflows via n8n API, filters nodes containing AI model references (modelId), and logs node and workflow details including AI model info into Google Sheets. It uses n8n API and Google Sheets API for centralized AI model usage tracking.</t>
  </si>
  <si>
    <t>Docker MinIO WHMCS API Deployment</t>
  </si>
  <si>
    <t>An n8n workflow to deploy and manage MinIO Docker containers for WHMCS/WISECP integration. Utilizes SSH for Docker commands, Basic Auth API webhook, dynamic Docker Compose and NGINX config generation, and supports lifecycle actions like deploy, start, stop, suspend, and ACLs.</t>
  </si>
  <si>
    <t>Zammad Data Export to Excel</t>
  </si>
  <si>
    <t>An n8n workflow that exports users, roles, groups, and organizations from Zammad via API calls authenticated by token. It transforms data into universal objects and converts them into Excel files (XLSX). Ideal for helpdesk admin reporting and data management.</t>
  </si>
  <si>
    <t>3-View Orthographic to Dynamic Video Converter</t>
  </si>
  <si>
    <t>Automates conversion of three orthographic views into a rotating 3D-style video. Uses GPT-4o for front and side image generation and PiAPI's Kling model for dynamic video synthesis with rotation. Ideal for 3D visualization and animation workflows.</t>
  </si>
  <si>
    <t>Airtable Markdown to HTML Converter</t>
  </si>
  <si>
    <t>An n8n workflow using Airtable API and markdown node to convert video descriptions from markdown format stored in Airtable to HTML, then updating single or multiple Airtable records with the HTML content. Automates content formatting for Airtable video entries.</t>
  </si>
  <si>
    <t>PG&amp;E Daily Energy Cost Email Reporter</t>
  </si>
  <si>
    <t>Automates daily login to PG&amp;E's mobile website to extract electricity and gas cost data, formats it into an HTML email, and sends it via Gmail. Uses n8n's AirTop nodes for browser automation and Gmail API for emailing.</t>
  </si>
  <si>
    <t>Scaleway Servers Info Retrieval &amp; Filter</t>
  </si>
  <si>
    <t>An n8n workflow that fetches and aggregates Scaleway instance and baremetal server details across multiple zones using Scaleway API. It supports dynamic filtering by tags, name, public IP, or zone and returns results via authenticated webhook. Built with HTTP Request, Code, Switch, and Webhook nodes.</t>
  </si>
  <si>
    <t>n8n Supabase AI Agent Manager</t>
  </si>
  <si>
    <t>Automates management of AI agent interactions using n8n with Supabase as a vector store and data backend, integrating OpenAI embeddings for knowledge retrieval and Langchain MCP triggers for agent workflows.</t>
  </si>
  <si>
    <t>OpenAI Chat Assistant with Country Capitals Tool</t>
  </si>
  <si>
    <t>An n8n workflow integrating OpenAI Assistant via LangChain to enable interactive chat. It includes custom tools for returning fictional countries' capitals and listing them, plus a date/time tool. It automates conversational AI with dynamic data retrieval using JavaScript code nodes and summarization.</t>
  </si>
  <si>
    <t>Generate &amp; Save CSV User Lists with GPT-4</t>
  </si>
  <si>
    <t>An n8n workflow that uses GPT-4 (OpenAI API) to generate mock user data in JSON, parses it, converts to CSV in batches, fixes UTF BOM issues, and saves files locally. Ideal for creating randomized CSV datasets quickly.</t>
  </si>
  <si>
    <t>LINE BOT Receipt OCR to Google Sheets</t>
  </si>
  <si>
    <t>Automates receipt image processing from LINE chat by extracting text via OCR Space API, then parsing transaction info. Uses LINE Messaging API, Google Drive for storage, and Google Sheets for recording data, enabling efficient financial record keeping.</t>
  </si>
  <si>
    <t>Immich Docker Deployment API Backend</t>
  </si>
  <si>
    <t>n8n workflow deploying and managing Immich Docker containers via API webhook. Integrates SSH for remote Docker commands. Supports container lifecycle, disk mounting, ACL management, NGINX config, and admin user operations. Designed for WHMCS/WISECP integration by PUQcloud.</t>
  </si>
  <si>
    <t>Dynamic Dropdown Form with Google Sheets Data</t>
  </si>
  <si>
    <t>Automates updating an n8n form's dropdown field dynamically using values fetched from a Google Sheets document. Utilizes n8n API, Google Sheets node, and formTrigger for real-time dropdown updates, enabling seamless form customization and data-driven options.</t>
  </si>
  <si>
    <t>News Web Scraper with AI Summarization</t>
  </si>
  <si>
    <t>Automates weekly scraping of news from Colt telecom site using HTML extraction and CSS selectors. Utilizes OpenAI GPT-4 API to generate concise summaries and technical keywords. Stores results in a NocoDB SQL database for easy management.</t>
  </si>
  <si>
    <t>Ollama LLM Chat Processor</t>
  </si>
  <si>
    <t>An n8n workflow that processes chat messages using Ollama's Llama 3.2 model via LangChain integration. It receives chat inputs, processes them through an LLM chain, and returns structured JSON responses. Requires Ollama API credentials and n8n.</t>
  </si>
  <si>
    <t>Line + DALL·E Lego Style Image Transformer</t>
  </si>
  <si>
    <t>An n8n workflow that uses LINE Messaging API and OpenAI's DALL·E to receive images via LINE, generate LEGO-style prompts with GPT-4o-mini, create LEGO-style images, and send them back to users. Integrates LINE webhook, HTTP requests, and OpenAI API for image manipulation.</t>
  </si>
  <si>
    <t>Google Maps Email Scraper</t>
  </si>
  <si>
    <t>An n8n workflow automating email extraction from Google Maps business listings. It uses HTTP requests to search Google Maps for queries, scrapes URLs and emails with regex, filters duplicates and irrelevant data, and saves results to Google Sheets.</t>
  </si>
  <si>
    <t>Bluesky Auto Welcome Message Sender</t>
  </si>
  <si>
    <t>Automate sending personalized welcome DMs to new followers on Bluesky social. Uses Bluesky API to track followers, store follower data in JSON files, detect new followers, and send predefined private messages with links at hourly intervals.</t>
  </si>
  <si>
    <t>n8n Workflow Magic Positioning AI</t>
  </si>
  <si>
    <t>Automates dynamic positioning of nodes in n8n workflows using AI. Integrates n8n core nodes, OpenAI APIs (Chat and Embeddings), LangChain AI Agents, and a custom IA2S positioning API. Enables effortless and smart workflow layout management.</t>
  </si>
  <si>
    <t>Strava Activity Logger to Google Sheets</t>
  </si>
  <si>
    <t>Automates fetching the latest cycling activities from Strava via API every 2 hours, filters out already logged rides, and appends new activity data (distance, time, elevation, date, link) to a Google Sheets spreadsheet using n8n workflow.</t>
  </si>
  <si>
    <t>n8n Async Workflow Coordination Example</t>
  </si>
  <si>
    <t>Demonstrates asynchronous workflow coordination in n8n using manual triggers, HTTP webhooks, wait nodes, and HTTP requests. Integrates with an external JokeAPI and simulates independent workflows communicating via resume URLs for joined execution flow handling.</t>
  </si>
  <si>
    <t>Ko-fi Payment Webhook Handler</t>
  </si>
  <si>
    <t>An n8n workflow that receives Ko-fi payment webhooks, validates verification tokens, and categorizes payments into Donations, Subscriptions or Shop Orders for further automation. Uses n8n webhook, if and switch nodes for processing Ko-fi webhook JSON data.</t>
  </si>
  <si>
    <t>n8n Credential Transfer Between Instances</t>
  </si>
  <si>
    <t>Workflow automates copying credentials from one n8n instance to another using n8n CLI exports, HTTP API POST requests with dynamic authentication, and user forms for selection. Utilizes n8n executeCommand, HTTP Request, Form, and Code nodes.</t>
  </si>
  <si>
    <t>Todoist Task Creator</t>
  </si>
  <si>
    <t>Automates creating new tasks in Todoist using n8n with manual trigger and Todoist API integration. Enables easy task management by adding tasks on demand through a simple workflow.</t>
  </si>
  <si>
    <t>Merge Interviewers and Employee Records</t>
  </si>
  <si>
    <t>An n8n workflow that merges interviewers' scheduling data with employee records by matching unique IDs. Uses built-in function and merge nodes to convert and combine JSON arrays, enabling synchronized personnel and interview data management in workflows.</t>
  </si>
  <si>
    <t>CRM Contact Data to Spreadsheet</t>
  </si>
  <si>
    <t>Automates loading mock HubSpot CRM contacts into a spreadsheet-like system. Uses n8n's manual trigger and function nodes to format data, ready for integration with Google Sheets, Airtable, or databases.</t>
  </si>
  <si>
    <t>Insert Row into Coda Table</t>
  </si>
  <si>
    <t>Automates inserting data into a new row of a Coda table using n8n. Utilizes the Coda API and n8n's Manual Trigger and Set nodes to define column values and push them into a specified Coda document and table.</t>
  </si>
  <si>
    <t>Google Slides Thumbnail Extractor</t>
  </si>
  <si>
    <t>An n8n workflow that uses Google Slides API via OAuth2 to retrieve all slides from a specific presentation and download their thumbnails automatically upon manual trigger. Ideal for quick slide image extraction and automation.</t>
  </si>
  <si>
    <t>Chargebee New Customer Creation</t>
  </si>
  <si>
    <t>Automates creating new customers in Chargebee using the Chargebee API and n8n workflow automation. Triggered manually, it captures customer details and creates a customer record in Chargebee for subscription billing management.</t>
  </si>
  <si>
    <t>Emelia Replies to Mattermost Alerts</t>
  </si>
  <si>
    <t>n8n workflow that triggers on Emelia campaign replies and sends customized notifications to Mattermost channels. Uses Emelia API for webhook triggers and Mattermost API to post messages, enabling real-time campaign response alerts.</t>
  </si>
  <si>
    <t>Workflow Update Notification via Mattermost</t>
  </si>
  <si>
    <t>An n8n workflow that triggers upon workflow updates and sends notifications to a Mattermost channel using Mattermost API. It includes a webhook that sets a message and a workflow trigger that detects updates, automating alert delivery for workflow changes.</t>
  </si>
  <si>
    <t>Publish Storyblok Stories Starting with 'release'</t>
  </si>
  <si>
    <t>An n8n workflow that fetches all Storyblok stories with names starting with 'release' using Storyblok Management API and publishes them automatically. Utilizes manual trigger and Storyblok nodes to automate content deployment in Storyblok CMS.</t>
  </si>
  <si>
    <t>Company Lookup by Name &amp; Country</t>
  </si>
  <si>
    <t>Automates company data retrieval using n8n and Uproc API. Inputs company name and country, fetches detailed info via 'getCompanyByName' tool, checks if the company exists. Useful for CRM enrichment and business research.</t>
  </si>
  <si>
    <t>Telegram GitHub Release Info Bot</t>
  </si>
  <si>
    <t>Automates GitHub release retrieval via Telegram commands. Uses Telegram API to trigger workflow on messages containing '/deploy', extracts version, then fetches GitHub release data using GitHub OAuth2 API. Ideal for quick release info checks.</t>
  </si>
  <si>
    <t>DNS Records Retrieval Workflow</t>
  </si>
  <si>
    <t>n8n workflow automating DNS record retrieval for a domain using uproc API and function node. Triggered manually, it creates a domain item, then queries DNS entries for automation and monitoring purposes.</t>
  </si>
  <si>
    <t>Phone Number Validation Workflow</t>
  </si>
  <si>
    <t>An n8n workflow that verifies phone numbers using the Uproc API. It creates a phone item, parses and validates the number, and checks validity in an automated flow triggered manually. Useful for data quality and contact management.</t>
  </si>
  <si>
    <t>Pipedrive Change Updates Listener</t>
  </si>
  <si>
    <t>Automate receiving real-time updates for all changes in Pipedrive using the Pipedrive API and n8n's Pipedrive Trigger node. Ideal for syncing CRM updates or triggering workflows on any change inside Pipedrive accounts.</t>
  </si>
  <si>
    <t>Webhook to Netlify Site Creator</t>
  </si>
  <si>
    <t>Automates creation of Netlify sites via POST webhook. Uses n8n, Netlify API; receives JSON with site title and triggers site creation. Useful for integrating custom site deployment workflows or CMS systems.</t>
  </si>
  <si>
    <t>Create Contact in Drift via API</t>
  </si>
  <si>
    <t>An n8n workflow that creates a new contact in Drift CRM using Drift API. It is triggered manually and requires Drift API credentials. Ideal for automating lead management and contact creation in sales processes.</t>
  </si>
  <si>
    <t>Create Company in Salesmate CRM</t>
  </si>
  <si>
    <t>An n8n workflow to create a new company record in Salesmate CRM using manual trigger. Integrates with Salesmate API for CRM automation, ideal for sales and marketing teams to streamline company data entry.</t>
  </si>
  <si>
    <t>Company Info Lookup via UpLead</t>
  </si>
  <si>
    <t>An n8n workflow that fetches detailed company information using the UpLead API. Triggered manually, it retrieves data for companies like Apple, enabling easy integration of business data enrichment in automation setups.</t>
  </si>
  <si>
    <t>Facebook Profile Update to Mattermost Alert</t>
  </si>
  <si>
    <t>An n8n workflow that triggers on Facebook user profile updates using Facebook Graph API and sends a formatted notification message to a specified Mattermost channel via Mattermost API, enabling real-time alerts on profile changes.</t>
  </si>
  <si>
    <t>Daily Image Joke Twitter Poster</t>
  </si>
  <si>
    <t>Automates posting a daily image joke on Twitter at 17:00. Uses the Blablagues API to fetch joke images and text, retrieves the image file, then tweets with text and image using Twitter OAuth1 API. Scheduled via n8n Cron node.</t>
  </si>
  <si>
    <t>Automated Torrent Search &amp; Download</t>
  </si>
  <si>
    <t>An n8n workflow automating torrent search using 'torrent-search-api' on KickassTorrents and Rarbg, integrates with Transmission RPC to start downloads, and uses Telegram bot for notifications. Enables POST webhook input with movie title to trigger torrent fetching and download.</t>
  </si>
  <si>
    <t>Toggl New Time Entries Trigger</t>
  </si>
  <si>
    <t>This n8n workflow uses the Toggl Trigger node to automatically fetch new time entries from the Toggl API in real-time. Ideal for integrating time tracking data into other systems or automations, it simplifies monitoring and processing of time logs.</t>
  </si>
  <si>
    <t>XML Fetch Edit &amp; Dropbox Upload</t>
  </si>
  <si>
    <t>Fetches XML from httpbin.org, converts it to JSON for modification (changes title), converts back to XML, and uploads to Dropbox. Uses n8n nodes: HTTP Request, XML, Set, and Dropbox API integration for XML data processing and cloud storage.</t>
  </si>
  <si>
    <t>Baserow Blog Releases to RSS Feed</t>
  </si>
  <si>
    <t>Automates fetching and parsing Baserow blog release posts using HTTP requests and HTML extraction in n8n, then formats them into an RSS 2.0 feed served via webhook. Tech stack: n8n, HTTP Request, HTML Extract, JavaScript function nodes.</t>
  </si>
  <si>
    <t>Webhook HMAC SHA256 Token Validator</t>
  </si>
  <si>
    <t>An n8n workflow that receives webhook requests, uses a Crypto node to compute HMAC SHA256 of incoming crc_token values with a secret key, and sets the response token for validation. Uses n8n built-in Webhook, Crypto, and Set nodes for secure token verification.</t>
  </si>
  <si>
    <t>Cocktail Instructions Translator with LingvaNex</t>
  </si>
  <si>
    <t>An n8n workflow that fetches a random cocktail recipe from TheCocktailDB API and translates its instructions into Italian using the LingvaNex translation API. Automates multilingual cocktail instruction delivery via API integration and workflow automation.</t>
  </si>
  <si>
    <t>Shopify Tag Updater on Onfleet Delayed Tasks</t>
  </si>
  <si>
    <t>Automates updating Shopify product tags based on Onfleet delivery task delays using Onfleet webhook triggers and Shopify API integration to synchronize delivery status with product metadata.</t>
  </si>
  <si>
    <t>CSV to JSON Spreadsheet Converter</t>
  </si>
  <si>
    <t>n8n workflow that converts a CSV spreadsheet file to JSON format using native n8n nodes: manual trigger, read binary file, spreadsheet file parser, binary data mover, and write binary file. Automates file format transformation locally.</t>
  </si>
  <si>
    <t>n8n Merge Node Data Aggregation Demo</t>
  </si>
  <si>
    <t>Demo workflow showcasing n8n's Merge node with code-generated datasets to simulate SQL joins and unions in data aggregation. It uses n8n core nodes (Code, Merge) illustrating inner, left, and union joins with example data for ingredients and band members.</t>
  </si>
  <si>
    <t>ISS Position Updates via RabbitMQ</t>
  </si>
  <si>
    <t>Automates retrieval of the International Space Station's position every minute via the 'wheretheiss.at' API and publishes latitude, longitude, and timestamp updates to a RabbitMQ queue. Utilizes n8n Cron trigger, HTTP Request node, Set node, and RabbitMQ node for real-time messaging.</t>
  </si>
  <si>
    <t>GitHub Update Trigger to Home Assistant Light</t>
  </si>
  <si>
    <t>n8n workflow triggering on any GitHub repository update using GitHub API. Automatically turns a specified Home Assistant light red via Home Assistant API. Ideal for developers wanting visual notifications of repo changes.</t>
  </si>
  <si>
    <t>Batch Download and Merge Files</t>
  </si>
  <si>
    <t>n8n workflow that downloads multiple files from predefined URLs using HTTP Request nodes, then merges them into one item with multiple binary objects for streamlined processing.</t>
  </si>
  <si>
    <t>AI-Powered Random Color Selector</t>
  </si>
  <si>
    <t>An n8n workflow using LangChain and OpenAI GPT-4o-mini to return a random color excluding specified ones. It integrates a code tool for color selection and AI agent for processing chat inputs via webhook, ideal for AI-driven color choice automation.</t>
  </si>
  <si>
    <t>Add Event to Google Calendar</t>
  </si>
  <si>
    <t>Automates adding an event to Google Calendar using n8n workflow with manual trigger and Google Calendar API integration. Ideal for scheduling tasks by specifying start/end times and calendar account.</t>
  </si>
  <si>
    <t>Image Text Overlay from Internet URL</t>
  </si>
  <si>
    <t>An n8n workflow that downloads an image via HTTP request and adds custom text using the built-in Edit Image node. Automates adding text overlays on images from any URL quickly without coding.</t>
  </si>
  <si>
    <t>Excel to PostgreSQL Importer</t>
  </si>
  <si>
    <t>Automates importing Excel spreadsheet data into a PostgreSQL database using n8n. Reads a binary XLS file, parses it, then inserts rows into a PostgreSQL 'product' table with columns 'name' and 'ean'.</t>
  </si>
  <si>
    <t>Airtable Image URL to Attachment Updater</t>
  </si>
  <si>
    <t>Automates moving image URLs to attachment fields in Airtable. Uses Airtable API nodes in n8n to fetch records with image URLs and update attachment fields, making image management in Airtable seamless and automated.</t>
  </si>
  <si>
    <t>USDT TRC20 Wallet Tracker</t>
  </si>
  <si>
    <t>An n8n workflow that tracks USDT TRC20 token transfers for a specified wallet using TronScan API. It fetches recent transactions, filters for incoming transfers within the last 15 minutes, formats and aggregates data. Built with n8n nodes, HTTP Request to TronScan API, and schedule trigger.</t>
  </si>
  <si>
    <t>Website Email Scraper API via Webhook</t>
  </si>
  <si>
    <t>An n8n workflow that scrapes emails from any website URL passed as a query parameter to a webhook. It uses HTTP Request to fetch website HTML, regex to extract emails, removes duplicates, and returns the emails in the webhook response. No external API needed.</t>
  </si>
  <si>
    <t>Google Sheets Data Fetch via Webhook</t>
  </si>
  <si>
    <t>An n8n workflow that exposes a webhook to fetch data from a Google Sheets spreadsheet (range A:D on 'Problems' sheet) via Google Sheets API. It enables integration of external apps with spreadsheet data retrieval through HTTP requests.</t>
  </si>
  <si>
    <t>Zotero Collection Items Fetcher</t>
  </si>
  <si>
    <t>An n8n workflow to fetch and paginate items from a Zotero user's specified collection using Zotero API with HTTP header authentication. It includes looping for pagination, filtering, and optional field editing, automating retrieval of research references.</t>
  </si>
  <si>
    <t>Twitch Stream Online Status Checker</t>
  </si>
  <si>
    <t>Checks if a specified Twitch user is currently streaming live using Twitch's GraphQL API. Utilizes n8n nodes for GraphQL queries and conditional logic to determine online status based on stream data.</t>
  </si>
  <si>
    <t>ConvertKit Form Subscriber Alert</t>
  </si>
  <si>
    <t>An n8n workflow that triggers notifications when a new subscriber submits a specified ConvertKit form using ConvertKit API's webhook integration. Ideal for keeping track of list growth and automating subscriber management.</t>
  </si>
  <si>
    <t>Dynamic Image Generator Workflow</t>
  </si>
  <si>
    <t>An n8n workflow that generates custom images via a dummyjson.com API, allowing dynamic setting of size, colors, text, font, and output type. Utilizes Manual Trigger, Set, and HTTP Request nodes for creating images with personalized properties.</t>
  </si>
  <si>
    <t>Add Task to Google Tasks List</t>
  </si>
  <si>
    <t>An n8n workflow that adds a new task to a specified Google Tasks list using Google Tasks API with OAuth2. Triggered manually, it allows users to quickly create tasks in their Google account tasklist through seamless automation.</t>
  </si>
  <si>
    <t>Telegram Weather Info Bot</t>
  </si>
  <si>
    <t>An n8n workflow that uses Telegram API and OpenWeatherMap API to provide current weather updates on-demand via Telegram messages. It triggers on Telegram messages, fetches weather for Berlin, and replies with detailed conditions and temperature info.</t>
  </si>
  <si>
    <t>Automated Node.js Library Installer</t>
  </si>
  <si>
    <t>An n8n workflow that automates installing Node.js libraries using npm. It processes a comma-separated string of library names (e.g., axios, cheerio, node-fetch), splits them, and runs shell commands to install each library if not already installed.</t>
  </si>
  <si>
    <t>Text-to-Speech Audio Generator</t>
  </si>
  <si>
    <t>An n8n workflow that converts text to speech using a Python script (voicegen.py) and plays the resulting audio file. It uses local Python execution for TTS and reads an MP3 output file for playback, automating voice generation from specified text inputs.</t>
  </si>
  <si>
    <t>Mailchimp Email Subscriber Add</t>
  </si>
  <si>
    <t>An n8n workflow that automates adding subscribers to a Mailchimp email list via API. Uses Mailchimp node triggered manually to subscribe an email with merge field data. Ideal for simple email marketing subscriber management.</t>
  </si>
  <si>
    <t>Instagram Stats Daily Report to Mattermost</t>
  </si>
  <si>
    <t>Automates daily reporting of Instagram statistics using Google Sheets for data storage, formats date with n8n DateTime node, and posts formatted stats to Mattermost channel via API for team updates.</t>
  </si>
  <si>
    <t>Dynamic Text Overlay on Image via Webhook</t>
  </si>
  <si>
    <t>This n8n workflow fetches an image from a public URL, then overlays dynamic text received via webhook query parameter onto the image using built-in HTTP Request and Edit Image nodes, enabling automated personalized image generation.</t>
  </si>
  <si>
    <t>Twilio SMS Sending Workflow</t>
  </si>
  <si>
    <t>An n8n workflow that sends SMS messages using the Twilio API. It triggers manually and connects n8n's Manual Trigger node to the Twilio node, enabling easy SMS automation with Twilio credentials.</t>
  </si>
  <si>
    <t>ActiveCampaign Contact Upsert Trigger</t>
  </si>
  <si>
    <t>An n8n workflow that triggers manually to add or update a contact in ActiveCampaign via API, using the manual trigger node and ActiveCampaign node to manage contacts efficiently.</t>
  </si>
  <si>
    <t>HackerNoon Article Extractor</t>
  </si>
  <si>
    <t>An n8n workflow that fetches HackerNoon homepage HTML via HTTP Request, then extracts article titles and URLs using HTML Extract nodes. Useful for content aggregation or monitoring HackerNoon articles without coding.</t>
  </si>
  <si>
    <t>Telegram Journal Reply to Google Sheets</t>
  </si>
  <si>
    <t>Automates saving Telegram reply messages as journal entries into a Google Sheets spreadsheet. Utilizes Telegram Trigger to capture replies, a Function node to parse message content, and Google Sheets API to append entries. Ideal for personal journaling via Telegram.</t>
  </si>
  <si>
    <t>AWS SES Email Sender Workflow</t>
  </si>
  <si>
    <t>An n8n workflow to send emails via AWS SES. Triggered manually to send predefined messages to multiple recipients using AWS SES API, useful for automated email notifications or testing email sending automation.</t>
  </si>
  <si>
    <t>Send SMS via MSG91</t>
  </si>
  <si>
    <t>An n8n workflow that sends SMS using the MSG91 API. It uses a manual trigger node to start the flow and the MSG91 node to dispatch messages. Suitable for automating SMS notifications or alerts with MSG91's messaging platform.</t>
  </si>
  <si>
    <t>TravisCI Build Trigger Workflow</t>
  </si>
  <si>
    <t>An n8n workflow to manually trigger builds on TravisCI using the TravisCI API. It features a Manual Trigger node and TravisCI node, enabling easy integration with continuous integration pipelines for automated build execution.</t>
  </si>
  <si>
    <t>Invoice Ninja Invoice Creation Trigger</t>
  </si>
  <si>
    <t>An n8n workflow that triggers actions when a new invoice is created in Invoice Ninja using its API webhook integration. Designed to automate workflows based on invoice creation events in Invoice Ninja accounting software.</t>
  </si>
  <si>
    <t>Calendly Event Webhook Listener</t>
  </si>
  <si>
    <t>An n8n workflow using the Calendly API to trigger actions upon invitee creation or cancellation events. It listens to Calendly webhooks and enables automation based on scheduling changes, ideal for appointment management integrations.</t>
  </si>
  <si>
    <t>Xero Data Fetch on Manual Trigger</t>
  </si>
  <si>
    <t>This workflow uses n8n's Manual Trigger node to initiate and connects to the Xero API via OAuth2 to fetch all organization data. It automates retrieving accounting data from Xero on-demand using n8n integration.</t>
  </si>
  <si>
    <t>Fetch All Wordpress Posts</t>
  </si>
  <si>
    <t>An n8n workflow using Manual Trigger and Wordpress API to fetch all posts from a Wordpress site. Ideal for automating content retrieval from Wordpress blogs or websites.</t>
  </si>
  <si>
    <t>Paddle Coupon Creator</t>
  </si>
  <si>
    <t>An n8n workflow that creates discount coupons on Paddle using its API. Triggered manually, it automates coupon generation with customizable codes and discount amounts, ideal for e-commerce promotions.</t>
  </si>
  <si>
    <t>SurveyMonkey Response Listener</t>
  </si>
  <si>
    <t>Automates workflows triggered by new SurveyMonkey survey responses using SurveyMonkey Webhook and OAuth2 authentication. Ideal for instantly processing or forwarding fresh survey data via n8n automation platform.</t>
  </si>
  <si>
    <t>Monday.com Board Data Fetcher</t>
  </si>
  <si>
    <t>An n8n workflow that manually triggers a data retrieval from a specified Monday.com board using the Monday.com API credentials, aiming to fetch and use project management data easily within automation pipelines.</t>
  </si>
  <si>
    <t>SpaceX Launches Data Fetcher</t>
  </si>
  <si>
    <t>An n8n workflow that fetches the latest 5 SpaceX launches using the SpaceX GraphQL API. It retrieves mission details, launch dates, sites, rocket info, payload, and ship data, triggered manually via n8n's Manual Trigger node.</t>
  </si>
  <si>
    <t>Excel Data Fetch on Trigger</t>
  </si>
  <si>
    <t>An n8n workflow that retrieves all data from a Microsoft Excel spreadsheet using Microsoft Excel OAuth2 API upon manual trigger. Ideal for automating data extraction from Excel files into connected systems.</t>
  </si>
  <si>
    <t>HelpScout Mailbox Fetcher</t>
  </si>
  <si>
    <t>n8n workflow uses HelpScout API via OAuth2 to retrieve all mailboxes on manual trigger, enabling streamlined support mailbox management and automation.</t>
  </si>
  <si>
    <t>Jira Event Listener Trigger</t>
  </si>
  <si>
    <t>An n8n workflow node that listens to all Jira events via Jira Software Cloud API webhook integration. It triggers automation whenever any event occurs in Jira, enabling real-time Jira activity monitoring and workflow automation using n8n.</t>
  </si>
  <si>
    <t>IMAP Email Fetcher</t>
  </si>
  <si>
    <t>Workflow to fetch emails from an IMAP server using n8n's Email Read IMAP node. It connects to an email inbox via IMAP protocol, enabling automated email retrieval for further processing or automation tasks. Uses n8n automation platform with IMAP credentials.</t>
  </si>
  <si>
    <t>Telegram Cocktail Image Bot</t>
  </si>
  <si>
    <t>An n8n workflow that triggers on Telegram messages, fetches a random cocktail from TheCocktailDB API, and replies with the drink's image and name. Utilizes Telegram Bot API and HTTP Request node for API integration to provide fun cocktail suggestions.</t>
  </si>
  <si>
    <t>Send SMS via Mocean API</t>
  </si>
  <si>
    <t>This n8n workflow sends SMS messages using the Mocean API. It starts with a manual trigger and connects to the Mocean node to dispatch SMS by specifying recipient, sender, and message content. Useful for integrating SMS alerts or notifications in automation.</t>
  </si>
  <si>
    <t>Telegram Message Relay via Webhook</t>
  </si>
  <si>
    <t>An n8n workflow using a webhook and Telegram API to forward incoming HTTP requests as Telegram messages. It receives a query parameter, sends it to a predefined chat ID via Telegram Bot API, and confirms message delivery. Tech stack: n8n, Telegram Bot API.</t>
  </si>
  <si>
    <t>GitHub Repository Profile Fetcher</t>
  </si>
  <si>
    <t>An n8n workflow that retrieves detailed profile information of a specific GitHub repository using the GitHub API. Triggered manually, it fetches data for the 'n8n-io/n8n' repository via authenticated API credentials, enabling integration in automation pipelines.</t>
  </si>
  <si>
    <t>Append Data to Google Sheets Workflow</t>
  </si>
  <si>
    <t>An n8n workflow that appends predefined data to a specified Google Sheets spreadsheet using OAuth2 authentication. It triggers manually, sets data values, appends them to the sheet, and reads back the updated data, ideal for simple data entry automation with Google Sheets.</t>
  </si>
  <si>
    <t>MySQL Execution History Purge Workflow</t>
  </si>
  <si>
    <t>Automates deletion of MySQL n8n execution logs older than 30 days to maintain database performance. Utilizes n8n's Cron trigger and MySQL node with SQL DELETE queries. Useful for n8n users managing execution history retention.</t>
  </si>
  <si>
    <t>Mattermost Video Call Invite via Webhook</t>
  </si>
  <si>
    <t>This n8n workflow listens for POST requests via a webhook, extracts channel and user data, and sends a customized video call invite message through the Mattermost API, using dynamic URLs based on usernames. Useful for team communication automation.</t>
  </si>
  <si>
    <t>Dropbox File Fetch and List Workflow</t>
  </si>
  <si>
    <t>An n8n workflow automating Dropbox operations: fetching a folder, downloading a file from URL, uploading it to Dropbox, then listing folder contents. Utilizes Dropbox API and HTTP Request node to manage files programmatically.</t>
  </si>
  <si>
    <t>HelpScout Customer Created Trigger</t>
  </si>
  <si>
    <t>An n8n workflow that triggers on new customer creation events in HelpScout using the HelpScout OAuth2 API. It listens for 'customer.created' events via a webhook to automate updates or integrations when a new customer is added.</t>
  </si>
  <si>
    <t>HubSpot Contact Change Trigger</t>
  </si>
  <si>
    <t>Triggers workflows based on HubSpot CRM contact changes using HubSpot Developer API in n8n. Ideal for automations reacting to contact updates or creations via webhook integration.</t>
  </si>
  <si>
    <t>Automated Email Excuse Responder</t>
  </si>
  <si>
    <t>This n8n workflow automatically reads emails from a specific IMAP inbox, filters emails from a particular sender, generates randomized excuses using data from an Excel spreadsheet, replies to the sender via SMTP, and sends notifications to Slack channels. It integrates Email (IMAP/SMTP), Excel parsing, Slack API, and custom JavaScript logic to automate personalized email replies.</t>
  </si>
  <si>
    <t>Affinity List Creation Trigger</t>
  </si>
  <si>
    <t>An n8n workflow that triggers when a new list is created in Affinity CRM. It uses the Affinity API via a webhook to receive real-time updates, enabling automated responses to list creation events.</t>
  </si>
  <si>
    <t>Upload &amp; List Files in S3 Bucket</t>
  </si>
  <si>
    <t>Automates downloading a file via HTTP, uploading it to an Amazon S3 bucket, then retrieving and listing all files in that bucket using n8n's HTTP Request and S3 nodes.</t>
  </si>
  <si>
    <t>Save Random Cocktail Data as JSON File</t>
  </si>
  <si>
    <t>This n8n workflow fetches a random cocktail recipe from the CocktailDB API using an HTTP Request node, converts the JSON response to binary data, and writes it to a local JSON file named cocktail.json. Useful for drink recipe collection and automation.</t>
  </si>
  <si>
    <t>n8n Workflow Error Email Notifier</t>
  </si>
  <si>
    <t>An n8n workflow that triggers on workflow errors and sends detailed error reports via Gmail API. It captures error messages, execution details, and stack traces, emailing them to specified recipients to facilitate quick debugging and monitoring.</t>
  </si>
  <si>
    <t>Taiga Issue Create-Update-Get Workflow</t>
  </si>
  <si>
    <t>Automates issue management on Taiga using n8n nodes. It creates an issue, updates its description, and retrieves the issue details via Taiga Cloud API, triggered manually in n8n. Useful for project tracking automation.</t>
  </si>
  <si>
    <t>Periodic Google Sheets Sync</t>
  </si>
  <si>
    <t>Automates syncing data within the same Google Sheets document every 2 minutes using n8n's Cron trigger and Google Sheets API nodes. It reads data from a specified range and updates two sheet areas simultaneously, ensuring data consistency and automation.</t>
  </si>
  <si>
    <t>Wufoo Form Submission Trigger</t>
  </si>
  <si>
    <t>An n8n workflow that triggers an automation when a Wufoo form named 'n8n' is submitted. Uses Wufoo API webhook integration to receive real-time form submission data, enabling seamless triggering of further automations.</t>
  </si>
  <si>
    <t>Restore n8n Credentials from GitHub Backup</t>
  </si>
  <si>
    <t>An n8n workflow that automates restoration of instance credentials from GitHub repo backups using GitHub API and n8n API. It fetches credential JSON files from a specified GitHub repository path, converts them, and restores them into n8n for seamless credential recovery.</t>
  </si>
  <si>
    <t>Hubspot Contacts Export Trigger</t>
  </si>
  <si>
    <t>An n8n workflow that triggers manually to fetch all contacts from Hubspot CRM using the Hubspot API. Ideal for syncing or exporting contact data for further processing or analysis.</t>
  </si>
  <si>
    <t>Medium Publication Post Publisher</t>
  </si>
  <si>
    <t>An n8n workflow to publish posts directly to a Medium publication using the Medium API. Triggered manually, it streamlines content publishing by automating the posting process to a specified Medium publication.</t>
  </si>
  <si>
    <t>Fetch CircleCI Pipeline Data</t>
  </si>
  <si>
    <t>An n8n workflow to manually trigger and retrieve pipeline details from CircleCI using the CircleCI API. Ideal for developers and DevOps teams to automate CI/CD monitoring and integration tasks seamlessly.</t>
  </si>
  <si>
    <t>SMS Sending with MessageBird</t>
  </si>
  <si>
    <t>Automate SMS sending via MessageBird API using n8n. This workflow triggers manually and sends customizable SMS messages through the MessageBird node. Ideal for quick integration of SMS notifications in automation pipelines.</t>
  </si>
  <si>
    <t>Current Weather Fetch for a City</t>
  </si>
  <si>
    <t>Fetch current weather data for a specified city using n8n and OpenWeatherMap API. Triggered manually, it retrieves weather info like temperature, humidity for cities like Berlin. Useful for weather monitoring and integration workflows.</t>
  </si>
  <si>
    <t>Image Fetch and Dropbox Upload Zip</t>
  </si>
  <si>
    <t>An n8n workflow that downloads two images via HTTP requests, compresses them into a ZIP archive, and uploads the ZIP file to Dropbox. Utilizes n8n HTTP Request, Compression, and Dropbox nodes for efficient file handling and cloud storage automation.</t>
  </si>
  <si>
    <t>Post Message to RocketChat Channel</t>
  </si>
  <si>
    <t>An n8n workflow that posts a predefined message to a specified RocketChat channel using RocketChat API credentials. Triggered manually, it automates simple communication tasks in team chat using n8n's RocketChat node.</t>
  </si>
  <si>
    <t>Intercom New User Creation</t>
  </si>
  <si>
    <t>Automatically create a new user in Intercom via n8n workflow using Intercom API triggered manually. Enables seamless user onboarding and management through API integration.</t>
  </si>
  <si>
    <t>Send SMS Alert When Leaving Home</t>
  </si>
  <si>
    <t>Automates sending an SMS via Twilio whenever the Pushcut app triggers the "Leaving Home" action. Integrates Pushcut API for location-based triggers and Twilio API for messaging to notify a specified phone number in real-time.</t>
  </si>
  <si>
    <t>Stackby Data Insert and Retrieve</t>
  </si>
  <si>
    <t>An n8n workflow that inserts a record with ID and Name into a Stackby table and then lists all records. It uses n8n's manual trigger, Set node for data setting, and Stackby API to manage table data seamlessly.</t>
  </si>
  <si>
    <t>Website Availability &amp; Metadata Checker</t>
  </si>
  <si>
    <t>An n8n workflow that checks if a given website URL is available using Peekalink API, then fetches detailed metadata if available. Useful for monitoring website status and extracting info. Implements manual trigger, conditional logic, and Peekalink API integration.</t>
  </si>
  <si>
    <t>Strava Activity Management Workflow</t>
  </si>
  <si>
    <t>An n8n workflow that connects to Strava API using OAuth2 to create, update, and retrieve running activity data. Automates managing Strava activities by creating a run, updating its description, and then fetching its details.</t>
  </si>
  <si>
    <t>Emelia Campaign &amp; Contact Management</t>
  </si>
  <si>
    <t>An n8n workflow using Emelia API to create an email campaign, add a contact to it with name and email, and retrieve campaign info. Automates email marketing campaign setup and contact management using Emelia API within n8n.</t>
  </si>
  <si>
    <t>Agile CRM Contact Creation</t>
  </si>
  <si>
    <t>Automates creation of new contacts in Agile CRM using n8n's manual trigger and Agile CRM API integration. Enables users to add contacts with basic info efficiently, streamlining CRM management without coding.</t>
  </si>
  <si>
    <t>ISS Position Updates to Kafka Every Minute</t>
  </si>
  <si>
    <t>This n8n workflow fetches the International Space Station’s current position every minute using the public 'wheretheiss.at' API, processes the latitude and longitude data, and publishes updates to a Kafka topic 'iss-position'. Tech stack: n8n, HTTP Request, Cron, Kafka nodes.</t>
  </si>
  <si>
    <t>Autopilot Email List &amp; Contact Management</t>
  </si>
  <si>
    <t>An n8n workflow using Autopilot API to list email lists, add contacts to lists, update contact details, and retrieve all contacts from a list. Automates email marketing list and contact management with step-by-step Autopilot API integration.</t>
  </si>
  <si>
    <t>Wise Transfer Automation Workflow</t>
  </si>
  <si>
    <t>An n8n workflow automating Wise money transfers: it creates a quote, then a transfer, executes it, and retrieves transfer details using Wise API credentials. Useful for automating EUR currency transfers with a preset profile and target account.</t>
  </si>
  <si>
    <t>Zammad User Role Reset to Default</t>
  </si>
  <si>
    <t>This n8n workflow automates resetting all users' roles in Zammad ticketing system to default values via Zammad API, using HTTP requests and manual triggers with role and user data processing in JavaScript expressions.</t>
  </si>
  <si>
    <t>Baserow Markdown to HTML Converter</t>
  </si>
  <si>
    <t>An n8n workflow that converts video description data stored as Markdown in Baserow databases into HTML format. It supports single or bulk record updates and uses Baserow API with n8n's Markdown node for conversion.</t>
  </si>
  <si>
    <t>Bitrix24 Chatbot with Webhook Integration</t>
  </si>
  <si>
    <t>An n8n workflow implementing a Bitrix24 chatbot using webhook to handle events like messages, joins, installs, and deletes. Utilizes Bitrix24 REST API for bot registration and message sending with token validation to enable interactive communication within Bitrix24 chats.</t>
  </si>
  <si>
    <t>Humantic AI Profile Management Workflow</t>
  </si>
  <si>
    <t>An n8n workflow integrating Humantic AI API to create, update, and retrieve LinkedIn-based user personality profiles. Utilizes manual triggers, Humantic AI nodes, and HTTP requests to automate profile handling and enhancement.</t>
  </si>
  <si>
    <t>License Plate Number Extractor from Image</t>
  </si>
  <si>
    <t>An n8n workflow that extracts license plate numbers from uploaded car images using OpenRouter's GPT-4o model within LangChain. Users upload an image via a form, and the AI processes the image prompt to return the license plate text, automating vehicle identification.</t>
  </si>
  <si>
    <t>Scheduled URL Pinger</t>
  </si>
  <si>
    <t>An n8n workflow that pings a predefined list of URLs every 15 minutes using HTTP requests. It uses Schedule Trigger to automate, Set node for URL list, Split Out to iterate, and HTTP Request node to check each URL status.</t>
  </si>
  <si>
    <t>Send Message in Lark Suite via API</t>
  </si>
  <si>
    <t>Automates sending text messages in Larksuite chats using Larksuite Open API. Uses HTTP requests to obtain tenant access token and send messages. Includes manual trigger and environment input setup for app_id, app_secret, chat_id, and message text.</t>
  </si>
  <si>
    <t>Icypeas Domain Search Automation</t>
  </si>
  <si>
    <t>Automates single domain/company scans using Icypeas API. Utilizes HTTP POST requests with API key, secret, and user ID authentication via custom HMAC-SHA1 signature generated in n8n code node.</t>
  </si>
  <si>
    <t>Telegram Echo Bot for Debugging</t>
  </si>
  <si>
    <t>An n8n workflow that listens to all Telegram bot messages and echoes back the full JSON content to the sender. Utilizes Telegram API triggers and message nodes, ideal for debugging Telegram bot incoming data and learning the Telegram JSON structure.</t>
  </si>
  <si>
    <t>AMQP Trigger for ActiveMQ Queue</t>
  </si>
  <si>
    <t>An n8n workflow with an AMQP Trigger node that listens and receives messages from an ActiveMQ queue using the AMQP protocol. Useful for integrating messaging systems in automation workflows. Utilizes n8n's AMQP node to connect and trigger on message arrival.</t>
  </si>
  <si>
    <t>CSV Concert Data to MySQL Importer</t>
  </si>
  <si>
    <t>Automates importing concert data from a local CSV file into a MySQL database using n8n. Utilizes n8n core nodes: Manual Trigger, Read Binary File, Spreadsheet File, and MySQL node to parse CSV and insert records into the 'concerts_2023_csv' table.</t>
  </si>
  <si>
    <t>Retell Dynamic Variable Populator</t>
  </si>
  <si>
    <t>An n8n workflow that handles Retell AI inbound call webhooks. It uses a POST webhook filtered by IP, fetches user data from Google Sheets by phone number, and returns dynamic variables for Retell voice agents. Uses Google Sheets API and webhook nodes.</t>
  </si>
  <si>
    <t>n8n GitHub Release Notifier</t>
  </si>
  <si>
    <t>Automates monitoring of n8n GitHub releases via RSS, filters new releases published within last 4 hours mentioning 'n8n@' and '.0', then sends notifications via Telegram and AWS SES email. Uses n8n nodes: Cron, RSS Feed Read, Function, IF, Telegram API, AWS SES.</t>
  </si>
  <si>
    <t>Email Body Parser Workflow</t>
  </si>
  <si>
    <t>An n8n workflow that extracts structured data from raw email bodies by parsing labeled fields using a custom JavaScript snippet. It uses n8n's Manual Trigger, Set, and FunctionItem nodes to process emails with labels like Name, Email, Subject, and Message.</t>
  </si>
  <si>
    <t>Freshdesk Ticket Fetcher by Email</t>
  </si>
  <si>
    <t>An n8n workflow that fetches open Freshdesk tickets for a requester based on their email. Uses Freshdesk API integrated into n8n with a manual trigger to initiate the process. Ideal for customer support automation and ticket management.</t>
  </si>
  <si>
    <t>Mautic Contacts Fetcher</t>
  </si>
  <si>
    <t>An n8n workflow that fetches all contacts from Mautic CRM using OAuth2 authentication. Triggered manually, it connects n8n with Mautic API to retrieve contact data for marketing automation workflows.</t>
  </si>
  <si>
    <t>Multi-Source RSS Feed Reader</t>
  </si>
  <si>
    <t>An n8n workflow that reads RSS feeds from two sources (Medium and Dev.to) using built-in RSS Feed Read node, triggered manually and looped over URLs defined in a JavaScript Code node for scalable feed retrieval.</t>
  </si>
  <si>
    <t>Trello Card Creation Workflow</t>
  </si>
  <si>
    <t>Automates creating a new card in Trello using n8n's manual trigger node and Trello API integration. Triggered manually, it adds a card with defined title and description to a Trello list. Useful for task automation within Trello boards.</t>
  </si>
  <si>
    <t>Trello List Change Updates Listener</t>
  </si>
  <si>
    <t>An n8n workflow that triggers on changes in a specified Trello list using the Trello API, enabling automation based on Trello list updates. Ideal for task and project management notifications.</t>
  </si>
  <si>
    <t>TOTP Code Generator Workflow in n8n</t>
  </si>
  <si>
    <t>An n8n workflow automating Time-Based One-Time Password (TOTP) generation using the built-in TOTP node with configured TOTP credentials. Triggered manually, it produces secure, time-sensitive codes for multi-factor authentication setups.</t>
  </si>
  <si>
    <t>Used Car Sale Price Estimation Bot</t>
  </si>
  <si>
    <t>Automates used car price estimation via web interaction with Peddle.com. Uses Airtop API for browser automation including session management, clicks, typing, screenshots, and AI-driven page analysis to extract offer prices from the site in a dynamic workflow.</t>
  </si>
  <si>
    <t>Seatable Webhook HMAC SHA256 Validator</t>
  </si>
  <si>
    <t>An n8n workflow to securely validate Seatable webhooks using HMAC SHA256 authentication. It verifies webhook payloads by hashing with a shared secret, comparing to x-seatable-signature header, then conditionally responding with 200 OK or 403 Forbidden. Uses n8n Webhook and Crypto nodes.</t>
  </si>
  <si>
    <t>Upload and Rename Video on Google Drive</t>
  </si>
  <si>
    <t>Automates video uploading via a Google Apps Script web app and renames the file in Google Drive. Uses n8n with HTTP Request node to post video URL to Google Script, and Google Drive node to update file name. Ideal for streamlining video management.</t>
  </si>
  <si>
    <t>Icypeas Email Search Automation</t>
  </si>
  <si>
    <t>Automates performing single email searches using the Icypeas API via n8n. Utilizes API key, secret, and user ID for authentication, generates HMAC signatures, and executes secured HTTP POST requests to fetch email data based on lastname, firstname, and company/domain inputs.</t>
  </si>
  <si>
    <t>n8n v1 Upgrade Expression Checker</t>
  </si>
  <si>
    <t>An n8n workflow to scan active workflows for parameters using expressions affected by n8n v1 changes. Utilizes n8n API and custom JavaScript code to identify impacted expressions like beginningOf, endOfMonth, plus, minus, helping ensure workflow stability post-upgrade.</t>
  </si>
  <si>
    <t>Dataset Comparison with n8n</t>
  </si>
  <si>
    <t>An n8n workflow to compare two datasets of fruit attributes using the built-in Compare Datasets node, triggered manually. Utilizes JavaScript code nodes to supply datasets and analyzes differences and matches. Useful for data reconciliation and validation tasks.</t>
  </si>
  <si>
    <t>US Phone Number Formatter</t>
  </si>
  <si>
    <t>An n8n workflow that cleans, validates, and formats US phone numbers. It strips input formatting, verifies country code and number length, and outputs several standardized formats (E.164, national, international). Uses n8n nodes without external APIs.</t>
  </si>
  <si>
    <t>Reddit n8n Post Classifier</t>
  </si>
  <si>
    <t>n8n workflow that fetches recent Reddit posts about 'n8n', filters by upvotes and date, classifies relevance using OpenAI, and summarizes content. Integrates Reddit API and OpenAI. Useful for monitoring community discussions about n8n.</t>
  </si>
  <si>
    <t>Dub.co URL Shortener Workflow</t>
  </si>
  <si>
    <t>An n8n workflow automating URL shortening via the Dub.co API. It creates or updates short links using Dub.co's REST API with customizable slugs, domains, and project slugs. Includes manual triggering and HTTP request nodes for seamless link management.</t>
  </si>
  <si>
    <t>Nostr Damus Hashtag AI Analytics</t>
  </si>
  <si>
    <t>Automated social media analytics that monitors Nostr's #damus hashtag, uses Google Gemini AI to analyze themes and generate reports, then sends insights via Gmail and Telegram. Tech: Nostr API, Google Gemini AI, Gmail, Telegram. Perfect for tracking decentralized social trends.</t>
  </si>
  <si>
    <t>n8n Mattermost Startup Notification</t>
  </si>
  <si>
    <t>This n8n workflow sends a Mattermost message notification when the n8n instance starts. It uses the n8n trigger node to detect the init event and the Mattermost node to post a message including the startup timestamp, leveraging Mattermost API for team communication.</t>
  </si>
  <si>
    <t>FileMaker Record Create-Edit-Get Workflow</t>
  </si>
  <si>
    <t>An n8n workflow automating data handling in FileMaker: creates a record with first and last name, edits the record to add a country field, then retrieves the record. Uses FileMaker API and manual trigger for process start.</t>
  </si>
  <si>
    <t>Standup Bot Initialization Workflow</t>
  </si>
  <si>
    <t>An n8n workflow to initialize Standup Bot configuration for Mattermost integration, setting default tokens and URLs, converting JSON config to binary and saving it. Uses n8n core nodes and works with Mattermost API for bot setup.</t>
  </si>
  <si>
    <t>ActiveCampaign Admin Account Add Alert</t>
  </si>
  <si>
    <t>An n8n workflow that triggers real-time notifications when an admin adds a new account in ActiveCampaign using the ActiveCampaign Trigger node. Enables seamless monitoring of account creations via the ActiveCampaign API.</t>
  </si>
  <si>
    <t>Create Deal in Pipedrive CRM</t>
  </si>
  <si>
    <t>n8n workflow to manually create a new deal in Pipedrive CRM using the Pipedrive API. Triggered manually to add deal info seamlessly to Pipedrive for sales pipeline management.</t>
  </si>
  <si>
    <t>Webhook JSON to XML Converter</t>
  </si>
  <si>
    <t>An n8n workflow that listens on a webhook, sets static JSON data, converts it to XML format using the XML node, and responds with XML content. Useful for converting JSON to XML via HTTP requests.</t>
  </si>
  <si>
    <t>Harvest Client Creation Workflow</t>
  </si>
  <si>
    <t>Automates client creation in Harvest using n8n workflow with the Harvest API and manual trigger. Simplifies adding new clients to Harvest time tracking software without manual input.</t>
  </si>
  <si>
    <t>Batch Post Customer Data via HTTP</t>
  </si>
  <si>
    <t>An n8n workflow that retrieves all customer records from a datastore, processes them one-by-one in batches, and sends each record as a POST request to a public JSON placeholder API. Uses n8n core nodes: Manual Trigger, Customer Datastore, SplitInBatches, HTTP Request, and Wait for pacing.</t>
  </si>
  <si>
    <t>Zulip Private Message Sender</t>
  </si>
  <si>
    <t>Automates sending private messages on Zulip using n8n workflow with manual trigger and Zulip API integration. Ideal for quick, programmable direct messaging within Zulip chat environments.</t>
  </si>
  <si>
    <t>Create User Profile in Vero</t>
  </si>
  <si>
    <t>Automates creation of user profiles in Vero via API using n8n workflow with a manual trigger and Vero node integration. Ideal for marketers managing customer engagement through Vero's platform.</t>
  </si>
  <si>
    <t>Retrieve All Tasks from Flow App</t>
  </si>
  <si>
    <t>An n8n workflow to fetch all tasks from the Flow API using a manual trigger. Enables easy task management automation by connecting n8n with Flow's task system through its API.</t>
  </si>
  <si>
    <t>Customer Data Fetch &amp; Forward Workflow</t>
  </si>
  <si>
    <t>An n8n workflow that retrieves all customer records from a custom datastore using n8nTrainingCustomerDatastore node, authenticates with an API key set manually, and posts each customer's name to a specified webhook URL via HTTP POST requests. Designed for easy triggering and API integration.</t>
  </si>
  <si>
    <t>Flow Task Updates Receiver</t>
  </si>
  <si>
    <t>An n8n workflow using the Flow Trigger node to receive real-time updates for specified tasks via the Flow API. It enables automation based on task changes, suitable for integrations and monitoring task progress.</t>
  </si>
  <si>
    <t>Email Domain Extractor</t>
  </si>
  <si>
    <t>An n8n workflow that extracts the domain name from a given email address using built-in nodes: Manual Trigger, Set (to input sample email), and Function (to process and extract domain). Helps automate email parsing tasks.</t>
  </si>
  <si>
    <t>German Word Synonym Finder</t>
  </si>
  <si>
    <t>An n8n workflow that retrieves synonyms for German words using the OpenThesaurus API. Triggered manually, it helps users find alternative German terms quickly, leveraging n8n's manual trigger and OpenThesaurus integration for language enrichment tasks.</t>
  </si>
  <si>
    <t>Webhook Reception and Adobe Sign Data Extraction</t>
  </si>
  <si>
    <t>An n8n workflow that sets up POST and GET webhooks to receive requests, extracts Adobe Sign client ID from headers, processes the response to retrieve agreement details (ID, participants, status) using JavaScript Function and Set nodes. Uses n8n webhook nodes and custom code.</t>
  </si>
  <si>
    <t>Bubble API Data Fetcher</t>
  </si>
  <si>
    <t>An n8n workflow that triggers a manual execution to fetch user data from Bubble.io's REST API using HTTP Header Authentication. Useful for integrating Bubble app data into automated processes.</t>
  </si>
  <si>
    <t>Download and Save File to Host</t>
  </si>
  <si>
    <t>An n8n workflow that downloads an image from a URL using HTTP Request node and saves it locally using Write Binary File node, triggered manually. Useful for automating file retrieval and storage on local machines.</t>
  </si>
  <si>
    <t>QuestDB Table Creation &amp; Data Insertion</t>
  </si>
  <si>
    <t>An n8n workflow that creates a table and inserts data into QuestDB using manual trigger, Set node, and QuestDB node for SQL execution and data insertion.</t>
  </si>
  <si>
    <t>Download and Split Binary Files Workflow</t>
  </si>
  <si>
    <t>An n8n workflow that downloads a ZIP file via HTTP request, decompresses it, and splits the contained binary files into individual items. Uses HTTP Request, Compression, and Function nodes. Ideal for processing bulk file archives automatically.</t>
  </si>
  <si>
    <t>Date &amp; Time Manipulation Tutorial</t>
  </si>
  <si>
    <t>An n8n workflow demonstrating date-time operations using n8n DateTime and Set nodes with Luxon expressions. It shows how to calculate, format, and convert dates for automation purposes without external APIs.</t>
  </si>
  <si>
    <t>n8n Workflow Connection Integrity Checker</t>
  </si>
  <si>
    <t>This n8n workflow identifies potentially broken multi-output node connections caused by version 0.214.3 upgrade issues. Using the n8n API, code logic, and a webhook, it scans all workflows, detects affected nodes, and serves an HTML report listing them for manual inspection.</t>
  </si>
  <si>
    <t>Download PDF via Webhook</t>
  </si>
  <si>
    <t>This n8n workflow sets up a webhook that, upon an HTTP GET request, downloads a specific PDF file from Deutsche Bahn's website using HTTP Request node and responds with the PDF as an attachment, leveraging n8n's webhook and HTTP request capabilities.</t>
  </si>
  <si>
    <t>Send Message on Twake</t>
  </si>
  <si>
    <t>Automates sending messages to a Twake channel using the Twake API. Triggered manually via n8n, it posts content into specified channels, ideal for team communication integration and workflow automation.</t>
  </si>
  <si>
    <t>n8n Error Trigger Webhook Extractor</t>
  </si>
  <si>
    <t>This n8n workflow uses the Error Trigger node to catch errors, then calls n8n's internal API to get execution details, and runs custom JavaScript to extract webhook payload data from the workflow execution. It automates error context retrieval using n8n API and JavaScript.</t>
  </si>
  <si>
    <t>Manual PayPal Payment Trigger</t>
  </si>
  <si>
    <t>An n8n workflow that triggers a PayPal payout using a manual trigger node and the PayPal API. It enables sending payments programmatically with minimal setup, ideal for automating payout processes using n8n's built-in PayPal integration.</t>
  </si>
  <si>
    <t>SIGNL4 Alert Notification Trigger</t>
  </si>
  <si>
    <t>This n8n workflow sends a test alert message to the SIGNL4 incident alerting service via its API when manually triggered. It uses n8n's Manual Trigger node linked to the SIGNL4 node for sending alerts with customizable titles and messages.</t>
  </si>
  <si>
    <t>PayPal Billing Plan Activation Trigger</t>
  </si>
  <si>
    <t>n8n workflow using PayPal API webhook to receive real-time updates when a billing plan is activated in PayPal accounts. Useful for automating billing processes and integrations.</t>
  </si>
  <si>
    <t>AWS SNS Trigger Listener</t>
  </si>
  <si>
    <t>An n8n workflow that triggers on AWS SNS topic events using AWS SNS Trigger node. Utilizes AWS SNS API for real-time event-driven automation. Ideal for integrating AWS notifications with other automation tasks.</t>
  </si>
  <si>
    <t>Manual Trigger to AWS Lambda Call</t>
  </si>
  <si>
    <t>An n8n workflow that triggers an AWS Lambda function via manual execution. It connects a manual trigger node to an AWS Lambda node using AWS credentials to call a specific Lambda ARN, enabling simple serverless function invocation within automation.</t>
  </si>
  <si>
    <t>Fetch Facebook User Name via API</t>
  </si>
  <si>
    <t>An n8n workflow that retrieves the first and last name of a Facebook user using the Facebook Graph API. Initiated manually, it integrates n8n automation with Facebook API credentials to fetch user profile data efficiently.</t>
  </si>
  <si>
    <t>Download Google Drive File to Local</t>
  </si>
  <si>
    <t>An n8n workflow that downloads a specific file from Google Drive using Google API with service account credentials and saves it locally as a binary file. Triggered manually to automate file retrieval and storage.</t>
  </si>
  <si>
    <t>Cockpit CMS Data Fetch Trigger</t>
  </si>
  <si>
    <t>n8n workflow that triggers manually to fetch data from Cockpit CMS using Cockpit API. Designed for easy retrieval of content from a 'samplecollection' collection in Cockpit for further automation or processing.</t>
  </si>
  <si>
    <t>Manual Triggered Email via Mailjet</t>
  </si>
  <si>
    <t>An n8n workflow sending test emails using Mailjet API upon manual trigger. It demonstrates basic email dispatch with parameters for subject, message, sender, and recipient using the Mailjet credential setup.</t>
  </si>
  <si>
    <t>Mailjet Email Sent Event Trigger</t>
  </si>
  <si>
    <t>An n8n workflow that listens for 'sent' email events via Mailjet's API using the Mailjet Trigger node, enabling automation based on outgoing emails processed through Mailjet.</t>
  </si>
  <si>
    <t>GitLab Repository Event Trigger</t>
  </si>
  <si>
    <t>An n8n workflow that triggers automation on any event within the 'n8n-docs' GitLab repository using GitLab API webhooks. It listens to all repository events and requires GitLab API credentials for seamless integration.</t>
  </si>
  <si>
    <t>Bitbucket Repo Push Trigger</t>
  </si>
  <si>
    <t>An n8n workflow with Bitbucket Trigger node that activates upon repository push events. It uses Bitbucket API credentials to listen for 'repo:push' events on a specific repo named 'test', enabling automation workflows on code pushes.</t>
  </si>
  <si>
    <t>Acuity Appointment Scheduled Trigger</t>
  </si>
  <si>
    <t>An n8n workflow that triggers automation when an appointment is scheduled in Acuity Scheduling using its API. It listens for 'appointment.scheduled' events via webhook to initiate further actions.</t>
  </si>
  <si>
    <t>Clockify Time Tracking Trigger</t>
  </si>
  <si>
    <t>An n8n workflow that triggers every minute using the Clockify API to monitor time entries in a specific workspace. Ideal for automating time tracking data capture and workflow integration using Clockify and n8n's native trigger node.</t>
  </si>
  <si>
    <t>Copper CRM Project Trigger</t>
  </si>
  <si>
    <t>An n8n workflow that triggers actions when new projects are created in Copper CRM using the Copper API. Ideal for automating workflows based on project creation events within Copper.</t>
  </si>
  <si>
    <t>Trigger Rundeck Job Manually</t>
  </si>
  <si>
    <t>An n8n workflow that triggers a Rundeck job manually using the manual trigger node and Rundeck API integration. It automates execution of predefined Rundeck jobs by leveraging n8n's Rundeck node and API credentials for job orchestration.</t>
  </si>
  <si>
    <t>JotForm Submission Trigger</t>
  </si>
  <si>
    <t>An n8n workflow that triggers on new JotForm submissions via JotForm API webhook, automating follow-up actions upon form completion.</t>
  </si>
  <si>
    <t>Bannerbear Image Generator Triggered Manually</t>
  </si>
  <si>
    <t>An n8n workflow that manually triggers image generation using Bannerbear API. It customizes a template with text and color modifications and waits for the image to be created. Ideal for automated graphic content creation with Bannerbear integration.</t>
  </si>
  <si>
    <t>Keap Contact Retrieval Workflow</t>
  </si>
  <si>
    <t>An n8n workflow triggered manually to fetch all contacts from Keap (Infusionsoft) CRM using its OAuth2 API. Enables easy integration and automation of contact data retrieval for business CRM tasks.</t>
  </si>
  <si>
    <t>Keap Contact Add Trigger</t>
  </si>
  <si>
    <t>An n8n workflow that triggers on new contact additions in Keap CRM using its webhook API. It listens for 'contact.add' events via Keap OAuth2 credentials, enabling automated actions immediately after a new contact is created.</t>
  </si>
  <si>
    <t>CocktailDB JSON to XML Converter</t>
  </si>
  <si>
    <t>This n8n workflow fetches a random cocktail recipe from the CocktailDB API and converts the JSON response into XML format using n8n's HTTP Request and XML nodes. Useful for data format transformations and API integrations.</t>
  </si>
  <si>
    <t>Box Folder Event Trigger</t>
  </si>
  <si>
    <t>An n8n workflow using Box API to trigger automation on folder events like move or download within Box cloud storage using OAuth2 authentication.</t>
  </si>
  <si>
    <t>OneDrive Folder Creator Triggered Manually</t>
  </si>
  <si>
    <t>This n8n workflow creates a folder named 'n8n-rocks' in Microsoft OneDrive upon manual execution. It uses n8n's manual trigger and authenticates via Microsoft OneDrive OAuth2 API to automate folder creation in the cloud storage.</t>
  </si>
  <si>
    <t>Manual Trigger to Send Mandrill Email</t>
  </si>
  <si>
    <t>An n8n workflow that sends a templated email via Mandrill when manually triggered. Utilizes Mandrill API for email delivery. Ideal for testing or sending instant notification emails using customizable templates.</t>
  </si>
  <si>
    <t>Image Fetch and Info Extraction</t>
  </si>
  <si>
    <t>Automates fetching a random image from Picsum.photos and extracting image info using n8n's HTTP Request and Edit Image nodes. Ideal for workflows requiring quick image data retrieval and processing without coding.</t>
  </si>
  <si>
    <t>PDF Text Extractor from Local File</t>
  </si>
  <si>
    <t>An n8n workflow that triggers manually to read a PDF file stored locally (/data/pdf.pdf) using built-in nodes: Manual Trigger, Read Binary File, and Read PDF. Extracts and outputs text content from a PDF for further automation or processing.</t>
  </si>
  <si>
    <t>CrateDB Table Create &amp; Insert Demo</t>
  </si>
  <si>
    <t>An n8n workflow demonstrating CrateDB integration: it creates a table, inserts a record with id and name, and retrieves the data. Utilizes manual trigger, CrateDB node for SQL operations, and data setting within n8n.</t>
  </si>
  <si>
    <t>Postgres Table Setup and Data Retrieval</t>
  </si>
  <si>
    <t>An n8n workflow automating creation of a PostgreSQL table, setting sample data, and retrieving this data. Uses PostgreSQL node with manual trigger and set node for data insertion and fetch, ideal for database initialization and testing.</t>
  </si>
  <si>
    <t>Wekan Board and Card Automation</t>
  </si>
  <si>
    <t>Automates creation of a Wekan board with 'To Do' and 'Done' lists, adds a card in 'To Do', then moves it to 'Done'. Uses n8n workflow with Wekan API to streamline task management board setup and card handling.</t>
  </si>
  <si>
    <t>File List Processor and Logger</t>
  </si>
  <si>
    <t>An n8n workflow that reads a text file containing filenames, splits them into an array, and sequentially logs each filename to an output file. Utilizes n8n's Read Binary File, Function, Execute Command, and IF nodes to automate file processing and command execution on Linux.</t>
  </si>
  <si>
    <t>Send SMS via sms77 API</t>
  </si>
  <si>
    <t>An n8n workflow that sends SMS messages using the sms77 API. It triggers manually and sends a customizable text message through the sms77 integration. Ideal for quick SMS notifications or alerts, leveraging n8n automation capabilities.</t>
  </si>
  <si>
    <t>English to German Text Translator</t>
  </si>
  <si>
    <t>An n8n workflow that uses Google Translate API via OAuth2 to translate fixed English text into German on manual trigger. Ideal for automating simple language translation tasks using Google Translate within n8n.</t>
  </si>
  <si>
    <t>Discourse Post Create-Update-Get Workflow</t>
  </si>
  <si>
    <t>n8n workflow automates Discourse forum interaction by creating a post, updating it, and retrieving the updated post using Discourse API nodes triggered manually. Ideal for managing forum content programmatically via the Discourse API.</t>
  </si>
  <si>
    <t>Create Organization in Affinity CRM</t>
  </si>
  <si>
    <t>Automates organization creation in Affinity CRM via API using n8n's manual trigger and Affinity node. Enables quick setup of new organizations in Affinity for relationship intelligence and pipeline management.</t>
  </si>
  <si>
    <t>Batch Processing Loop with Manual Trigger</t>
  </si>
  <si>
    <t>An n8n workflow that creates 10 items via a JavaScript function, processes them one by one in batches, and uses a conditional check to detect when all items are processed. Utilizes n8n nodes: Manual Trigger, Function, SplitInBatches, and IF node to control flow.</t>
  </si>
  <si>
    <t>Disqus Forum Details Fetcher</t>
  </si>
  <si>
    <t>An n8n workflow to retrieve detailed information about a Disqus forum using the Disqus API. Triggered manually, it fetches data for a specified forum ID (e.g., 'hackernoon') to help users monitor forum stats easily.</t>
  </si>
  <si>
    <t>FileMaker Contacts Data Extraction</t>
  </si>
  <si>
    <t>An n8n workflow extracting and processing contacts data from FileMaker Data API. It uses FileMaker Data API simulated responses and n8n nodes to parse and return detailed contact info in JSON, suitable for automation and data integration tasks.</t>
  </si>
  <si>
    <t>Extract PDF Pages from URL</t>
  </si>
  <si>
    <t>Workflow that downloads a PDF from a specified URL using HTTP Request and extracts specific pages (2-3) with a custom PDF toolkit node. Utilizes n8n's manual trigger, HTTP Request node, and a custom-js PDF extraction tool for selective page extraction.</t>
  </si>
  <si>
    <t>Merge Multiple Data Runs into One Workflow</t>
  </si>
  <si>
    <t>An n8n workflow to retrieve all customer records from a datastore, process them in batches with delay, and merge all batch outputs into a single consolidated dataset. Utilizes n8n nodes: Manual Trigger, Custom Customer Datastore API, SplitInBatches, Wait, NoOp, If, and Code node for aggregation.</t>
  </si>
  <si>
    <t>Fictional Country Capitals Chatbot</t>
  </si>
  <si>
    <t>An n8n workflow integrating OpenAI Langchain nodes to create a chat assistant that returns capitals of fictional countries like Wakanda or Narnia. Uses OpenAI API for chat, JavaScript code nodes for data mapping, and conditional logic to handle queries or list countries.</t>
  </si>
  <si>
    <t>JSON File Creator from Data Object</t>
  </si>
  <si>
    <t>This n8n workflow generates example JSON data, converts it to a binary buffer, encodes it in base64, and writes it to a local JSON file using built-in function and file nodes. Useful for simple data export automation without external APIs.</t>
  </si>
  <si>
    <t>Standup Bot Config Reader</t>
  </si>
  <si>
    <t>n8n workflow that reads a JSON configuration file for a Standup Bot from the local filesystem and converts it to JSON format for further processing. Uses n8n's File and Move Binary Data nodes to trigger and handle config data reading and parsing.</t>
  </si>
  <si>
    <t>Twitter Auto Poster with Loop Control</t>
  </si>
  <si>
    <t>This n8n workflow posts "Hello from n8n!" to Twitter using Twitter OAuth1 API credentials. It triggers manually, then loops posting tweets until the run count reaches 4, controlled by an IF node. Includes a NoOp node for alternate flow.</t>
  </si>
  <si>
    <t>Standup Bot Config Override</t>
  </si>
  <si>
    <t>An n8n workflow to manually update and save the Standup Bot configuration by converting JSON to binary and writing it to a local file. Utilizes n8n built-in nodes: Manual Trigger, Move Binary Data, and Write Binary File.</t>
  </si>
  <si>
    <t>Simple HTML Response Webhook</t>
  </si>
  <si>
    <t>An n8n workflow that creates a webhook endpoint (/my-form) which responds with a static HTML page styled using Bootstrap 5. It uses n8n's Webhook and Respond to Webhook nodes to deliver a basic "Hello, world!" webpage upon HTTP request.</t>
  </si>
  <si>
    <t>Conditional Close Date Setter</t>
  </si>
  <si>
    <t>n8n workflow to set or validate a 'Close Date'. Uses manual trigger, regex check, and date handling to either retain an original fixed date or update it to 3 weeks from today. Employs built-in n8n nodes only, for date automation tasks.</t>
  </si>
  <si>
    <t>Get Today's Date and Weekday</t>
  </si>
  <si>
    <t>An n8n workflow using a Manual Trigger and Function node to output the current ISO date and weekday name in JavaScript. Useful for initiating date-based automation or logging within n8n without external API calls.</t>
  </si>
  <si>
    <t>Sum USD Amounts from Mock Data</t>
  </si>
  <si>
    <t>An n8n workflow that sums USD amounts from mocked JSON data using Function nodes. It manually triggers, generates sample amounts, and calculates their total. Utilizes n8n core nodes without external APIs. Ideal for simple data aggregation demonstrations.</t>
  </si>
  <si>
    <t>Command Output Parsing and Conditional Check</t>
  </si>
  <si>
    <t>An n8n workflow that executes a shell command returning JSON, parses the output, transforms it into flow data, and conditionally branches using an IF node based on parsed boolean value. Utilizes Execute Command, Function Item, and IF nodes.</t>
  </si>
  <si>
    <t>Quickstart Demo: Customer Data Fetch &amp; Format</t>
  </si>
  <si>
    <t>An introductory n8n workflow demonstrating how to fetch fake customer data from the n8nTrainingCustomerDatastore node, then transform and map it into cleaner fields using the Set node. Uses manual trigger for testing. Great for beginners learning API data extraction and manipulation.</t>
  </si>
  <si>
    <t>Simple API Endpoint for Google Search URL</t>
  </si>
  <si>
    <t>Creates a lightweight API using n8n with Webhook and Respond to Webhook nodes that generates a Google search URL from query parameters (first and last names). Perfect for beginners learning to create API endpoints. Tech stack: n8n workflow, HTTP webhook.</t>
  </si>
  <si>
    <t>Fetch and Count Customers from n8n Training DB</t>
  </si>
  <si>
    <t>This n8n workflow manually triggers retrieval of all customer records from the n8n Training Customer Datastore using the built-in n8nTrainingCustomerDatastore node, then counts the total number of customers. Ideal for simple database fetch and count automation within n8n.</t>
  </si>
  <si>
    <t>Scheduled Discord Meme Poster</t>
  </si>
  <si>
    <t>An n8n workflow that automates posting memes to Discord channels using Discord Webhooks, triggered by cron schedules set for specific weekdays and intervals. It leverages n8n's Cron and Discord nodes to send customized memes on Wednesdays, Fridays, and every 30 minutes.</t>
  </si>
  <si>
    <t>Discord Message Sender</t>
  </si>
  <si>
    <t>Simple n8n workflow sending a 'Hello World!' message to a Discord channel via webhook API. Triggered manually, it demonstrates basic Discord integration using n8n's built-in Discord node and webhook URI.</t>
  </si>
  <si>
    <t>Simple XML to JSON Conversion</t>
  </si>
  <si>
    <t>An n8n workflow that converts a hardcoded XML string to JSON format using the built-in XML node. Ideal for learning XML parsing in n8n. Uses n8n core nodes: Manual Trigger, Set, and XML parsing nodes.</t>
  </si>
  <si>
    <t>Manual Trigger to Postgres Data Fetch</t>
  </si>
  <si>
    <t>Workflow triggered manually to execute a SELECT query on a PostgreSQL database using n8n's Postgres node, retrieving all records from a specified table. Useful for simple database querying and testing integrations.</t>
  </si>
  <si>
    <t>AWS SNS Test Message Sender</t>
  </si>
  <si>
    <t>An n8n workflow that sends a test message to an AWS SNS topic using a manual trigger. It integrates n8n with AWS SNS API to automate notification sending for testing or alerting purposes.</t>
  </si>
  <si>
    <t>Manual Trigger MongoDB Data Inserter</t>
  </si>
  <si>
    <t>An n8n workflow triggered manually to insert predefined key-value data into a MongoDB collection. Utilizes n8n's Manual Trigger, Set, and MongoDB nodes for simple data insertion tasks.</t>
  </si>
  <si>
    <t>Simple Email Sender via Mailgun</t>
  </si>
  <si>
    <t>An n8n workflow that sends an email using the Mailgun API triggered manually. It includes a manual trigger node and a Mailgun node to dispatch emails with specified subject, sender, and recipient.</t>
  </si>
  <si>
    <t>Redis Key-Value Retrieval Trigger</t>
  </si>
  <si>
    <t>An n8n workflow that triggers manually and retrieves the value of a specified Redis key using Redis API. Uses n8n's Manual Trigger and Redis nodes to fetch the value of key 'hello' from a Redis instance.</t>
  </si>
  <si>
    <t>Trigger Folder Access in Box</t>
  </si>
  <si>
    <t>This n8n workflow triggers manually and connects to the Box API via OAuth2 to access metadata of a specific folder named 'n8n-rocks'. It demonstrates basic integration of manual trigger and Box cloud storage for folder resource retrieval.</t>
  </si>
  <si>
    <t>Manual Date Parser</t>
  </si>
  <si>
    <t>An n8n workflow that triggers manually and converts a specified date string ('14/02/2020') into a date object using n8n's Date &amp; Time node. Useful for beginners learning to handle date parsing and transformations without external APIs.</t>
  </si>
  <si>
    <t>Manual Trigger to Read Local Binary File</t>
  </si>
  <si>
    <t>An n8n workflow that manually triggers the reading of a local binary file (e.g., image) from a specified path using the built-in Read Binary File node. Useful for workflows involving local file processing.</t>
  </si>
  <si>
    <t>Manual Trigger to Read JPG Files</t>
  </si>
  <si>
    <t>An n8n workflow that manually triggers a process to read all .jpg files from the /data/lol/ directory using the Read Binary Files node. Useful for workflows requiring batch processing of image files on local storage.</t>
  </si>
  <si>
    <t>Simple Key Renaming Workflow</t>
  </si>
  <si>
    <t>An n8n workflow triggered manually that sets a key-value pair and renames the key from 'key' to 'newkey'. Uses native n8n nodes: Manual Trigger, Set, and Rename Keys. Demonstrates basic data transformation within n8n.</t>
  </si>
  <si>
    <t>RSS Feed Trigger Workflow</t>
  </si>
  <si>
    <t>An n8n workflow that triggers on manual execution and reads an RSS feed from https://failedmachine.com/rss/. Uses n8n's Manual Trigger and RSS Feed Read nodes to fetch and process RSS data for automation.</t>
  </si>
  <si>
    <t>Manual Trigger Email Sender</t>
  </si>
  <si>
    <t>An n8n workflow that sends an email upon manual execution. It uses the built-in Manual Trigger and Email Send nodes, leveraging SMTP credentials to dispatch a predefined message. Ideal for testing or simple email notifications.</t>
  </si>
  <si>
    <t>MySQL Table Setup and Insert Demo</t>
  </si>
  <si>
    <t>n8n workflow creating a MySQL table 'test', inserting a row with id and name using MySQL node and Set node, triggered manually. Demonstrates basic MySQL operations automation in n8n with MySQL credentials.</t>
  </si>
  <si>
    <t>Sequential API Requests with ReqRes</t>
  </si>
  <si>
    <t>An n8n workflow automating sequential HTTP calls to the ReqRes API: GET users, POST to create a user, and PATCH to update a user. Demonstrates chaining of REST API requests using n8n’s Manual Trigger and HTTP Request nodes for testing and learning API interactions.</t>
  </si>
  <si>
    <t>SSE Stream Listener</t>
  </si>
  <si>
    <t>An n8n workflow that listens to Server-Sent Events (SSE) from a specified URL using the built-in SSE Trigger node. Useful for real-time event streaming and automation based on live web data.</t>
  </si>
  <si>
    <t>Merge Greetings with Names by Language</t>
  </si>
  <si>
    <t>An n8n workflow that combines sample datasets of names and greetings based on their language code. It uses JavaScript code nodes to provide data samples and a merge node to join them by 'language'. Useful for basic multi-language greeting generation.</t>
  </si>
  <si>
    <t>CSV Spreadsheet Reader</t>
  </si>
  <si>
    <t>An n8n workflow that reads a CSV spreadsheet file from local storage using the Read Binary File and Spreadsheet File nodes to parse and process data on manual trigger.</t>
  </si>
  <si>
    <t>Spotify Track Fetcher</t>
  </si>
  <si>
    <t>An n8n workflow that retrieves detailed data for a specific Spotify track using Spotify's OAuth2 API upon manual execution.</t>
  </si>
  <si>
    <t>Batch Loop with Conditional Stop</t>
  </si>
  <si>
    <t>An n8n workflow that generates 10 items, processes them one by one in batches of size 1, and conditionally stops the loop after the 6th item. Uses core n8n nodes: Manual Trigger, Function, SplitInBatches, IF condition, and Set to signal loop end.</t>
  </si>
  <si>
    <t>n8n itemMatching() Data Linking Example</t>
  </si>
  <si>
    <t>Demonstrates using n8n's itemMatching() in Code node (Python) to restore linked email data from a customer datastore. Utilizes n8n Training Customer Datastore, Manual Trigger, Set node to isolate fields, and Python code for data retrieval and matching.</t>
  </si>
  <si>
    <t>Local DateTime Retrieval Workflow</t>
  </si>
  <si>
    <t>This n8n workflow uses a manual trigger and a function node with moment.js to fetch and format the current local datetime based on an environment timezone variable. It outputs detailed datetime components for flexible usage.</t>
  </si>
  <si>
    <t>Create Array from Mock Data Items</t>
  </si>
  <si>
    <t>An n8n workflow that generates mock JSON data objects and consolidates them into a single array object using JavaScript functions inside n8n. Useful for testing and prototyping data handling workflows without external APIs.</t>
  </si>
  <si>
    <t>Spanish Text Case and Replace Demo</t>
  </si>
  <si>
    <t>n8n workflow demonstrating string manipulations like toLowerCase, toUpperCase and replace on Spanish text using executeCommand nodes triggered manually. Ideal for beginners learning text processing in n8n with simple command line snippets.</t>
  </si>
  <si>
    <t>Assign Variables Using Set Node</t>
  </si>
  <si>
    <t>A simple n8n workflow demonstrating how to assign values to variables of different types (number, string, boolean) using the Set node triggered manually. Ideal for beginners learning value assignment in n8n automation.</t>
  </si>
  <si>
    <t>Manual Trigger with Crypto Node Demo</t>
  </si>
  <si>
    <t>This n8n workflow demonstrates a manual trigger that executes a Crypto node to process a simple string ('n8n rocks!'). It uses n8n's built-in manual trigger and crypto encryption tools for basic cryptographic operations. Ideal for learning node chaining and crypto usage.</t>
  </si>
  <si>
    <t>Basic Conditional Workflow Demo</t>
  </si>
  <si>
    <t>An n8n workflow demonstrating manual trigger, creation of test data, conditional branching based on 'id' field, and setting different string values. Uses n8n native nodes: Manual Trigger, Function, IF condition, and Set nodes for flow control and data assignment.</t>
  </si>
  <si>
    <t>Manual Trigger to Execute Workflow</t>
  </si>
  <si>
    <t>A simple n8n workflow that uses a manual trigger node to initiate the execution of another predefined workflow by its ID. Utilizes n8n's internal executeWorkflow node to chain workflows. Ideal for manual control and testing purposes.</t>
  </si>
  <si>
    <t>ID-Based Conditional Set Workflow</t>
  </si>
  <si>
    <t>An n8n workflow using manual trigger, function, and switch nodes to map IDs (0,1,2) to specific string values (n8n, nodemation, nathan). It demonstrates conditional branching and data transformation without external APIs.</t>
  </si>
  <si>
    <t>Basic Array Mapper Workflow</t>
  </si>
  <si>
    <t>Simple n8n workflow using Function nodes to generate mock array data and map each element into individual JSON objects. Demonstrates basic data transformation without external APIs or integrations.</t>
  </si>
  <si>
    <t>Create JSON Items from Mock Data</t>
  </si>
  <si>
    <t>An n8n workflow that generates a mock list of user objects and converts them into individual JSON items using Function nodes. Useful for testing or prototyping JSON data processing without external APIs.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</si>
</sst>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Nunito"/>
    </font>
    <font>
      <b/>
      <sz val="23.0"/>
      <color theme="1"/>
      <name val="Nunito"/>
    </font>
    <font>
      <b/>
      <color theme="1"/>
      <name val="Nunito"/>
    </font>
    <font>
      <b/>
      <color theme="1"/>
      <name val="Arial"/>
    </font>
    <font>
      <b/>
      <sz val="16.0"/>
      <color theme="1"/>
      <name val="Nunito"/>
    </font>
    <font>
      <sz val="16.0"/>
      <color theme="1"/>
      <name val="Arial"/>
      <scheme val="minor"/>
    </font>
    <font>
      <b/>
      <u/>
      <color rgb="FF1155CC"/>
      <name val="Nunito"/>
    </font>
    <font>
      <color theme="1"/>
      <name val="Arial"/>
      <scheme val="minor"/>
    </font>
    <font>
      <u/>
      <color rgb="FF1155CC"/>
      <name val="Nunito"/>
    </font>
    <font>
      <u/>
      <color rgb="FF1155CC"/>
      <name val="Nuni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2" fontId="4" numFmtId="0" xfId="0" applyFill="1" applyFont="1"/>
    <xf borderId="0" fillId="2" fontId="5" numFmtId="0" xfId="0" applyAlignment="1" applyFont="1">
      <alignment horizontal="center" readingOrder="0"/>
    </xf>
    <xf borderId="0" fillId="2" fontId="5" numFmtId="0" xfId="0" applyAlignment="1" applyFont="1">
      <alignment horizontal="center" readingOrder="0" shrinkToFit="0" wrapText="1"/>
    </xf>
    <xf borderId="0" fillId="2" fontId="5" numFmtId="0" xfId="0" applyAlignment="1" applyFont="1">
      <alignment readingOrder="0"/>
    </xf>
    <xf borderId="0" fillId="2" fontId="6" numFmtId="0" xfId="0" applyFont="1"/>
    <xf borderId="0" fillId="2" fontId="1" numFmtId="0" xfId="0" applyFont="1"/>
    <xf borderId="0" fillId="2" fontId="1" numFmtId="0" xfId="0" applyAlignment="1" applyFont="1">
      <alignment shrinkToFit="0" wrapText="1"/>
    </xf>
    <xf borderId="0" fillId="2" fontId="7" numFmtId="0" xfId="0" applyAlignment="1" applyFont="1">
      <alignment readingOrder="0"/>
    </xf>
    <xf borderId="0" fillId="2" fontId="8" numFmtId="0" xfId="0" applyFont="1"/>
    <xf borderId="0" fillId="2" fontId="9" numFmtId="0" xfId="0" applyAlignment="1" applyFont="1">
      <alignment readingOrder="0"/>
    </xf>
    <xf borderId="0" fillId="0" fontId="1" numFmtId="0" xfId="0" applyFont="1"/>
    <xf borderId="0" fillId="0" fontId="1" numFmtId="0" xfId="0" applyAlignment="1" applyFont="1">
      <alignment shrinkToFit="0" wrapText="1"/>
    </xf>
    <xf borderId="0" fillId="0" fontId="10" numFmtId="0" xfId="0" applyAlignment="1" applyFont="1">
      <alignment readingOrder="0"/>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0485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uc?export=download&amp;id=1p4OxmZes1HUWxXHWx0JEzq-8MnpmS0Qd" TargetMode="External"/><Relationship Id="rId391" Type="http://schemas.openxmlformats.org/officeDocument/2006/relationships/hyperlink" Target="https://drive.google.com/uc?export=download&amp;id=1-vwYJUj0eebo67Ni4sZtDIe9KKTlcRre" TargetMode="External"/><Relationship Id="rId390" Type="http://schemas.openxmlformats.org/officeDocument/2006/relationships/hyperlink" Target="https://drive.google.com/uc?export=download&amp;id=120Zo01Wc3SYSYpLwrbwi3gOz4ghKhkeA" TargetMode="External"/><Relationship Id="rId1" Type="http://schemas.openxmlformats.org/officeDocument/2006/relationships/hyperlink" Target="https://drive.google.com/uc?export=download&amp;id=1JGKsHoGn_N9U7UtAHGSA6r5lGxnsgQcC" TargetMode="External"/><Relationship Id="rId2" Type="http://schemas.openxmlformats.org/officeDocument/2006/relationships/hyperlink" Target="https://drive.google.com/uc?export=download&amp;id=1FFTnKRCKYUPjNV_UnbdGqwpwZUAHLL8w" TargetMode="External"/><Relationship Id="rId3" Type="http://schemas.openxmlformats.org/officeDocument/2006/relationships/hyperlink" Target="https://drive.google.com/uc?export=download&amp;id=1w31DkItPISHU4ljvTSNBt2osVooseTuC" TargetMode="External"/><Relationship Id="rId4" Type="http://schemas.openxmlformats.org/officeDocument/2006/relationships/hyperlink" Target="https://drive.google.com/uc?export=download&amp;id=1h--PD49T6qwncwjBX5LhOjJKU5eG8yVQ" TargetMode="External"/><Relationship Id="rId9" Type="http://schemas.openxmlformats.org/officeDocument/2006/relationships/hyperlink" Target="https://drive.google.com/uc?export=download&amp;id=1gM0Eu7dBDx0faEj1AybGRz5SkP_7i8zG" TargetMode="External"/><Relationship Id="rId385" Type="http://schemas.openxmlformats.org/officeDocument/2006/relationships/hyperlink" Target="https://drive.google.com/uc?export=download&amp;id=17xBaQGonN3t0Yb9bA-am8E8vfJ3ztchn" TargetMode="External"/><Relationship Id="rId384" Type="http://schemas.openxmlformats.org/officeDocument/2006/relationships/hyperlink" Target="https://drive.google.com/uc?export=download&amp;id=1iUo3aGuYsIrB1FP1f6WwTuIaY1X6fZvt" TargetMode="External"/><Relationship Id="rId383" Type="http://schemas.openxmlformats.org/officeDocument/2006/relationships/hyperlink" Target="https://drive.google.com/uc?export=download&amp;id=107kixvZPHp2mI2McyGE6SMqZVALCZceX" TargetMode="External"/><Relationship Id="rId382" Type="http://schemas.openxmlformats.org/officeDocument/2006/relationships/hyperlink" Target="https://drive.google.com/uc?export=download&amp;id=1cuCl6pwLfQ_iYuU5iY5HD88g0Px-b09u" TargetMode="External"/><Relationship Id="rId5" Type="http://schemas.openxmlformats.org/officeDocument/2006/relationships/hyperlink" Target="https://drive.google.com/uc?export=download&amp;id=1-LmujZkZuSlZuoiIwfG1lzUuzAr6pJn_" TargetMode="External"/><Relationship Id="rId389" Type="http://schemas.openxmlformats.org/officeDocument/2006/relationships/hyperlink" Target="https://drive.google.com/uc?export=download&amp;id=195eUAmAUW84hq92A4sFbRQ64sedXwsgp" TargetMode="External"/><Relationship Id="rId6" Type="http://schemas.openxmlformats.org/officeDocument/2006/relationships/hyperlink" Target="https://drive.google.com/uc?export=download&amp;id=1sS2QGNeGPjVSzVW6brK-qO0HRd50LppC" TargetMode="External"/><Relationship Id="rId388" Type="http://schemas.openxmlformats.org/officeDocument/2006/relationships/hyperlink" Target="https://drive.google.com/uc?export=download&amp;id=1e2WAMFcOH3mT-_V1G0ZBO7yloOLVF8y6" TargetMode="External"/><Relationship Id="rId7" Type="http://schemas.openxmlformats.org/officeDocument/2006/relationships/hyperlink" Target="https://drive.google.com/uc?export=download&amp;id=1sYWIDNvMFDs3DXgK7cVmbEYq9v173SHu" TargetMode="External"/><Relationship Id="rId387" Type="http://schemas.openxmlformats.org/officeDocument/2006/relationships/hyperlink" Target="https://drive.google.com/uc?export=download&amp;id=1gFtgSfLBmuLD7SvS0p41G8Un8UAIo6Bx" TargetMode="External"/><Relationship Id="rId8" Type="http://schemas.openxmlformats.org/officeDocument/2006/relationships/hyperlink" Target="https://drive.google.com/uc?export=download&amp;id=1JxGuthg0m8WhGiQ2Es5djhFfacoZU_ED" TargetMode="External"/><Relationship Id="rId386" Type="http://schemas.openxmlformats.org/officeDocument/2006/relationships/hyperlink" Target="https://drive.google.com/uc?export=download&amp;id=1R0wO47_YVlJYZorJd_gT_S0K8dyOv7Mb" TargetMode="External"/><Relationship Id="rId381" Type="http://schemas.openxmlformats.org/officeDocument/2006/relationships/hyperlink" Target="https://drive.google.com/uc?export=download&amp;id=18y6V_uq3GwBsyD8byXq-W8fxHLWxjF5o" TargetMode="External"/><Relationship Id="rId380" Type="http://schemas.openxmlformats.org/officeDocument/2006/relationships/hyperlink" Target="https://drive.google.com/uc?export=download&amp;id=12QJ9BCcseEqxygz_F5ngFJXgdXuVNduJ" TargetMode="External"/><Relationship Id="rId379" Type="http://schemas.openxmlformats.org/officeDocument/2006/relationships/hyperlink" Target="https://drive.google.com/uc?export=download&amp;id=1QFGhTLCjTWEdZVk3W2n8EunW7Fl6H729" TargetMode="External"/><Relationship Id="rId374" Type="http://schemas.openxmlformats.org/officeDocument/2006/relationships/hyperlink" Target="https://drive.google.com/uc?export=download&amp;id=14ZYgCl1p2ADGNTP7Y_Ir0py3xdKSqoBC" TargetMode="External"/><Relationship Id="rId373" Type="http://schemas.openxmlformats.org/officeDocument/2006/relationships/hyperlink" Target="https://drive.google.com/uc?export=download&amp;id=1Gk925YAQ3d_Mxupo4sKYgYGIytZlaDqN" TargetMode="External"/><Relationship Id="rId372" Type="http://schemas.openxmlformats.org/officeDocument/2006/relationships/hyperlink" Target="https://drive.google.com/uc?export=download&amp;id=1k2D2hGLJVHvib5V5YGrbwNWUQYPtdyNG" TargetMode="External"/><Relationship Id="rId371" Type="http://schemas.openxmlformats.org/officeDocument/2006/relationships/hyperlink" Target="https://drive.google.com/uc?export=download&amp;id=1N0uDK4YQFf7HmfeP5HVlzFDzKR_CJQBh" TargetMode="External"/><Relationship Id="rId378" Type="http://schemas.openxmlformats.org/officeDocument/2006/relationships/hyperlink" Target="https://drive.google.com/uc?export=download&amp;id=1N53Gi7Mn0vp1t-HKfZn7ZzuZa3RBRFZ3" TargetMode="External"/><Relationship Id="rId377" Type="http://schemas.openxmlformats.org/officeDocument/2006/relationships/hyperlink" Target="https://drive.google.com/uc?export=download&amp;id=1PisITKuYufoT1sbwQzwCWltNCBlOZLUl" TargetMode="External"/><Relationship Id="rId376" Type="http://schemas.openxmlformats.org/officeDocument/2006/relationships/hyperlink" Target="https://drive.google.com/uc?export=download&amp;id=196x0Ves4-GLYqIEwG4SS6f43VUgPPX6t" TargetMode="External"/><Relationship Id="rId375" Type="http://schemas.openxmlformats.org/officeDocument/2006/relationships/hyperlink" Target="https://drive.google.com/uc?export=download&amp;id=1PIerhwnpAmA6fVDyMqUqPQKHiN9oJVwn" TargetMode="External"/><Relationship Id="rId396" Type="http://schemas.openxmlformats.org/officeDocument/2006/relationships/hyperlink" Target="https://drive.google.com/uc?export=download&amp;id=1YnG143B9CxhxfT5KMxoTQ8-SaoS_7Dtq" TargetMode="External"/><Relationship Id="rId395" Type="http://schemas.openxmlformats.org/officeDocument/2006/relationships/hyperlink" Target="https://drive.google.com/uc?export=download&amp;id=1Un-yuEis2uE2r34T8DF1TuwLOpOPQAw4" TargetMode="External"/><Relationship Id="rId394" Type="http://schemas.openxmlformats.org/officeDocument/2006/relationships/hyperlink" Target="https://drive.google.com/uc?export=download&amp;id=1bIaBS8ujvMDmPbka_p4gPDqX6ojGqLU3" TargetMode="External"/><Relationship Id="rId393" Type="http://schemas.openxmlformats.org/officeDocument/2006/relationships/hyperlink" Target="https://drive.google.com/uc?export=download&amp;id=1wB3bKC31zdNNAkjSOJz2ekNVgLgu6Xts" TargetMode="External"/><Relationship Id="rId399" Type="http://schemas.openxmlformats.org/officeDocument/2006/relationships/hyperlink" Target="https://drive.google.com/uc?export=download&amp;id=1yEKjDS9d0nMDQk0KwZ46TOJSSlIaUDqt" TargetMode="External"/><Relationship Id="rId398" Type="http://schemas.openxmlformats.org/officeDocument/2006/relationships/hyperlink" Target="https://drive.google.com/uc?export=download&amp;id=1boEF3mfYZv_RJ7NsejrClKsjspueeJWV" TargetMode="External"/><Relationship Id="rId397" Type="http://schemas.openxmlformats.org/officeDocument/2006/relationships/hyperlink" Target="https://drive.google.com/uc?export=download&amp;id=1PahFU1cvpyk8uh_ywHxCWLs6OuqT58it" TargetMode="External"/><Relationship Id="rId1730" Type="http://schemas.openxmlformats.org/officeDocument/2006/relationships/hyperlink" Target="https://drive.google.com/uc?export=download&amp;id=1rAU7qkQebltx1z85WMWXBMrI2zB4wLtP" TargetMode="External"/><Relationship Id="rId1731" Type="http://schemas.openxmlformats.org/officeDocument/2006/relationships/hyperlink" Target="https://drive.google.com/uc?export=download&amp;id=14Xxr305V1gXIuhz2m3uYfgZcn-fzWtkC" TargetMode="External"/><Relationship Id="rId1732" Type="http://schemas.openxmlformats.org/officeDocument/2006/relationships/hyperlink" Target="https://drive.google.com/uc?export=download&amp;id=1IaH-W45edw9mNivA71KFXxp5IUkairK_" TargetMode="External"/><Relationship Id="rId1733" Type="http://schemas.openxmlformats.org/officeDocument/2006/relationships/hyperlink" Target="https://drive.google.com/uc?export=download&amp;id=1ffFtqV4pt42TnDvlUMGx7aDUKrBPRqll" TargetMode="External"/><Relationship Id="rId1734" Type="http://schemas.openxmlformats.org/officeDocument/2006/relationships/hyperlink" Target="https://drive.google.com/uc?export=download&amp;id=1o1_YWYQbAYweWGfW6ICTDr6bsRJnntJ4" TargetMode="External"/><Relationship Id="rId1735" Type="http://schemas.openxmlformats.org/officeDocument/2006/relationships/hyperlink" Target="https://drive.google.com/uc?export=download&amp;id=1kpcyw7V7YVkcysRNI6dG3_LpbIUTrmUA" TargetMode="External"/><Relationship Id="rId1736" Type="http://schemas.openxmlformats.org/officeDocument/2006/relationships/hyperlink" Target="https://drive.google.com/uc?export=download&amp;id=1VQTjOcydFb2SqAhoIVBm5RSCWFaXDz7r" TargetMode="External"/><Relationship Id="rId1737" Type="http://schemas.openxmlformats.org/officeDocument/2006/relationships/hyperlink" Target="https://drive.google.com/uc?export=download&amp;id=10CpajiRbRc43P8qFRe9Q5yrlMhwh4WQ4" TargetMode="External"/><Relationship Id="rId1738" Type="http://schemas.openxmlformats.org/officeDocument/2006/relationships/hyperlink" Target="https://drive.google.com/uc?export=download&amp;id=1xU6WFRACLLSKZgPatiGUgkOa29pl1Fae" TargetMode="External"/><Relationship Id="rId1739" Type="http://schemas.openxmlformats.org/officeDocument/2006/relationships/hyperlink" Target="https://drive.google.com/uc?export=download&amp;id=1gv2G9JRrIBGsIHYGf9AoWCz42AbUTeU8" TargetMode="External"/><Relationship Id="rId1720" Type="http://schemas.openxmlformats.org/officeDocument/2006/relationships/hyperlink" Target="https://drive.google.com/uc?export=download&amp;id=1Tz_P6-g3YdIL1jGpl-HReICjyL_HB5UW" TargetMode="External"/><Relationship Id="rId1721" Type="http://schemas.openxmlformats.org/officeDocument/2006/relationships/hyperlink" Target="https://drive.google.com/uc?export=download&amp;id=1ymJRMQwFue70hIJWB93eJFyh5T7k24Up" TargetMode="External"/><Relationship Id="rId1722" Type="http://schemas.openxmlformats.org/officeDocument/2006/relationships/hyperlink" Target="https://drive.google.com/uc?export=download&amp;id=1P4YYoPesfJBzxhZ0fN0aO8rfpZIOApgt" TargetMode="External"/><Relationship Id="rId1723" Type="http://schemas.openxmlformats.org/officeDocument/2006/relationships/hyperlink" Target="https://drive.google.com/uc?export=download&amp;id=1MEpW2aurXCrD6F1FGZcgkxLiJNlyG3ss" TargetMode="External"/><Relationship Id="rId1724" Type="http://schemas.openxmlformats.org/officeDocument/2006/relationships/hyperlink" Target="https://drive.google.com/uc?export=download&amp;id=1jQXEDi0HV2icDYhGvZY4RZoh7yWSrN37" TargetMode="External"/><Relationship Id="rId1725" Type="http://schemas.openxmlformats.org/officeDocument/2006/relationships/hyperlink" Target="https://drive.google.com/uc?export=download&amp;id=1XzaoA8MMwsAIzZIx0SvvgDdBxwC4MhpW" TargetMode="External"/><Relationship Id="rId1726" Type="http://schemas.openxmlformats.org/officeDocument/2006/relationships/hyperlink" Target="https://drive.google.com/uc?export=download&amp;id=1C_WBVetzN5pchdWfzl2cuc_B4RC1xFFi" TargetMode="External"/><Relationship Id="rId1727" Type="http://schemas.openxmlformats.org/officeDocument/2006/relationships/hyperlink" Target="https://drive.google.com/uc?export=download&amp;id=1SmpOMZli1UgXGjueTNVa3g8pOpW8GC9u" TargetMode="External"/><Relationship Id="rId1728" Type="http://schemas.openxmlformats.org/officeDocument/2006/relationships/hyperlink" Target="https://drive.google.com/uc?export=download&amp;id=1Z3rpOZCYGaZQEiwJG-Bjq0HnAjWJ7vkV" TargetMode="External"/><Relationship Id="rId1729" Type="http://schemas.openxmlformats.org/officeDocument/2006/relationships/hyperlink" Target="https://drive.google.com/uc?export=download&amp;id=17vSGnK-EGO1KYeUK7i3dpn0WMU6lhLCK" TargetMode="External"/><Relationship Id="rId1752" Type="http://schemas.openxmlformats.org/officeDocument/2006/relationships/hyperlink" Target="https://drive.google.com/uc?export=download&amp;id=1rt1d7otRdgSQctgeRFFUfxDTrRuPNrBc" TargetMode="External"/><Relationship Id="rId1753" Type="http://schemas.openxmlformats.org/officeDocument/2006/relationships/hyperlink" Target="https://drive.google.com/uc?export=download&amp;id=1MbEycV-OSJ6rguvQhG9eKMkDsZOTwJWI" TargetMode="External"/><Relationship Id="rId1754" Type="http://schemas.openxmlformats.org/officeDocument/2006/relationships/hyperlink" Target="https://drive.google.com/uc?export=download&amp;id=1NeC_GgmhcdnKgEBc-yo4ISsqTbwwsvo6" TargetMode="External"/><Relationship Id="rId1755" Type="http://schemas.openxmlformats.org/officeDocument/2006/relationships/hyperlink" Target="https://drive.google.com/uc?export=download&amp;id=1bQGWQZVRLoEC2eOFFnG0vYJ55wqo46jP" TargetMode="External"/><Relationship Id="rId1756" Type="http://schemas.openxmlformats.org/officeDocument/2006/relationships/hyperlink" Target="https://drive.google.com/uc?export=download&amp;id=1eRwdygDuQCum74uA7C2UmJ9m1AdTXqNP" TargetMode="External"/><Relationship Id="rId1757" Type="http://schemas.openxmlformats.org/officeDocument/2006/relationships/hyperlink" Target="https://drive.google.com/uc?export=download&amp;id=1zjUaK-_jNSbOFY6gPCkaiRbjLnGPn8lD" TargetMode="External"/><Relationship Id="rId1758" Type="http://schemas.openxmlformats.org/officeDocument/2006/relationships/hyperlink" Target="https://drive.google.com/uc?export=download&amp;id=1SGhQUb1DORYxBxpVVx9RZQVE8kdPhmlW" TargetMode="External"/><Relationship Id="rId1759" Type="http://schemas.openxmlformats.org/officeDocument/2006/relationships/hyperlink" Target="https://drive.google.com/uc?export=download&amp;id=1Ok7ncx2sgCgLVf4SK9DDVZi1HfTF8-EC" TargetMode="External"/><Relationship Id="rId808" Type="http://schemas.openxmlformats.org/officeDocument/2006/relationships/hyperlink" Target="https://drive.google.com/uc?export=download&amp;id=1tqA0-csi4Q3sqqeFutvA7BOi0iYwqWUp" TargetMode="External"/><Relationship Id="rId807" Type="http://schemas.openxmlformats.org/officeDocument/2006/relationships/hyperlink" Target="https://drive.google.com/uc?export=download&amp;id=1Gw7_2FTQEn5BhHMg2HAFtBLG2TSJDW5_" TargetMode="External"/><Relationship Id="rId806" Type="http://schemas.openxmlformats.org/officeDocument/2006/relationships/hyperlink" Target="https://drive.google.com/uc?export=download&amp;id=1iImv9f7C2FbD49wfpnHN-sTZs4jOV4_r" TargetMode="External"/><Relationship Id="rId805" Type="http://schemas.openxmlformats.org/officeDocument/2006/relationships/hyperlink" Target="https://drive.google.com/uc?export=download&amp;id=1VxH6vsLDvqJki5nwrt1DkIFQtYG6zrBG" TargetMode="External"/><Relationship Id="rId809" Type="http://schemas.openxmlformats.org/officeDocument/2006/relationships/hyperlink" Target="https://drive.google.com/uc?export=download&amp;id=1yohkDUz-WLWcECPxmcxfjetoGwe5t4o5" TargetMode="External"/><Relationship Id="rId800" Type="http://schemas.openxmlformats.org/officeDocument/2006/relationships/hyperlink" Target="https://drive.google.com/uc?export=download&amp;id=1nL_2BLSr4qpilkH7ffxMJtEbW3-LroLh" TargetMode="External"/><Relationship Id="rId804" Type="http://schemas.openxmlformats.org/officeDocument/2006/relationships/hyperlink" Target="https://drive.google.com/uc?export=download&amp;id=1vjC_Jp7-SS-dYnWAgJ0tnHWXUST5Ln5u" TargetMode="External"/><Relationship Id="rId803" Type="http://schemas.openxmlformats.org/officeDocument/2006/relationships/hyperlink" Target="https://drive.google.com/uc?export=download&amp;id=1LpSe8XqgzCHYL_A0zbOIQknHO8YutmR5" TargetMode="External"/><Relationship Id="rId802" Type="http://schemas.openxmlformats.org/officeDocument/2006/relationships/hyperlink" Target="https://drive.google.com/uc?export=download&amp;id=1OpXwJuUJ_pyBBp00FJ1NKGQIFhVeiPNm" TargetMode="External"/><Relationship Id="rId801" Type="http://schemas.openxmlformats.org/officeDocument/2006/relationships/hyperlink" Target="https://drive.google.com/uc?export=download&amp;id=19vr-p63SvdmxGbYSuMmPwoeM8_5LHPmO" TargetMode="External"/><Relationship Id="rId1750" Type="http://schemas.openxmlformats.org/officeDocument/2006/relationships/hyperlink" Target="https://drive.google.com/uc?export=download&amp;id=1POgFBePYGL5zezkF8Nw6-4yM_BpArtyz" TargetMode="External"/><Relationship Id="rId1751" Type="http://schemas.openxmlformats.org/officeDocument/2006/relationships/hyperlink" Target="https://drive.google.com/uc?export=download&amp;id=1j-AVt5yhzfgb8prIder64luZ3v2eNpew" TargetMode="External"/><Relationship Id="rId1741" Type="http://schemas.openxmlformats.org/officeDocument/2006/relationships/hyperlink" Target="https://drive.google.com/uc?export=download&amp;id=1SpimeqJPhpiAkeH2uJo8aDvtAuNVlDlO" TargetMode="External"/><Relationship Id="rId1742" Type="http://schemas.openxmlformats.org/officeDocument/2006/relationships/hyperlink" Target="https://drive.google.com/uc?export=download&amp;id=1QDMST_rEglny1ZpJD_JONTyFfqEvd2zM" TargetMode="External"/><Relationship Id="rId1743" Type="http://schemas.openxmlformats.org/officeDocument/2006/relationships/hyperlink" Target="https://drive.google.com/uc?export=download&amp;id=1jG28Y0sFbS4v0Lsj3o3K-WSJ149eTzuf" TargetMode="External"/><Relationship Id="rId1744" Type="http://schemas.openxmlformats.org/officeDocument/2006/relationships/hyperlink" Target="https://drive.google.com/uc?export=download&amp;id=13hXBqps5bFwBSu8MHMdCJJXhTiA2e4er" TargetMode="External"/><Relationship Id="rId1745" Type="http://schemas.openxmlformats.org/officeDocument/2006/relationships/hyperlink" Target="https://drive.google.com/uc?export=download&amp;id=18BzEDkuFPh086ITFpmxIkNkYXC8_Qh-o" TargetMode="External"/><Relationship Id="rId1746" Type="http://schemas.openxmlformats.org/officeDocument/2006/relationships/hyperlink" Target="https://drive.google.com/uc?export=download&amp;id=1yG9tug6kmS7PveouUh70CbBTegcdoh3U" TargetMode="External"/><Relationship Id="rId1747" Type="http://schemas.openxmlformats.org/officeDocument/2006/relationships/hyperlink" Target="https://drive.google.com/uc?export=download&amp;id=16yHENaX0TkprKmcZdqjphltDv3ZeN3iH" TargetMode="External"/><Relationship Id="rId1748" Type="http://schemas.openxmlformats.org/officeDocument/2006/relationships/hyperlink" Target="https://drive.google.com/uc?export=download&amp;id=12zSkAWFWho3cqO7js-sLe4cTHKOekKYm" TargetMode="External"/><Relationship Id="rId1749" Type="http://schemas.openxmlformats.org/officeDocument/2006/relationships/hyperlink" Target="https://drive.google.com/uc?export=download&amp;id=1qZ0rGceHI7DNWCdKRk3Q08hrb_r13KGD" TargetMode="External"/><Relationship Id="rId1740" Type="http://schemas.openxmlformats.org/officeDocument/2006/relationships/hyperlink" Target="https://drive.google.com/uc?export=download&amp;id=1muN-ltWBsQy0af5RmMvDFBaBMizitttI" TargetMode="External"/><Relationship Id="rId1710" Type="http://schemas.openxmlformats.org/officeDocument/2006/relationships/hyperlink" Target="https://drive.google.com/uc?export=download&amp;id=1-DHHCArNsi2w2zNqR3FLOYJdDEG1KIH3" TargetMode="External"/><Relationship Id="rId1711" Type="http://schemas.openxmlformats.org/officeDocument/2006/relationships/hyperlink" Target="https://drive.google.com/uc?export=download&amp;id=17VzAAArlR0xqlbI_Hrts7JinmpPoni4X" TargetMode="External"/><Relationship Id="rId1712" Type="http://schemas.openxmlformats.org/officeDocument/2006/relationships/hyperlink" Target="https://drive.google.com/uc?export=download&amp;id=1m012qrPJX_PPcDDBDqY9kF37oICvIj1z" TargetMode="External"/><Relationship Id="rId1713" Type="http://schemas.openxmlformats.org/officeDocument/2006/relationships/hyperlink" Target="https://drive.google.com/uc?export=download&amp;id=1KYxs_0umKf1U4CdFLzoWMYKKBPh1pBTU" TargetMode="External"/><Relationship Id="rId1714" Type="http://schemas.openxmlformats.org/officeDocument/2006/relationships/hyperlink" Target="https://drive.google.com/uc?export=download&amp;id=1XNFgle9UYXD0Sz3xpQ4evN_dha9nU73G" TargetMode="External"/><Relationship Id="rId1715" Type="http://schemas.openxmlformats.org/officeDocument/2006/relationships/hyperlink" Target="https://drive.google.com/uc?export=download&amp;id=1ZwKMi84G3M4yeZwJtaX7YGNVbs7aOlgQ" TargetMode="External"/><Relationship Id="rId1716" Type="http://schemas.openxmlformats.org/officeDocument/2006/relationships/hyperlink" Target="https://drive.google.com/uc?export=download&amp;id=1dHLYL_040BkmOjK3SNooMwqPGumtx1SV" TargetMode="External"/><Relationship Id="rId1717" Type="http://schemas.openxmlformats.org/officeDocument/2006/relationships/hyperlink" Target="https://drive.google.com/uc?export=download&amp;id=1TspJRxpCP0pVGHjbUeGj1Nq_K-Cg-oiq" TargetMode="External"/><Relationship Id="rId1718" Type="http://schemas.openxmlformats.org/officeDocument/2006/relationships/hyperlink" Target="https://drive.google.com/uc?export=download&amp;id=15h5eli05AWHpG0gNUFuHLmLKDi_FP-gZ" TargetMode="External"/><Relationship Id="rId1719" Type="http://schemas.openxmlformats.org/officeDocument/2006/relationships/hyperlink" Target="https://drive.google.com/uc?export=download&amp;id=1f26WCz2RDhkJ_m35iy-Hq5UtLEvwS9gX" TargetMode="External"/><Relationship Id="rId1700" Type="http://schemas.openxmlformats.org/officeDocument/2006/relationships/hyperlink" Target="https://drive.google.com/uc?export=download&amp;id=19pLZRmexUJvKvjiUyqv5rUXhg-ewEHDF" TargetMode="External"/><Relationship Id="rId1701" Type="http://schemas.openxmlformats.org/officeDocument/2006/relationships/hyperlink" Target="https://drive.google.com/uc?export=download&amp;id=1UC6OIENfon24vWEYk6hzsVoLS1rvWitS" TargetMode="External"/><Relationship Id="rId1702" Type="http://schemas.openxmlformats.org/officeDocument/2006/relationships/hyperlink" Target="https://drive.google.com/uc?export=download&amp;id=1kNhZrrlpZtorzcWmXnaCNwxaLKi_mirh" TargetMode="External"/><Relationship Id="rId1703" Type="http://schemas.openxmlformats.org/officeDocument/2006/relationships/hyperlink" Target="https://drive.google.com/uc?export=download&amp;id=1saQmQOYoUI3lZG-dd2P0zfGxFW_sTn7J" TargetMode="External"/><Relationship Id="rId1704" Type="http://schemas.openxmlformats.org/officeDocument/2006/relationships/hyperlink" Target="https://drive.google.com/uc?export=download&amp;id=1ycAFNRKF8xrfvg_BWK5HKqwTCtcuqwrl" TargetMode="External"/><Relationship Id="rId1705" Type="http://schemas.openxmlformats.org/officeDocument/2006/relationships/hyperlink" Target="https://drive.google.com/uc?export=download&amp;id=1iesehmoWWdSIkl_ZLszvJUiYAU2f5FKo" TargetMode="External"/><Relationship Id="rId1706" Type="http://schemas.openxmlformats.org/officeDocument/2006/relationships/hyperlink" Target="https://drive.google.com/uc?export=download&amp;id=1Qejysp1OHQyqLhERE3zpqC7guK6f1zIv" TargetMode="External"/><Relationship Id="rId1707" Type="http://schemas.openxmlformats.org/officeDocument/2006/relationships/hyperlink" Target="https://drive.google.com/uc?export=download&amp;id=1elVDlMLwHCpEJK7lvpiGVV39fFdlBh2G" TargetMode="External"/><Relationship Id="rId1708" Type="http://schemas.openxmlformats.org/officeDocument/2006/relationships/hyperlink" Target="https://drive.google.com/uc?export=download&amp;id=1s4rwS_DefnuIDnK-TqcCGf5MvBWiI54_" TargetMode="External"/><Relationship Id="rId1709" Type="http://schemas.openxmlformats.org/officeDocument/2006/relationships/hyperlink" Target="https://drive.google.com/uc?export=download&amp;id=1p8bcYNmmnD6bfreWhTNaX4hlpmDV38OA" TargetMode="External"/><Relationship Id="rId40" Type="http://schemas.openxmlformats.org/officeDocument/2006/relationships/hyperlink" Target="https://drive.google.com/uc?export=download&amp;id=1KTs1Y0fk9NzW6v5bZCH-o_zmUwvhOPSW" TargetMode="External"/><Relationship Id="rId1334" Type="http://schemas.openxmlformats.org/officeDocument/2006/relationships/hyperlink" Target="https://drive.google.com/uc?export=download&amp;id=1neCRbt9TeXx34zHj6i15naOlsUnEA7-r" TargetMode="External"/><Relationship Id="rId1335" Type="http://schemas.openxmlformats.org/officeDocument/2006/relationships/hyperlink" Target="https://drive.google.com/uc?export=download&amp;id=1j7POm-Vz8I_-XyPIdCqNWdoi4s9vLTcN" TargetMode="External"/><Relationship Id="rId42" Type="http://schemas.openxmlformats.org/officeDocument/2006/relationships/hyperlink" Target="https://drive.google.com/uc?export=download&amp;id=16xsnJdd4r48UDSAnelEplgjJGMTv0DtU" TargetMode="External"/><Relationship Id="rId1336" Type="http://schemas.openxmlformats.org/officeDocument/2006/relationships/hyperlink" Target="https://drive.google.com/uc?export=download&amp;id=1IdH5H1BUGx1j61H9rg7mLwoUUbSOhqGF" TargetMode="External"/><Relationship Id="rId41" Type="http://schemas.openxmlformats.org/officeDocument/2006/relationships/hyperlink" Target="https://drive.google.com/uc?export=download&amp;id=1QDpszgihbVf-TCpMt9w0CPaELc3_MDyT" TargetMode="External"/><Relationship Id="rId1337" Type="http://schemas.openxmlformats.org/officeDocument/2006/relationships/hyperlink" Target="https://drive.google.com/uc?export=download&amp;id=1M5FVgOdJdMeR4P7hRJd_KlRzqz3jspMw" TargetMode="External"/><Relationship Id="rId44" Type="http://schemas.openxmlformats.org/officeDocument/2006/relationships/hyperlink" Target="https://drive.google.com/uc?export=download&amp;id=1OKNg6mSU_mFygZwSh8bJWC1dJ0RTLxz3" TargetMode="External"/><Relationship Id="rId1338" Type="http://schemas.openxmlformats.org/officeDocument/2006/relationships/hyperlink" Target="https://drive.google.com/uc?export=download&amp;id=1NBN84WE_1w9_apo7ZpbSLDoievApb6Gi" TargetMode="External"/><Relationship Id="rId43" Type="http://schemas.openxmlformats.org/officeDocument/2006/relationships/hyperlink" Target="https://drive.google.com/uc?export=download&amp;id=18II50J9uByP8NtmUZxY-Iv56H3CjbqRF" TargetMode="External"/><Relationship Id="rId1339" Type="http://schemas.openxmlformats.org/officeDocument/2006/relationships/hyperlink" Target="https://drive.google.com/uc?export=download&amp;id=1BrXAbQcXSEi8W__G6ATIqw6lLXuLFTj6" TargetMode="External"/><Relationship Id="rId46" Type="http://schemas.openxmlformats.org/officeDocument/2006/relationships/hyperlink" Target="https://drive.google.com/uc?export=download&amp;id=1IUX9udWgUaT-qIhX-_Um3F7SokkCtXvt" TargetMode="External"/><Relationship Id="rId45" Type="http://schemas.openxmlformats.org/officeDocument/2006/relationships/hyperlink" Target="https://drive.google.com/uc?export=download&amp;id=1MmJsRgy5fXXyivJ6yN6o4QcSTi0yylzI" TargetMode="External"/><Relationship Id="rId745" Type="http://schemas.openxmlformats.org/officeDocument/2006/relationships/hyperlink" Target="https://drive.google.com/uc?export=download&amp;id=1krgZbYR0lHdnf8m_SbmXVfYA_0qTpdFj" TargetMode="External"/><Relationship Id="rId744" Type="http://schemas.openxmlformats.org/officeDocument/2006/relationships/hyperlink" Target="https://drive.google.com/uc?export=download&amp;id=12O_9_E1B19xcOcuXA2KrKjRDrpNHHSHI" TargetMode="External"/><Relationship Id="rId743" Type="http://schemas.openxmlformats.org/officeDocument/2006/relationships/hyperlink" Target="https://drive.google.com/uc?export=download&amp;id=1P4XKiTLZaZfT3509g6M7yJlBn5BPc7VB" TargetMode="External"/><Relationship Id="rId742" Type="http://schemas.openxmlformats.org/officeDocument/2006/relationships/hyperlink" Target="https://drive.google.com/uc?export=download&amp;id=1MrGvp42a5dD-gJ4EleMYHuKhzqzyDUEc" TargetMode="External"/><Relationship Id="rId749" Type="http://schemas.openxmlformats.org/officeDocument/2006/relationships/hyperlink" Target="https://drive.google.com/uc?export=download&amp;id=13dukb8d578jy9WJHn3buNLQlkJ8GrSn8" TargetMode="External"/><Relationship Id="rId748" Type="http://schemas.openxmlformats.org/officeDocument/2006/relationships/hyperlink" Target="https://drive.google.com/uc?export=download&amp;id=1IHojjcN9rWWtJtdq6ccfz-lncZ2bMiAr" TargetMode="External"/><Relationship Id="rId747" Type="http://schemas.openxmlformats.org/officeDocument/2006/relationships/hyperlink" Target="https://drive.google.com/uc?export=download&amp;id=1NXNFJQ_eTNcXYxZ-XvWOZVGtj-ZLkfHe" TargetMode="External"/><Relationship Id="rId746" Type="http://schemas.openxmlformats.org/officeDocument/2006/relationships/hyperlink" Target="https://drive.google.com/uc?export=download&amp;id=1Oc1Bc-tmHGeMVihqSifHEG5OlHYHuWr9" TargetMode="External"/><Relationship Id="rId48" Type="http://schemas.openxmlformats.org/officeDocument/2006/relationships/hyperlink" Target="https://drive.google.com/uc?export=download&amp;id=1psAMpxeqLvt1z5qsQ3s_yMSMEP0c_qr5" TargetMode="External"/><Relationship Id="rId47" Type="http://schemas.openxmlformats.org/officeDocument/2006/relationships/hyperlink" Target="https://drive.google.com/uc?export=download&amp;id=1tw-gltfELcw4Vd782PkXu7fMQXhVtYzU" TargetMode="External"/><Relationship Id="rId49" Type="http://schemas.openxmlformats.org/officeDocument/2006/relationships/hyperlink" Target="https://drive.google.com/uc?export=download&amp;id=1-AFo-NHVoH_eny3imCWE-OxkDCX_f8mz" TargetMode="External"/><Relationship Id="rId741" Type="http://schemas.openxmlformats.org/officeDocument/2006/relationships/hyperlink" Target="https://drive.google.com/uc?export=download&amp;id=1xNgid-SPudhprFcbGIa21szRrwg4nqaX" TargetMode="External"/><Relationship Id="rId1330" Type="http://schemas.openxmlformats.org/officeDocument/2006/relationships/hyperlink" Target="https://drive.google.com/uc?export=download&amp;id=10_8ggQJOCsQkexUaho-JAg0nQKGa9Oo8" TargetMode="External"/><Relationship Id="rId740" Type="http://schemas.openxmlformats.org/officeDocument/2006/relationships/hyperlink" Target="https://drive.google.com/uc?export=download&amp;id=1xS-fsJG-ijptB69u51ZSFpAc-RqeIXaS" TargetMode="External"/><Relationship Id="rId1331" Type="http://schemas.openxmlformats.org/officeDocument/2006/relationships/hyperlink" Target="https://drive.google.com/uc?export=download&amp;id=1WP69oD-444HAhQrNCsLbT9z0vfwTn_Cx" TargetMode="External"/><Relationship Id="rId1332" Type="http://schemas.openxmlformats.org/officeDocument/2006/relationships/hyperlink" Target="https://drive.google.com/uc?export=download&amp;id=11_ClLJORTwl5tX5xom_z-0UgPfMWQPWT" TargetMode="External"/><Relationship Id="rId1333" Type="http://schemas.openxmlformats.org/officeDocument/2006/relationships/hyperlink" Target="https://drive.google.com/uc?export=download&amp;id=1TVNVOp8QMBlLClqp8oQo7GKMCuhzY9Lk" TargetMode="External"/><Relationship Id="rId1323" Type="http://schemas.openxmlformats.org/officeDocument/2006/relationships/hyperlink" Target="https://drive.google.com/uc?export=download&amp;id=1oWnUmNMpzAbjZOwkA_0phXWdReuTuQfO" TargetMode="External"/><Relationship Id="rId1324" Type="http://schemas.openxmlformats.org/officeDocument/2006/relationships/hyperlink" Target="https://drive.google.com/uc?export=download&amp;id=11QsBvYfHqShnVOztc_dOIQKbjR3gHUp4" TargetMode="External"/><Relationship Id="rId31" Type="http://schemas.openxmlformats.org/officeDocument/2006/relationships/hyperlink" Target="https://drive.google.com/uc?export=download&amp;id=1LCzALbYVvnUmn8A5X14yylo_nZHQYepM" TargetMode="External"/><Relationship Id="rId1325" Type="http://schemas.openxmlformats.org/officeDocument/2006/relationships/hyperlink" Target="https://drive.google.com/uc?export=download&amp;id=1kJNNjGpOyOVKe09jfGXiCHsgso0lSLBF" TargetMode="External"/><Relationship Id="rId30" Type="http://schemas.openxmlformats.org/officeDocument/2006/relationships/hyperlink" Target="https://drive.google.com/uc?export=download&amp;id=1ljzC_OVLp3Hi3Z5RB7-gl-lBNQVUfp1h" TargetMode="External"/><Relationship Id="rId1326" Type="http://schemas.openxmlformats.org/officeDocument/2006/relationships/hyperlink" Target="https://drive.google.com/uc?export=download&amp;id=1fJBAGFizeMONNJkd63TAonEezFsKi3ms" TargetMode="External"/><Relationship Id="rId33" Type="http://schemas.openxmlformats.org/officeDocument/2006/relationships/hyperlink" Target="https://drive.google.com/uc?export=download&amp;id=1N2K_PHmlZa5gXYf88YJgfxrM_AwK-Wgm" TargetMode="External"/><Relationship Id="rId1327" Type="http://schemas.openxmlformats.org/officeDocument/2006/relationships/hyperlink" Target="https://drive.google.com/uc?export=download&amp;id=1znDyMYL6dzaX8iOcsj-2VMBgmBHvqFC5" TargetMode="External"/><Relationship Id="rId32" Type="http://schemas.openxmlformats.org/officeDocument/2006/relationships/hyperlink" Target="https://drive.google.com/uc?export=download&amp;id=1aOJPzze8zDoGQk9EH7oHp2_nxfWh_H_t" TargetMode="External"/><Relationship Id="rId1328" Type="http://schemas.openxmlformats.org/officeDocument/2006/relationships/hyperlink" Target="https://drive.google.com/uc?export=download&amp;id=1yPuNiJLexYW2lCmvbHGSm1C4qqRvXkiN" TargetMode="External"/><Relationship Id="rId35" Type="http://schemas.openxmlformats.org/officeDocument/2006/relationships/hyperlink" Target="https://drive.google.com/uc?export=download&amp;id=1Ooal9yLE6seJ_sHx1znUGJHOdhCGDKBf" TargetMode="External"/><Relationship Id="rId1329" Type="http://schemas.openxmlformats.org/officeDocument/2006/relationships/hyperlink" Target="https://drive.google.com/uc?export=download&amp;id=19yaaRzWj9bm1lvUzTKtDXpis5W4sAIHy" TargetMode="External"/><Relationship Id="rId34" Type="http://schemas.openxmlformats.org/officeDocument/2006/relationships/hyperlink" Target="https://drive.google.com/uc?export=download&amp;id=1HdZhmsT2ByVKWauCJXWd2AX6aOAZSp3m" TargetMode="External"/><Relationship Id="rId739" Type="http://schemas.openxmlformats.org/officeDocument/2006/relationships/hyperlink" Target="https://drive.google.com/uc?export=download&amp;id=1zcJ5yTwL1m0ZEm8i0L3bmQWiiixhty2A" TargetMode="External"/><Relationship Id="rId734" Type="http://schemas.openxmlformats.org/officeDocument/2006/relationships/hyperlink" Target="https://drive.google.com/uc?export=download&amp;id=1y-SKZAa1X3BO21Wrdi4ndJZpQOPtFiu_" TargetMode="External"/><Relationship Id="rId733" Type="http://schemas.openxmlformats.org/officeDocument/2006/relationships/hyperlink" Target="https://drive.google.com/uc?export=download&amp;id=1WqR7pxHsoQYDpsICTBmEAAeIyeZMpvfu" TargetMode="External"/><Relationship Id="rId732" Type="http://schemas.openxmlformats.org/officeDocument/2006/relationships/hyperlink" Target="https://drive.google.com/uc?export=download&amp;id=1F6gDhq-zrBf_Yxoa7Q0eYoQuEw1AGm4M" TargetMode="External"/><Relationship Id="rId731" Type="http://schemas.openxmlformats.org/officeDocument/2006/relationships/hyperlink" Target="https://drive.google.com/uc?export=download&amp;id=1tFup2C_ZEVc5BXDqAaYFoYsu2bKJGbFg" TargetMode="External"/><Relationship Id="rId738" Type="http://schemas.openxmlformats.org/officeDocument/2006/relationships/hyperlink" Target="https://drive.google.com/uc?export=download&amp;id=1y4JCaJ2KetLMB9KClAM_LGa5MnN3t3nD" TargetMode="External"/><Relationship Id="rId737" Type="http://schemas.openxmlformats.org/officeDocument/2006/relationships/hyperlink" Target="https://drive.google.com/uc?export=download&amp;id=1naHdIUDEMOfZR1TmvYfVJTNVw2fVDKAD" TargetMode="External"/><Relationship Id="rId736" Type="http://schemas.openxmlformats.org/officeDocument/2006/relationships/hyperlink" Target="https://drive.google.com/uc?export=download&amp;id=15pE1k1oa5yY19LoDxkpb6dkXZ9eQlTGJ" TargetMode="External"/><Relationship Id="rId735" Type="http://schemas.openxmlformats.org/officeDocument/2006/relationships/hyperlink" Target="https://drive.google.com/uc?export=download&amp;id=1HMEpaQrAYfknHMjcKLUZe5H6n5UPkmpx" TargetMode="External"/><Relationship Id="rId37" Type="http://schemas.openxmlformats.org/officeDocument/2006/relationships/hyperlink" Target="https://drive.google.com/uc?export=download&amp;id=1XtNI3srJ2vzHuxDDJXIqssxa8M-tQAlt" TargetMode="External"/><Relationship Id="rId36" Type="http://schemas.openxmlformats.org/officeDocument/2006/relationships/hyperlink" Target="https://drive.google.com/uc?export=download&amp;id=1E1ed3uviVQYbsLwViz4hOyBeXAlpliwJ" TargetMode="External"/><Relationship Id="rId39" Type="http://schemas.openxmlformats.org/officeDocument/2006/relationships/hyperlink" Target="https://drive.google.com/uc?export=download&amp;id=1YWOBCmMaJP9_ch2MvmGZie_dQgNfa1Mm" TargetMode="External"/><Relationship Id="rId38" Type="http://schemas.openxmlformats.org/officeDocument/2006/relationships/hyperlink" Target="https://drive.google.com/uc?export=download&amp;id=1LvnMbo67I4THoN2isIk-obVFXFtTfRWb" TargetMode="External"/><Relationship Id="rId730" Type="http://schemas.openxmlformats.org/officeDocument/2006/relationships/hyperlink" Target="https://drive.google.com/uc?export=download&amp;id=1HtCl42t1o0tAzQ14x312DesoEaktKrxz" TargetMode="External"/><Relationship Id="rId1320" Type="http://schemas.openxmlformats.org/officeDocument/2006/relationships/hyperlink" Target="https://drive.google.com/uc?export=download&amp;id=1TUTD5xcEVproisGQrMU43hzLsGNVdFh_" TargetMode="External"/><Relationship Id="rId1321" Type="http://schemas.openxmlformats.org/officeDocument/2006/relationships/hyperlink" Target="https://drive.google.com/uc?export=download&amp;id=1Cm7kQkgAIGYZ2P9GjgxUCg8Eqnd9KRkO" TargetMode="External"/><Relationship Id="rId1322" Type="http://schemas.openxmlformats.org/officeDocument/2006/relationships/hyperlink" Target="https://drive.google.com/uc?export=download&amp;id=1jyg3BQhDpd8658ORprpQqC8Effgx1MWS" TargetMode="External"/><Relationship Id="rId1356" Type="http://schemas.openxmlformats.org/officeDocument/2006/relationships/hyperlink" Target="https://drive.google.com/uc?export=download&amp;id=1107a2ScuGEsC0b_PGgqrWUUvWcASLCPL" TargetMode="External"/><Relationship Id="rId1357" Type="http://schemas.openxmlformats.org/officeDocument/2006/relationships/hyperlink" Target="https://drive.google.com/uc?export=download&amp;id=1XiB1cbCQ-GrhJLlPTgfPQ-OX3hk8R3uy" TargetMode="External"/><Relationship Id="rId20" Type="http://schemas.openxmlformats.org/officeDocument/2006/relationships/hyperlink" Target="https://drive.google.com/uc?export=download&amp;id=1u5dzKC3NI8VghwNIixJuezb5D25JpWNW" TargetMode="External"/><Relationship Id="rId1358" Type="http://schemas.openxmlformats.org/officeDocument/2006/relationships/hyperlink" Target="https://drive.google.com/uc?export=download&amp;id=1iEh8J3A8qC2UsaCCe05MaTe0rRUsekMS" TargetMode="External"/><Relationship Id="rId1359" Type="http://schemas.openxmlformats.org/officeDocument/2006/relationships/hyperlink" Target="https://drive.google.com/uc?export=download&amp;id=1oAvFPe7Swxxc65UyiEnaSHZbs_XytRyO" TargetMode="External"/><Relationship Id="rId22" Type="http://schemas.openxmlformats.org/officeDocument/2006/relationships/hyperlink" Target="https://drive.google.com/uc?export=download&amp;id=1-68j-xjZMauLkSdHGydTU_FI_QNX22Q7" TargetMode="External"/><Relationship Id="rId21" Type="http://schemas.openxmlformats.org/officeDocument/2006/relationships/hyperlink" Target="https://drive.google.com/uc?export=download&amp;id=1yb-LCTKJvA16aMxSZgdMK0FoDLFe6F6C" TargetMode="External"/><Relationship Id="rId24" Type="http://schemas.openxmlformats.org/officeDocument/2006/relationships/hyperlink" Target="https://drive.google.com/uc?export=download&amp;id=1ozjg9N0ztcP8N15zdHN5ZAJGLg_wDH3m" TargetMode="External"/><Relationship Id="rId23" Type="http://schemas.openxmlformats.org/officeDocument/2006/relationships/hyperlink" Target="https://drive.google.com/uc?export=download&amp;id=1uYZ-kWVSwOCgc2pta1anOuQc3FCu0xwP" TargetMode="External"/><Relationship Id="rId767" Type="http://schemas.openxmlformats.org/officeDocument/2006/relationships/hyperlink" Target="https://drive.google.com/uc?export=download&amp;id=1ehfV3vIMcMZYkOjOIOcpZvn1_O3ysLM5" TargetMode="External"/><Relationship Id="rId766" Type="http://schemas.openxmlformats.org/officeDocument/2006/relationships/hyperlink" Target="https://drive.google.com/uc?export=download&amp;id=1l4ADzq_EYOXe-aqHy-78CErm3uqo9NKq" TargetMode="External"/><Relationship Id="rId765" Type="http://schemas.openxmlformats.org/officeDocument/2006/relationships/hyperlink" Target="https://drive.google.com/uc?export=download&amp;id=1ncmL0bOZibWKqCN1_2JD_RofA4NoqbHJ" TargetMode="External"/><Relationship Id="rId764" Type="http://schemas.openxmlformats.org/officeDocument/2006/relationships/hyperlink" Target="https://drive.google.com/uc?export=download&amp;id=1dDQy8qShqeiihHikocNBTnJr96DlvYSB" TargetMode="External"/><Relationship Id="rId769" Type="http://schemas.openxmlformats.org/officeDocument/2006/relationships/hyperlink" Target="https://drive.google.com/uc?export=download&amp;id=14KwNh-hKDoqjRFXItGs3mnB_zke41lgH" TargetMode="External"/><Relationship Id="rId768" Type="http://schemas.openxmlformats.org/officeDocument/2006/relationships/hyperlink" Target="https://drive.google.com/uc?export=download&amp;id=1UBAk5KmhXDHN5Uo9bV_mTAEvQpLRdbPS" TargetMode="External"/><Relationship Id="rId26" Type="http://schemas.openxmlformats.org/officeDocument/2006/relationships/hyperlink" Target="https://drive.google.com/uc?export=download&amp;id=1XZo_8L4e3oy9QcM560xJpQK25thaK0KC" TargetMode="External"/><Relationship Id="rId25" Type="http://schemas.openxmlformats.org/officeDocument/2006/relationships/hyperlink" Target="https://drive.google.com/uc?export=download&amp;id=11vArAZa38md_q3V-kXxbLArXxjZ-cGNw" TargetMode="External"/><Relationship Id="rId28" Type="http://schemas.openxmlformats.org/officeDocument/2006/relationships/hyperlink" Target="https://drive.google.com/uc?export=download&amp;id=1ogW_itSayGMpytnfqOXyOENDEkfAA0El" TargetMode="External"/><Relationship Id="rId1350" Type="http://schemas.openxmlformats.org/officeDocument/2006/relationships/hyperlink" Target="https://drive.google.com/uc?export=download&amp;id=1Ghe2O194WvdrmDzBg5y2AR7xtCwQS_CM" TargetMode="External"/><Relationship Id="rId27" Type="http://schemas.openxmlformats.org/officeDocument/2006/relationships/hyperlink" Target="https://drive.google.com/uc?export=download&amp;id=14ymgOvT-KoVNMI4r5hAc7GHE2tvXQjtM" TargetMode="External"/><Relationship Id="rId1351" Type="http://schemas.openxmlformats.org/officeDocument/2006/relationships/hyperlink" Target="https://drive.google.com/uc?export=download&amp;id=1-Od3iT6vQ6J-8h3eCmLxrLyQk-WcLZsn" TargetMode="External"/><Relationship Id="rId763" Type="http://schemas.openxmlformats.org/officeDocument/2006/relationships/hyperlink" Target="https://drive.google.com/uc?export=download&amp;id=1xmMqHjp1YGePeqqgZX7X2kVkXtDxcpnS" TargetMode="External"/><Relationship Id="rId1352" Type="http://schemas.openxmlformats.org/officeDocument/2006/relationships/hyperlink" Target="https://drive.google.com/uc?export=download&amp;id=1acLoMH16f7ujBsp0XWUPnDG9wBlSTz8A" TargetMode="External"/><Relationship Id="rId29" Type="http://schemas.openxmlformats.org/officeDocument/2006/relationships/hyperlink" Target="https://drive.google.com/uc?export=download&amp;id=1zzcvdqrDf5BoFGXsqOAa61iqBPRichAe" TargetMode="External"/><Relationship Id="rId762" Type="http://schemas.openxmlformats.org/officeDocument/2006/relationships/hyperlink" Target="https://drive.google.com/uc?export=download&amp;id=1q3OHUY9TB0QkocFLwTfD_EZHxDt90FoJ" TargetMode="External"/><Relationship Id="rId1353" Type="http://schemas.openxmlformats.org/officeDocument/2006/relationships/hyperlink" Target="https://drive.google.com/uc?export=download&amp;id=1Ilvc5DMJRkHJGlXE0VuIBCtnAvl3VrWC" TargetMode="External"/><Relationship Id="rId761" Type="http://schemas.openxmlformats.org/officeDocument/2006/relationships/hyperlink" Target="https://drive.google.com/uc?export=download&amp;id=1o38E1Z0E-iCAsovHoMXgWWubIQ4Rw-00" TargetMode="External"/><Relationship Id="rId1354" Type="http://schemas.openxmlformats.org/officeDocument/2006/relationships/hyperlink" Target="https://drive.google.com/uc?export=download&amp;id=1TSZ-eIF-8jfOBozBCjkUk8ZNLILlVGj9" TargetMode="External"/><Relationship Id="rId760" Type="http://schemas.openxmlformats.org/officeDocument/2006/relationships/hyperlink" Target="https://drive.google.com/uc?export=download&amp;id=1zyj_Dx4iKAV-R_6BKey7ljiPHQwi9_iJ" TargetMode="External"/><Relationship Id="rId1355" Type="http://schemas.openxmlformats.org/officeDocument/2006/relationships/hyperlink" Target="https://drive.google.com/uc?export=download&amp;id=1WdL4TJMwTUvit03BKKlwsZvmpIEgaWik" TargetMode="External"/><Relationship Id="rId1345" Type="http://schemas.openxmlformats.org/officeDocument/2006/relationships/hyperlink" Target="https://drive.google.com/uc?export=download&amp;id=1dUcerA8s8hj78UMPtKjqrsvQ9mS-HWPR" TargetMode="External"/><Relationship Id="rId1346" Type="http://schemas.openxmlformats.org/officeDocument/2006/relationships/hyperlink" Target="https://drive.google.com/uc?export=download&amp;id=1bQeAvs7qXKjhI_JnqVjlSYLYcDBShg3y" TargetMode="External"/><Relationship Id="rId1347" Type="http://schemas.openxmlformats.org/officeDocument/2006/relationships/hyperlink" Target="https://drive.google.com/uc?export=download&amp;id=1mFAF3gN6l9MkHnbqQkt_m9nTvhYxHQeS" TargetMode="External"/><Relationship Id="rId1348" Type="http://schemas.openxmlformats.org/officeDocument/2006/relationships/hyperlink" Target="https://drive.google.com/uc?export=download&amp;id=1o1CJq_AGCm6D9lMVnXP-PNOO6uEZW6R9" TargetMode="External"/><Relationship Id="rId11" Type="http://schemas.openxmlformats.org/officeDocument/2006/relationships/hyperlink" Target="https://drive.google.com/uc?export=download&amp;id=1yTNLUgZwMVmM_1NxqNKXlRf04UFkP4CI" TargetMode="External"/><Relationship Id="rId1349" Type="http://schemas.openxmlformats.org/officeDocument/2006/relationships/hyperlink" Target="https://drive.google.com/uc?export=download&amp;id=1pdte6f1SAjYBTpwEadiZ_LMYQARVCQHk" TargetMode="External"/><Relationship Id="rId10" Type="http://schemas.openxmlformats.org/officeDocument/2006/relationships/hyperlink" Target="https://drive.google.com/uc?export=download&amp;id=1VssExPR-qeGBtKNmg4JuLsfJf9jYZ_jH" TargetMode="External"/><Relationship Id="rId13" Type="http://schemas.openxmlformats.org/officeDocument/2006/relationships/hyperlink" Target="https://drive.google.com/uc?export=download&amp;id=1fG2ycSxlIfOUxYmNgrOr14y7tDZbgR-u" TargetMode="External"/><Relationship Id="rId12" Type="http://schemas.openxmlformats.org/officeDocument/2006/relationships/hyperlink" Target="https://drive.google.com/uc?export=download&amp;id=15Rse2Jiw059Q4JHnXDy07dkS-GlwWnoq" TargetMode="External"/><Relationship Id="rId756" Type="http://schemas.openxmlformats.org/officeDocument/2006/relationships/hyperlink" Target="https://drive.google.com/uc?export=download&amp;id=1Wxgu8gdpFrwtzj2AjRfIf_vClcdIehNc" TargetMode="External"/><Relationship Id="rId755" Type="http://schemas.openxmlformats.org/officeDocument/2006/relationships/hyperlink" Target="https://drive.google.com/uc?export=download&amp;id=1UwRi8g3YJfSKfk48ys9qudFqVMDehP75" TargetMode="External"/><Relationship Id="rId754" Type="http://schemas.openxmlformats.org/officeDocument/2006/relationships/hyperlink" Target="https://drive.google.com/uc?export=download&amp;id=1gpEsOAyOeI6wlviYjxBdMJwdShf5tPXb" TargetMode="External"/><Relationship Id="rId753" Type="http://schemas.openxmlformats.org/officeDocument/2006/relationships/hyperlink" Target="https://drive.google.com/uc?export=download&amp;id=1AEUqs9K5GIvm-F3UuNKt9sEnx0fLZ1aA" TargetMode="External"/><Relationship Id="rId759" Type="http://schemas.openxmlformats.org/officeDocument/2006/relationships/hyperlink" Target="https://drive.google.com/uc?export=download&amp;id=1frkmVpVZTsvqWWZbVp3S8EUF8yAaaPUa" TargetMode="External"/><Relationship Id="rId758" Type="http://schemas.openxmlformats.org/officeDocument/2006/relationships/hyperlink" Target="https://drive.google.com/uc?export=download&amp;id=1rJcfx7B78L0ktAXYdNAOpKu6RPjCKWo-" TargetMode="External"/><Relationship Id="rId757" Type="http://schemas.openxmlformats.org/officeDocument/2006/relationships/hyperlink" Target="https://drive.google.com/uc?export=download&amp;id=1zbOBtvoDIJg1bJY2D5lH-zpHhRQ_aBr3" TargetMode="External"/><Relationship Id="rId15" Type="http://schemas.openxmlformats.org/officeDocument/2006/relationships/hyperlink" Target="https://drive.google.com/uc?export=download&amp;id=1j4q_KLMfCk7Xt6kK6yCCNJoTNKHUkZ7s" TargetMode="External"/><Relationship Id="rId14" Type="http://schemas.openxmlformats.org/officeDocument/2006/relationships/hyperlink" Target="https://drive.google.com/uc?export=download&amp;id=1wn7jP0LRreTcszDctrcm__W76MOgrlRo" TargetMode="External"/><Relationship Id="rId17" Type="http://schemas.openxmlformats.org/officeDocument/2006/relationships/hyperlink" Target="https://drive.google.com/uc?export=download&amp;id=1lD128ta7AFmq0vsNhIA2IGHHi3I_sePd" TargetMode="External"/><Relationship Id="rId16" Type="http://schemas.openxmlformats.org/officeDocument/2006/relationships/hyperlink" Target="https://drive.google.com/uc?export=download&amp;id=172yg5xLowRj48xiazrWWuw2IKBPtdKTp" TargetMode="External"/><Relationship Id="rId1340" Type="http://schemas.openxmlformats.org/officeDocument/2006/relationships/hyperlink" Target="https://drive.google.com/uc?export=download&amp;id=1B8ru2DvCRKfUboU3lGp6T7fwK0Kji6-O" TargetMode="External"/><Relationship Id="rId19" Type="http://schemas.openxmlformats.org/officeDocument/2006/relationships/hyperlink" Target="https://drive.google.com/uc?export=download&amp;id=1YdZy_T5OiKcQvVYiHdJQQMMcuF7wUj2v" TargetMode="External"/><Relationship Id="rId752" Type="http://schemas.openxmlformats.org/officeDocument/2006/relationships/hyperlink" Target="https://drive.google.com/uc?export=download&amp;id=1hpz7ZJb7FUYvc6v8PreedcBADovg3cmw" TargetMode="External"/><Relationship Id="rId1341" Type="http://schemas.openxmlformats.org/officeDocument/2006/relationships/hyperlink" Target="https://drive.google.com/uc?export=download&amp;id=1dcRJ528x38Q8JVHHZdyqDThX9b3nQtvZ" TargetMode="External"/><Relationship Id="rId18" Type="http://schemas.openxmlformats.org/officeDocument/2006/relationships/hyperlink" Target="https://drive.google.com/uc?export=download&amp;id=1NQsKs5CAojCS3RslNW-ccCIYhEwuYZ4s" TargetMode="External"/><Relationship Id="rId751" Type="http://schemas.openxmlformats.org/officeDocument/2006/relationships/hyperlink" Target="https://drive.google.com/uc?export=download&amp;id=1vFpCI2TaEZJNhtN7iWdjgdPCpF0lPTHS" TargetMode="External"/><Relationship Id="rId1342" Type="http://schemas.openxmlformats.org/officeDocument/2006/relationships/hyperlink" Target="https://drive.google.com/uc?export=download&amp;id=1rZqo5RqYqvjdz-SjSaOCAuwnhdW9LrhV" TargetMode="External"/><Relationship Id="rId750" Type="http://schemas.openxmlformats.org/officeDocument/2006/relationships/hyperlink" Target="https://drive.google.com/uc?export=download&amp;id=1jry0ZbavERqTPRsgkC3zo1DHo8lGaCVO" TargetMode="External"/><Relationship Id="rId1343" Type="http://schemas.openxmlformats.org/officeDocument/2006/relationships/hyperlink" Target="https://drive.google.com/uc?export=download&amp;id=17eS8fneMny0u6B2GVjg44r-PUfYm05wR" TargetMode="External"/><Relationship Id="rId1344" Type="http://schemas.openxmlformats.org/officeDocument/2006/relationships/hyperlink" Target="https://drive.google.com/uc?export=download&amp;id=1ToHm3AMLu1w3GzGlynLXWuh9BHZ5nEix" TargetMode="External"/><Relationship Id="rId84" Type="http://schemas.openxmlformats.org/officeDocument/2006/relationships/hyperlink" Target="https://drive.google.com/uc?export=download&amp;id=102HkIFWa_XxTm-ULbsYrX6w8Kr_kDikH" TargetMode="External"/><Relationship Id="rId1774" Type="http://schemas.openxmlformats.org/officeDocument/2006/relationships/hyperlink" Target="https://drive.google.com/uc?export=download&amp;id=1wx6RxOxed7Hwx212H3GcKVs1ndxdvYnc" TargetMode="External"/><Relationship Id="rId83" Type="http://schemas.openxmlformats.org/officeDocument/2006/relationships/hyperlink" Target="https://drive.google.com/uc?export=download&amp;id=1-lawrY_6BtPyrDLIzlZvI78uFo4igmY_" TargetMode="External"/><Relationship Id="rId1775" Type="http://schemas.openxmlformats.org/officeDocument/2006/relationships/hyperlink" Target="https://drive.google.com/uc?export=download&amp;id=1RldX1azqKReE6oZuEFRl9FPxfR_QePa4" TargetMode="External"/><Relationship Id="rId86" Type="http://schemas.openxmlformats.org/officeDocument/2006/relationships/hyperlink" Target="https://drive.google.com/uc?export=download&amp;id=1SwuK0R7BlyQhp4BIddUtoOUJyl9zwHkI" TargetMode="External"/><Relationship Id="rId1776" Type="http://schemas.openxmlformats.org/officeDocument/2006/relationships/hyperlink" Target="https://drive.google.com/uc?export=download&amp;id=11RCUR0w-ubOVwb8i9RFiGjOrz3plHXb7" TargetMode="External"/><Relationship Id="rId85" Type="http://schemas.openxmlformats.org/officeDocument/2006/relationships/hyperlink" Target="https://drive.google.com/uc?export=download&amp;id=1bF3VyzN50lzGvoYeeGnHTq_NRHUoKkf5" TargetMode="External"/><Relationship Id="rId1777" Type="http://schemas.openxmlformats.org/officeDocument/2006/relationships/hyperlink" Target="https://drive.google.com/uc?export=download&amp;id=1KVhazZM6CHJgaDkJii7eeQO0I5wP4oQo" TargetMode="External"/><Relationship Id="rId88" Type="http://schemas.openxmlformats.org/officeDocument/2006/relationships/hyperlink" Target="https://drive.google.com/uc?export=download&amp;id=13zhcqbybM80EZ9kzq1zhL86mTF2FCbkH" TargetMode="External"/><Relationship Id="rId1778" Type="http://schemas.openxmlformats.org/officeDocument/2006/relationships/hyperlink" Target="https://drive.google.com/uc?export=download&amp;id=1HKYWgZH2a2pr2jbs63vBAGLGVZuMdteM" TargetMode="External"/><Relationship Id="rId87" Type="http://schemas.openxmlformats.org/officeDocument/2006/relationships/hyperlink" Target="https://drive.google.com/uc?export=download&amp;id=1O5LwSmnYVRqoHZOp2KemnzHv2zhS8kw_" TargetMode="External"/><Relationship Id="rId1779" Type="http://schemas.openxmlformats.org/officeDocument/2006/relationships/hyperlink" Target="https://drive.google.com/uc?export=download&amp;id=1E3CumkWlSurr1d41ospysuDtjbefqymJ" TargetMode="External"/><Relationship Id="rId89" Type="http://schemas.openxmlformats.org/officeDocument/2006/relationships/hyperlink" Target="https://drive.google.com/uc?export=download&amp;id=1aM708et7z04JKb6Rp2kINOe2ogY5IDhu" TargetMode="External"/><Relationship Id="rId709" Type="http://schemas.openxmlformats.org/officeDocument/2006/relationships/hyperlink" Target="https://drive.google.com/uc?export=download&amp;id=1Fy29phwweJt-EKgP_HM67KORc4UP_ujc" TargetMode="External"/><Relationship Id="rId708" Type="http://schemas.openxmlformats.org/officeDocument/2006/relationships/hyperlink" Target="https://drive.google.com/uc?export=download&amp;id=1VQsO5zy3AQU9NNznLKOAxX7TaFf2g9W5" TargetMode="External"/><Relationship Id="rId707" Type="http://schemas.openxmlformats.org/officeDocument/2006/relationships/hyperlink" Target="https://drive.google.com/uc?export=download&amp;id=1lIUBOJmCIlA2AK7XYAbNflQN0oJW5lI2" TargetMode="External"/><Relationship Id="rId706" Type="http://schemas.openxmlformats.org/officeDocument/2006/relationships/hyperlink" Target="https://drive.google.com/uc?export=download&amp;id=1TynGkCWNHR6Vvg3LbmgpaeMH0bkpIl6k" TargetMode="External"/><Relationship Id="rId80" Type="http://schemas.openxmlformats.org/officeDocument/2006/relationships/hyperlink" Target="https://drive.google.com/uc?export=download&amp;id=1_I4AT2z0hdlyyy2swiIp6bkI9bUs5cFd" TargetMode="External"/><Relationship Id="rId82" Type="http://schemas.openxmlformats.org/officeDocument/2006/relationships/hyperlink" Target="https://drive.google.com/uc?export=download&amp;id=1GUkdOspgQ1x7dq8M0FuZY-WDwB35Oj3h" TargetMode="External"/><Relationship Id="rId81" Type="http://schemas.openxmlformats.org/officeDocument/2006/relationships/hyperlink" Target="https://drive.google.com/uc?export=download&amp;id=1VbBcaxvK3uxD0A8AQzNixP-b71iWvU_T" TargetMode="External"/><Relationship Id="rId701" Type="http://schemas.openxmlformats.org/officeDocument/2006/relationships/hyperlink" Target="https://drive.google.com/uc?export=download&amp;id=1ogTAI33_VssRYidhPzfsIxixfgjE2aKb" TargetMode="External"/><Relationship Id="rId700" Type="http://schemas.openxmlformats.org/officeDocument/2006/relationships/hyperlink" Target="https://drive.google.com/uc?export=download&amp;id=1P8oDLXSuHtDBYoIbDzE4KEFseC_zkmjt" TargetMode="External"/><Relationship Id="rId705" Type="http://schemas.openxmlformats.org/officeDocument/2006/relationships/hyperlink" Target="https://drive.google.com/uc?export=download&amp;id=1-cjrzo6sR4jvSD1gVlnHzNpaSLZY7_Lk" TargetMode="External"/><Relationship Id="rId704" Type="http://schemas.openxmlformats.org/officeDocument/2006/relationships/hyperlink" Target="https://drive.google.com/uc?export=download&amp;id=15lA2YmmOXCaD8Or_Y91m_gVKb2wiyGFH" TargetMode="External"/><Relationship Id="rId703" Type="http://schemas.openxmlformats.org/officeDocument/2006/relationships/hyperlink" Target="https://drive.google.com/uc?export=download&amp;id=1fhiqnvpihHtOSycPmHHMaFj1ZbYkDxz6" TargetMode="External"/><Relationship Id="rId702" Type="http://schemas.openxmlformats.org/officeDocument/2006/relationships/hyperlink" Target="https://drive.google.com/uc?export=download&amp;id=1va1Hiwyk3zJA9wUsVMcgf4dQzsbS8z72" TargetMode="External"/><Relationship Id="rId1770" Type="http://schemas.openxmlformats.org/officeDocument/2006/relationships/hyperlink" Target="https://drive.google.com/uc?export=download&amp;id=1FlnZdbDXQbAb4UM251YV6r7rKGqb6yNH" TargetMode="External"/><Relationship Id="rId1771" Type="http://schemas.openxmlformats.org/officeDocument/2006/relationships/hyperlink" Target="https://drive.google.com/uc?export=download&amp;id=1pnKy9RYCKxKF2q9lHaIY6qbWgWw6QNcU" TargetMode="External"/><Relationship Id="rId1772" Type="http://schemas.openxmlformats.org/officeDocument/2006/relationships/hyperlink" Target="https://drive.google.com/uc?export=download&amp;id=1B0HbvqEw9Q6rbJxlQT_F6MSrkJFzWwUX" TargetMode="External"/><Relationship Id="rId1773" Type="http://schemas.openxmlformats.org/officeDocument/2006/relationships/hyperlink" Target="https://drive.google.com/uc?export=download&amp;id=1yQW9RWcK-oyQvhf-F5tCXJCVnSiDAlC7" TargetMode="External"/><Relationship Id="rId73" Type="http://schemas.openxmlformats.org/officeDocument/2006/relationships/hyperlink" Target="https://drive.google.com/uc?export=download&amp;id=14aYlDpuc3THDDt1u6xiwYKKL90fGc_LI" TargetMode="External"/><Relationship Id="rId1763" Type="http://schemas.openxmlformats.org/officeDocument/2006/relationships/hyperlink" Target="https://drive.google.com/uc?export=download&amp;id=1fV9sQ6L1C_oIIgMPUggozWqDQrouwUEh" TargetMode="External"/><Relationship Id="rId72" Type="http://schemas.openxmlformats.org/officeDocument/2006/relationships/hyperlink" Target="https://drive.google.com/uc?export=download&amp;id=1Nmz2kf2o-DdiHhah0LMGE8tMgKsZ_70f" TargetMode="External"/><Relationship Id="rId1764" Type="http://schemas.openxmlformats.org/officeDocument/2006/relationships/hyperlink" Target="https://drive.google.com/uc?export=download&amp;id=1KmQPfJ5Io9aCGCD6NlnA_k5eUFaGIvm1" TargetMode="External"/><Relationship Id="rId75" Type="http://schemas.openxmlformats.org/officeDocument/2006/relationships/hyperlink" Target="https://drive.google.com/uc?export=download&amp;id=1RQajAs7KxH70xfbl7Mbjw2CPYF4ehJXD" TargetMode="External"/><Relationship Id="rId1765" Type="http://schemas.openxmlformats.org/officeDocument/2006/relationships/hyperlink" Target="https://drive.google.com/uc?export=download&amp;id=1wE7nuH8fyxYqH_nwS4T1VfBV_GdJzKto" TargetMode="External"/><Relationship Id="rId74" Type="http://schemas.openxmlformats.org/officeDocument/2006/relationships/hyperlink" Target="https://drive.google.com/uc?export=download&amp;id=1yQ-m3jrz_GVuBV4wHegaykrrS_cB7Jbv" TargetMode="External"/><Relationship Id="rId1766" Type="http://schemas.openxmlformats.org/officeDocument/2006/relationships/hyperlink" Target="https://drive.google.com/uc?export=download&amp;id=1xwhPLwNs4KeHrRCdMt5CEF8iPquGCAtW" TargetMode="External"/><Relationship Id="rId77" Type="http://schemas.openxmlformats.org/officeDocument/2006/relationships/hyperlink" Target="https://drive.google.com/uc?export=download&amp;id=1OkTRCXu33pxM6cXOT5fbAKfmXK4FM3gs" TargetMode="External"/><Relationship Id="rId1767" Type="http://schemas.openxmlformats.org/officeDocument/2006/relationships/hyperlink" Target="https://drive.google.com/uc?export=download&amp;id=1cvpvhmQ5HDMqfrogUdFCmf8UyiHJm-S3" TargetMode="External"/><Relationship Id="rId76" Type="http://schemas.openxmlformats.org/officeDocument/2006/relationships/hyperlink" Target="https://drive.google.com/uc?export=download&amp;id=17UKUybsrE_bOLlNPSxefRudkwOFQYGew" TargetMode="External"/><Relationship Id="rId1768" Type="http://schemas.openxmlformats.org/officeDocument/2006/relationships/hyperlink" Target="https://drive.google.com/uc?export=download&amp;id=1rynerTKZwAdxtmUP8w3J1KitWZe3zi2j" TargetMode="External"/><Relationship Id="rId79" Type="http://schemas.openxmlformats.org/officeDocument/2006/relationships/hyperlink" Target="https://drive.google.com/uc?export=download&amp;id=1FVEkN2AuF3Kwii9hJdVFwRzXminbU1wB" TargetMode="External"/><Relationship Id="rId1769" Type="http://schemas.openxmlformats.org/officeDocument/2006/relationships/hyperlink" Target="https://drive.google.com/uc?export=download&amp;id=1EcddRgvkH7mXFljFyWZ9WPp20eMgsUM-" TargetMode="External"/><Relationship Id="rId78" Type="http://schemas.openxmlformats.org/officeDocument/2006/relationships/hyperlink" Target="https://drive.google.com/uc?export=download&amp;id=159VN7uEnvnoDupI9WrpEHytZI1Pk1XB-" TargetMode="External"/><Relationship Id="rId71" Type="http://schemas.openxmlformats.org/officeDocument/2006/relationships/hyperlink" Target="https://drive.google.com/uc?export=download&amp;id=1-XtUJQfdGnzIII2qVy7G81usu2qoqYRc" TargetMode="External"/><Relationship Id="rId70" Type="http://schemas.openxmlformats.org/officeDocument/2006/relationships/hyperlink" Target="https://drive.google.com/uc?export=download&amp;id=16FoEfW547H6G1j79kZIE8iylFj_ZmwY9" TargetMode="External"/><Relationship Id="rId1760" Type="http://schemas.openxmlformats.org/officeDocument/2006/relationships/hyperlink" Target="https://drive.google.com/uc?export=download&amp;id=1ELFOiiCjsrfmA6k6aVMpTmnpOARrcf6P" TargetMode="External"/><Relationship Id="rId1761" Type="http://schemas.openxmlformats.org/officeDocument/2006/relationships/hyperlink" Target="https://drive.google.com/uc?export=download&amp;id=12QM4twjVG-T7tufwmwy0au161mIDCybG" TargetMode="External"/><Relationship Id="rId1762" Type="http://schemas.openxmlformats.org/officeDocument/2006/relationships/hyperlink" Target="https://drive.google.com/uc?export=download&amp;id=1LpOyHRbAZrfzxpthgIcwWDUP6M56P8i4" TargetMode="External"/><Relationship Id="rId62" Type="http://schemas.openxmlformats.org/officeDocument/2006/relationships/hyperlink" Target="https://drive.google.com/uc?export=download&amp;id=1_dB7eSMPmySwvuzQT99V7uBuJp8SW2Ae" TargetMode="External"/><Relationship Id="rId1312" Type="http://schemas.openxmlformats.org/officeDocument/2006/relationships/hyperlink" Target="https://drive.google.com/uc?export=download&amp;id=1HUvugK39spr0NXqSjUX6_pJL4p41vD9X" TargetMode="External"/><Relationship Id="rId1796" Type="http://schemas.openxmlformats.org/officeDocument/2006/relationships/hyperlink" Target="https://drive.google.com/uc?export=download&amp;id=1cTBAWGjn54SFIFQhLcrsm8N6_HRGMQej" TargetMode="External"/><Relationship Id="rId61" Type="http://schemas.openxmlformats.org/officeDocument/2006/relationships/hyperlink" Target="https://drive.google.com/uc?export=download&amp;id=1Vh_e9hh7p8JFsxolqs_PMPdYsV1IvK5P" TargetMode="External"/><Relationship Id="rId1313" Type="http://schemas.openxmlformats.org/officeDocument/2006/relationships/hyperlink" Target="https://drive.google.com/uc?export=download&amp;id=12YELlACu0riWrmJ_Q7P3zk43my1qEO3y" TargetMode="External"/><Relationship Id="rId1797" Type="http://schemas.openxmlformats.org/officeDocument/2006/relationships/hyperlink" Target="https://drive.google.com/uc?export=download&amp;id=1WUR9ypZUaidYXKdbIywUKzmDx1MajgBg" TargetMode="External"/><Relationship Id="rId64" Type="http://schemas.openxmlformats.org/officeDocument/2006/relationships/hyperlink" Target="https://drive.google.com/uc?export=download&amp;id=1ArxuTGGYI_cGsEU65O9S5B0flexFr2B7" TargetMode="External"/><Relationship Id="rId1314" Type="http://schemas.openxmlformats.org/officeDocument/2006/relationships/hyperlink" Target="https://drive.google.com/uc?export=download&amp;id=1G2X1b1Q9r9LTUdrCzm6Rfkdg6j1PdkP7" TargetMode="External"/><Relationship Id="rId1798" Type="http://schemas.openxmlformats.org/officeDocument/2006/relationships/hyperlink" Target="https://drive.google.com/uc?export=download&amp;id=1L323CxfXr2U-EMjr4x-6pmxlETPPXUH3" TargetMode="External"/><Relationship Id="rId63" Type="http://schemas.openxmlformats.org/officeDocument/2006/relationships/hyperlink" Target="https://drive.google.com/uc?export=download&amp;id=17DiQBXsAO7UR3gsT0Gj-7WVe0QxiEp2c" TargetMode="External"/><Relationship Id="rId1315" Type="http://schemas.openxmlformats.org/officeDocument/2006/relationships/hyperlink" Target="https://drive.google.com/uc?export=download&amp;id=10QjR-N_1ycK8ygFjY7x17J8mohsJuZ4y" TargetMode="External"/><Relationship Id="rId1799" Type="http://schemas.openxmlformats.org/officeDocument/2006/relationships/hyperlink" Target="https://drive.google.com/uc?export=download&amp;id=1V0Wd1mk39NugqakWgBBdp9zANoiYLV2E" TargetMode="External"/><Relationship Id="rId66" Type="http://schemas.openxmlformats.org/officeDocument/2006/relationships/hyperlink" Target="https://drive.google.com/uc?export=download&amp;id=1gPmFLfDCX2lTKsQ2jU8GKxO4GuX1OF6b" TargetMode="External"/><Relationship Id="rId1316" Type="http://schemas.openxmlformats.org/officeDocument/2006/relationships/hyperlink" Target="https://drive.google.com/uc?export=download&amp;id=1q-xuT70rWN8wcF785-Bs886KmfU8v-83" TargetMode="External"/><Relationship Id="rId65" Type="http://schemas.openxmlformats.org/officeDocument/2006/relationships/hyperlink" Target="https://drive.google.com/uc?export=download&amp;id=15VWx0Ykvmdpc_X4ew-Amtanqx7bn5ouH" TargetMode="External"/><Relationship Id="rId1317" Type="http://schemas.openxmlformats.org/officeDocument/2006/relationships/hyperlink" Target="https://drive.google.com/uc?export=download&amp;id=1syu7S5R_5C9sOR0STrTS9Dsw54ROG4h7" TargetMode="External"/><Relationship Id="rId68" Type="http://schemas.openxmlformats.org/officeDocument/2006/relationships/hyperlink" Target="https://drive.google.com/uc?export=download&amp;id=1VNd91WE-MXMfpKkV_fhHklpSVOlCwMjt" TargetMode="External"/><Relationship Id="rId1318" Type="http://schemas.openxmlformats.org/officeDocument/2006/relationships/hyperlink" Target="https://drive.google.com/uc?export=download&amp;id=1LAW-kGKlqxTja-w42oeRR2r7r38Mac2M" TargetMode="External"/><Relationship Id="rId67" Type="http://schemas.openxmlformats.org/officeDocument/2006/relationships/hyperlink" Target="https://drive.google.com/uc?export=download&amp;id=1VN_X8t5ZnJSKMlzYk-ICr8J23APLdEEW" TargetMode="External"/><Relationship Id="rId1319" Type="http://schemas.openxmlformats.org/officeDocument/2006/relationships/hyperlink" Target="https://drive.google.com/uc?export=download&amp;id=1rZ94Y0GlFMujUKcTiQ2nOan_hrlf7dHm" TargetMode="External"/><Relationship Id="rId729" Type="http://schemas.openxmlformats.org/officeDocument/2006/relationships/hyperlink" Target="https://drive.google.com/uc?export=download&amp;id=1YZgbN65l6Qa5HFx8-CkLn1Uw6jnGWHAP" TargetMode="External"/><Relationship Id="rId728" Type="http://schemas.openxmlformats.org/officeDocument/2006/relationships/hyperlink" Target="https://drive.google.com/uc?export=download&amp;id=19BCfGplG-7Nd2NTirKnXnqHtFOkfvql4" TargetMode="External"/><Relationship Id="rId60" Type="http://schemas.openxmlformats.org/officeDocument/2006/relationships/hyperlink" Target="https://drive.google.com/uc?export=download&amp;id=1BaK9hQ85itMWnwjiHCpLoF5F8OJcpLm9" TargetMode="External"/><Relationship Id="rId723" Type="http://schemas.openxmlformats.org/officeDocument/2006/relationships/hyperlink" Target="https://drive.google.com/uc?export=download&amp;id=1djYMwayGogLxjSw2sXJ2JkF_tE4gJ1GD" TargetMode="External"/><Relationship Id="rId722" Type="http://schemas.openxmlformats.org/officeDocument/2006/relationships/hyperlink" Target="https://drive.google.com/uc?export=download&amp;id=1YDMB1dZVNztL3Pf1FDVma4nBNsvI_mqd" TargetMode="External"/><Relationship Id="rId721" Type="http://schemas.openxmlformats.org/officeDocument/2006/relationships/hyperlink" Target="https://drive.google.com/uc?export=download&amp;id=13Mjqph6X1JbdbvVf6IVLbd6Ie_i2oAlV" TargetMode="External"/><Relationship Id="rId720" Type="http://schemas.openxmlformats.org/officeDocument/2006/relationships/hyperlink" Target="https://drive.google.com/uc?export=download&amp;id=1RbHhvjmU7jVNsslqlZWNZsG8jnjH5b5-" TargetMode="External"/><Relationship Id="rId727" Type="http://schemas.openxmlformats.org/officeDocument/2006/relationships/hyperlink" Target="https://drive.google.com/uc?export=download&amp;id=1sBU8lxlWSqfV5r64xQF8urPQ5rG5GtiH" TargetMode="External"/><Relationship Id="rId726" Type="http://schemas.openxmlformats.org/officeDocument/2006/relationships/hyperlink" Target="https://drive.google.com/uc?export=download&amp;id=1dsHzGf2cRDucqYQZBpkRMLfILYXqEGUR" TargetMode="External"/><Relationship Id="rId725" Type="http://schemas.openxmlformats.org/officeDocument/2006/relationships/hyperlink" Target="https://drive.google.com/uc?export=download&amp;id=1lge_R6xDKo_rovV_4Umpn7Xz1ZRiGizn" TargetMode="External"/><Relationship Id="rId724" Type="http://schemas.openxmlformats.org/officeDocument/2006/relationships/hyperlink" Target="https://drive.google.com/uc?export=download&amp;id=1K5WY0lBBiR30PcvqXPovBM50Yh-nnwmI" TargetMode="External"/><Relationship Id="rId69" Type="http://schemas.openxmlformats.org/officeDocument/2006/relationships/hyperlink" Target="https://drive.google.com/uc?export=download&amp;id=1ziKQNzotbKqwSU-dCDbOs1w8-9__aE7s" TargetMode="External"/><Relationship Id="rId1790" Type="http://schemas.openxmlformats.org/officeDocument/2006/relationships/hyperlink" Target="https://drive.google.com/uc?export=download&amp;id=1a2wMDO_RQk_nRUSYqQzWDMXYKbN0F7zD" TargetMode="External"/><Relationship Id="rId1791" Type="http://schemas.openxmlformats.org/officeDocument/2006/relationships/hyperlink" Target="https://drive.google.com/uc?export=download&amp;id=12PWRZ3PmeFCawK0e5olMQh8j4hCLcYtJ" TargetMode="External"/><Relationship Id="rId1792" Type="http://schemas.openxmlformats.org/officeDocument/2006/relationships/hyperlink" Target="https://drive.google.com/uc?export=download&amp;id=12F8qhCc1Jixffj10gPuDVqG3h1cSLUjv" TargetMode="External"/><Relationship Id="rId1793" Type="http://schemas.openxmlformats.org/officeDocument/2006/relationships/hyperlink" Target="https://drive.google.com/uc?export=download&amp;id=1AtdR12WVn32mEIrbj_PTcClnTGreBalI" TargetMode="External"/><Relationship Id="rId1310" Type="http://schemas.openxmlformats.org/officeDocument/2006/relationships/hyperlink" Target="https://drive.google.com/uc?export=download&amp;id=1SNpMsy9jW1BrMEkPl4HVJbX3MsKSyQbu" TargetMode="External"/><Relationship Id="rId1794" Type="http://schemas.openxmlformats.org/officeDocument/2006/relationships/hyperlink" Target="https://drive.google.com/uc?export=download&amp;id=1JmLBjRulFPiNt_W1yHJJGz60QdtOYpWB" TargetMode="External"/><Relationship Id="rId1311" Type="http://schemas.openxmlformats.org/officeDocument/2006/relationships/hyperlink" Target="https://drive.google.com/uc?export=download&amp;id=1oaP0HGzgxf7qsJfUImongZ2rtgNvKCFq" TargetMode="External"/><Relationship Id="rId1795" Type="http://schemas.openxmlformats.org/officeDocument/2006/relationships/hyperlink" Target="https://drive.google.com/uc?export=download&amp;id=1dHA2E8uTqWcABc8QYxJD4JHGSWotsrav" TargetMode="External"/><Relationship Id="rId51" Type="http://schemas.openxmlformats.org/officeDocument/2006/relationships/hyperlink" Target="https://drive.google.com/uc?export=download&amp;id=1VGNKODhEKfvzsUTw0Col9PpPiS6RBB2m" TargetMode="External"/><Relationship Id="rId1301" Type="http://schemas.openxmlformats.org/officeDocument/2006/relationships/hyperlink" Target="https://drive.google.com/uc?export=download&amp;id=1a9-62P1WX-SYINiGrYlTcF32zTDA4eiQ" TargetMode="External"/><Relationship Id="rId1785" Type="http://schemas.openxmlformats.org/officeDocument/2006/relationships/hyperlink" Target="https://drive.google.com/uc?export=download&amp;id=1CIjrWXYLHL5X5p3-nWQ1S5QVxzBSLc9T" TargetMode="External"/><Relationship Id="rId50" Type="http://schemas.openxmlformats.org/officeDocument/2006/relationships/hyperlink" Target="https://drive.google.com/uc?export=download&amp;id=1xfv36C4nh1q4h86BoaSiFvOyFtL4WPBI" TargetMode="External"/><Relationship Id="rId1302" Type="http://schemas.openxmlformats.org/officeDocument/2006/relationships/hyperlink" Target="https://drive.google.com/uc?export=download&amp;id=10dZhseOZ4X-VI7vX5GC7F94-ygYZ7Qqx" TargetMode="External"/><Relationship Id="rId1786" Type="http://schemas.openxmlformats.org/officeDocument/2006/relationships/hyperlink" Target="https://drive.google.com/uc?export=download&amp;id=1G5tjnFDZLzFXZdnci9wmgiAPmQUSGOo5" TargetMode="External"/><Relationship Id="rId53" Type="http://schemas.openxmlformats.org/officeDocument/2006/relationships/hyperlink" Target="https://drive.google.com/uc?export=download&amp;id=1ZoZo9LXfiA7TsJgyRWSwItQDAQrrumun" TargetMode="External"/><Relationship Id="rId1303" Type="http://schemas.openxmlformats.org/officeDocument/2006/relationships/hyperlink" Target="https://drive.google.com/uc?export=download&amp;id=1jARbK-lJy70NTGOpJNF5ejtZ_m0Snv1V" TargetMode="External"/><Relationship Id="rId1787" Type="http://schemas.openxmlformats.org/officeDocument/2006/relationships/hyperlink" Target="https://drive.google.com/uc?export=download&amp;id=1jcS7geGjDaUYrZChm0WTwkw93oqDLQ13" TargetMode="External"/><Relationship Id="rId52" Type="http://schemas.openxmlformats.org/officeDocument/2006/relationships/hyperlink" Target="https://drive.google.com/uc?export=download&amp;id=1Xsm-KbyyCqQdi5Ddnd_iBw6OC3PgE1FM" TargetMode="External"/><Relationship Id="rId1304" Type="http://schemas.openxmlformats.org/officeDocument/2006/relationships/hyperlink" Target="https://drive.google.com/uc?export=download&amp;id=1P5neYEWvzYAXTa-A6sfceNXOe4TfmYmy" TargetMode="External"/><Relationship Id="rId1788" Type="http://schemas.openxmlformats.org/officeDocument/2006/relationships/hyperlink" Target="https://drive.google.com/uc?export=download&amp;id=1Aj7oRhNKRCKO94QOI8bSqmy5CnUqpm39" TargetMode="External"/><Relationship Id="rId55" Type="http://schemas.openxmlformats.org/officeDocument/2006/relationships/hyperlink" Target="https://drive.google.com/uc?export=download&amp;id=1azz6SwY5xkasADNY2_RohXhWEysGGv1t" TargetMode="External"/><Relationship Id="rId1305" Type="http://schemas.openxmlformats.org/officeDocument/2006/relationships/hyperlink" Target="https://drive.google.com/uc?export=download&amp;id=1J--JiqC3xF1l5b_ypp6RlKj4g7VEgIN6" TargetMode="External"/><Relationship Id="rId1789" Type="http://schemas.openxmlformats.org/officeDocument/2006/relationships/hyperlink" Target="https://drive.google.com/uc?export=download&amp;id=1vVIyXspinO63iQaC7Nnxe5OA2f618Kk0" TargetMode="External"/><Relationship Id="rId54" Type="http://schemas.openxmlformats.org/officeDocument/2006/relationships/hyperlink" Target="https://drive.google.com/uc?export=download&amp;id=1wWq30yX4O5Xx8C5aLKGXTntODOneqYtC" TargetMode="External"/><Relationship Id="rId1306" Type="http://schemas.openxmlformats.org/officeDocument/2006/relationships/hyperlink" Target="https://drive.google.com/uc?export=download&amp;id=1wlqIVZnX1IkN0XY1i3dtrrwNHaj2XFD8" TargetMode="External"/><Relationship Id="rId57" Type="http://schemas.openxmlformats.org/officeDocument/2006/relationships/hyperlink" Target="https://drive.google.com/uc?export=download&amp;id=1VO1n4wmngJRNqmmo_VJRpYB5MhRO9Ee7" TargetMode="External"/><Relationship Id="rId1307" Type="http://schemas.openxmlformats.org/officeDocument/2006/relationships/hyperlink" Target="https://drive.google.com/uc?export=download&amp;id=1zgzGW9-PpBOZRhUIOs0YAnSXoNvZBzfE" TargetMode="External"/><Relationship Id="rId56" Type="http://schemas.openxmlformats.org/officeDocument/2006/relationships/hyperlink" Target="https://drive.google.com/uc?export=download&amp;id=1yrXkXeiQK3N1vl8jCX-G9CVQtsyIXE99" TargetMode="External"/><Relationship Id="rId1308" Type="http://schemas.openxmlformats.org/officeDocument/2006/relationships/hyperlink" Target="https://drive.google.com/uc?export=download&amp;id=1hag_dld7akkLCGgLp_QBoSYgi79WoER4" TargetMode="External"/><Relationship Id="rId1309" Type="http://schemas.openxmlformats.org/officeDocument/2006/relationships/hyperlink" Target="https://drive.google.com/uc?export=download&amp;id=1BVyC7fzmLoujwG9azhUBIRVcBtWHC1WJ" TargetMode="External"/><Relationship Id="rId719" Type="http://schemas.openxmlformats.org/officeDocument/2006/relationships/hyperlink" Target="https://drive.google.com/uc?export=download&amp;id=1S5W02U7hKtAYSpEAmBIlxQoypSxF776q" TargetMode="External"/><Relationship Id="rId718" Type="http://schemas.openxmlformats.org/officeDocument/2006/relationships/hyperlink" Target="https://drive.google.com/uc?export=download&amp;id=1JCyket-jMlqO8lV1r90h0BEai1T-ntXz" TargetMode="External"/><Relationship Id="rId717" Type="http://schemas.openxmlformats.org/officeDocument/2006/relationships/hyperlink" Target="https://drive.google.com/uc?export=download&amp;id=1LilszWvm8ChLF64icPXNxIetYdCwBH6d" TargetMode="External"/><Relationship Id="rId712" Type="http://schemas.openxmlformats.org/officeDocument/2006/relationships/hyperlink" Target="https://drive.google.com/uc?export=download&amp;id=1C7OKgS4lwtWj7viyIFUZhOFyVFNa12Ov" TargetMode="External"/><Relationship Id="rId711" Type="http://schemas.openxmlformats.org/officeDocument/2006/relationships/hyperlink" Target="https://drive.google.com/uc?export=download&amp;id=1QQoKHOBpjN-tUmJY-qb77vgfeDRVhnoL" TargetMode="External"/><Relationship Id="rId710" Type="http://schemas.openxmlformats.org/officeDocument/2006/relationships/hyperlink" Target="https://drive.google.com/uc?export=download&amp;id=1R8JulmV1ZP9ENGcIJUch-jSJLJOuD_6v" TargetMode="External"/><Relationship Id="rId716" Type="http://schemas.openxmlformats.org/officeDocument/2006/relationships/hyperlink" Target="https://drive.google.com/uc?export=download&amp;id=1HQy-r-_Aok-8NSjfyEah62fF44blI14Y" TargetMode="External"/><Relationship Id="rId715" Type="http://schemas.openxmlformats.org/officeDocument/2006/relationships/hyperlink" Target="https://drive.google.com/uc?export=download&amp;id=18wcMkBcSu5pApyyxCnqjCo3JEkuy5OLO" TargetMode="External"/><Relationship Id="rId714" Type="http://schemas.openxmlformats.org/officeDocument/2006/relationships/hyperlink" Target="https://drive.google.com/uc?export=download&amp;id=1Eod-OyQHiiDj9Z38ps8JqrkymndOjzl1" TargetMode="External"/><Relationship Id="rId713" Type="http://schemas.openxmlformats.org/officeDocument/2006/relationships/hyperlink" Target="https://drive.google.com/uc?export=download&amp;id=1p8qwoxkSdztt6wmfuHG_DmxnXsC9TpDl" TargetMode="External"/><Relationship Id="rId59" Type="http://schemas.openxmlformats.org/officeDocument/2006/relationships/hyperlink" Target="https://drive.google.com/uc?export=download&amp;id=1LAJbrpxnFPm9rMANDoGxHKe7_-T9-EHg" TargetMode="External"/><Relationship Id="rId58" Type="http://schemas.openxmlformats.org/officeDocument/2006/relationships/hyperlink" Target="https://drive.google.com/uc?export=download&amp;id=1GoLrM9s4kSnxB1YQcAUmWuE6sfpBHQIK" TargetMode="External"/><Relationship Id="rId1780" Type="http://schemas.openxmlformats.org/officeDocument/2006/relationships/hyperlink" Target="https://drive.google.com/uc?export=download&amp;id=1KdvyM3ns9YyHnt24rhqBO_7SqX6V_SEu" TargetMode="External"/><Relationship Id="rId1781" Type="http://schemas.openxmlformats.org/officeDocument/2006/relationships/hyperlink" Target="https://drive.google.com/uc?export=download&amp;id=1rohSKugdNr1oSwAOUvEwt51h1njfwx9r" TargetMode="External"/><Relationship Id="rId1782" Type="http://schemas.openxmlformats.org/officeDocument/2006/relationships/hyperlink" Target="https://drive.google.com/uc?export=download&amp;id=1dBnQTfIEU4UFLmhxNgzaTA0IpWEYLdzg" TargetMode="External"/><Relationship Id="rId1783" Type="http://schemas.openxmlformats.org/officeDocument/2006/relationships/hyperlink" Target="https://drive.google.com/uc?export=download&amp;id=1y-sfphajilf-OOjpdcrLp3mA8lxYlj1U" TargetMode="External"/><Relationship Id="rId1300" Type="http://schemas.openxmlformats.org/officeDocument/2006/relationships/hyperlink" Target="https://drive.google.com/uc?export=download&amp;id=1_VTahPtSg1DXeQ6nUdvRfmqISQDm0SW1" TargetMode="External"/><Relationship Id="rId1784" Type="http://schemas.openxmlformats.org/officeDocument/2006/relationships/hyperlink" Target="https://drive.google.com/uc?export=download&amp;id=19EvvFQ-P_C0s4mv_AQh6CMml7f9hfB4u" TargetMode="External"/><Relationship Id="rId349" Type="http://schemas.openxmlformats.org/officeDocument/2006/relationships/hyperlink" Target="https://drive.google.com/uc?export=download&amp;id=1phb6-UT8tOGEu-SJfTxoPjWzCAoUArQY" TargetMode="External"/><Relationship Id="rId348" Type="http://schemas.openxmlformats.org/officeDocument/2006/relationships/hyperlink" Target="https://drive.google.com/uc?export=download&amp;id=1oJM0tqAguapIv76iz1qeYXhSsJW8wDWi" TargetMode="External"/><Relationship Id="rId347" Type="http://schemas.openxmlformats.org/officeDocument/2006/relationships/hyperlink" Target="https://drive.google.com/uc?export=download&amp;id=1mA5Ctd0iPWOhvewrj41klcWAAb9qzzfh" TargetMode="External"/><Relationship Id="rId346" Type="http://schemas.openxmlformats.org/officeDocument/2006/relationships/hyperlink" Target="https://drive.google.com/uc?export=download&amp;id=1AZC2E6gtFD7ybkRTwtVUhJxgkm_vc3oG" TargetMode="External"/><Relationship Id="rId341" Type="http://schemas.openxmlformats.org/officeDocument/2006/relationships/hyperlink" Target="https://drive.google.com/uc?export=download&amp;id=1J4TP_44LvwKq6YIzaPJvO4jUH9-sZD1p" TargetMode="External"/><Relationship Id="rId340" Type="http://schemas.openxmlformats.org/officeDocument/2006/relationships/hyperlink" Target="https://drive.google.com/uc?export=download&amp;id=1eQLyVyqwNNokyJe48ycrQ6KGSx0aeVE_" TargetMode="External"/><Relationship Id="rId345" Type="http://schemas.openxmlformats.org/officeDocument/2006/relationships/hyperlink" Target="https://drive.google.com/uc?export=download&amp;id=1a0MPTtxltX-t6uRTzzmt-NWad9b5b0uC" TargetMode="External"/><Relationship Id="rId344" Type="http://schemas.openxmlformats.org/officeDocument/2006/relationships/hyperlink" Target="https://drive.google.com/uc?export=download&amp;id=1MZnwYb8ZVs0gsAVh3YbdADDVCzgLGHyU" TargetMode="External"/><Relationship Id="rId343" Type="http://schemas.openxmlformats.org/officeDocument/2006/relationships/hyperlink" Target="https://drive.google.com/uc?export=download&amp;id=1Vv8BU6hCRwfdmczGRGICRxui2OCQcFek" TargetMode="External"/><Relationship Id="rId342" Type="http://schemas.openxmlformats.org/officeDocument/2006/relationships/hyperlink" Target="https://drive.google.com/uc?export=download&amp;id=1t5wmeln-e8mhcmjnT8eO7Mkf6_P6th-d" TargetMode="External"/><Relationship Id="rId338" Type="http://schemas.openxmlformats.org/officeDocument/2006/relationships/hyperlink" Target="https://drive.google.com/uc?export=download&amp;id=1Wi940FMRgphh0sUDyArrQxleunBwVl2M" TargetMode="External"/><Relationship Id="rId337" Type="http://schemas.openxmlformats.org/officeDocument/2006/relationships/hyperlink" Target="https://drive.google.com/uc?export=download&amp;id=1XNJijzb7C_99oA1gJ4PcYfWVvqqXiMrP" TargetMode="External"/><Relationship Id="rId336" Type="http://schemas.openxmlformats.org/officeDocument/2006/relationships/hyperlink" Target="https://drive.google.com/uc?export=download&amp;id=1pubxgpLhD_c4JwKSKlduhAzUgqFiNJ41" TargetMode="External"/><Relationship Id="rId335" Type="http://schemas.openxmlformats.org/officeDocument/2006/relationships/hyperlink" Target="https://drive.google.com/uc?export=download&amp;id=11TMT_VJ5_RS_iNpGB2lu_ygq7NmDH4In" TargetMode="External"/><Relationship Id="rId339" Type="http://schemas.openxmlformats.org/officeDocument/2006/relationships/hyperlink" Target="https://drive.google.com/uc?export=download&amp;id=1sQjCocPVvfZmQkJG-yN-CbTi10FXvIL4" TargetMode="External"/><Relationship Id="rId330" Type="http://schemas.openxmlformats.org/officeDocument/2006/relationships/hyperlink" Target="https://drive.google.com/uc?export=download&amp;id=1bp52F_cQYVRkjKF33B4j0Y3TlWitgdu_" TargetMode="External"/><Relationship Id="rId334" Type="http://schemas.openxmlformats.org/officeDocument/2006/relationships/hyperlink" Target="https://drive.google.com/uc?export=download&amp;id=1HBXa6hnwPuBXAvd97sPNIpsJ1vV4-M0R" TargetMode="External"/><Relationship Id="rId333" Type="http://schemas.openxmlformats.org/officeDocument/2006/relationships/hyperlink" Target="https://drive.google.com/uc?export=download&amp;id=1twVFmcjEkTcdPsDktYCMmKbk0gn2yo-S" TargetMode="External"/><Relationship Id="rId332" Type="http://schemas.openxmlformats.org/officeDocument/2006/relationships/hyperlink" Target="https://drive.google.com/uc?export=download&amp;id=1Ml4Kos947LYULtfa0FT8R4gleLBiK9jR" TargetMode="External"/><Relationship Id="rId331" Type="http://schemas.openxmlformats.org/officeDocument/2006/relationships/hyperlink" Target="https://drive.google.com/uc?export=download&amp;id=1Hyr0h5_lgwSyNAIULKgstr2XNc1a-_XI" TargetMode="External"/><Relationship Id="rId370" Type="http://schemas.openxmlformats.org/officeDocument/2006/relationships/hyperlink" Target="https://drive.google.com/uc?export=download&amp;id=1ZsTAxQ5g4eb1Zqhq6XmfUgHC0HVRtS9v" TargetMode="External"/><Relationship Id="rId369" Type="http://schemas.openxmlformats.org/officeDocument/2006/relationships/hyperlink" Target="https://drive.google.com/uc?export=download&amp;id=1Bcd7vo_4C0OMWIpqUm_1XFz-CNYKlJQD" TargetMode="External"/><Relationship Id="rId368" Type="http://schemas.openxmlformats.org/officeDocument/2006/relationships/hyperlink" Target="https://drive.google.com/uc?export=download&amp;id=1xctq_6BTIBBaUY9rhJBzyNlzRzThAhwj" TargetMode="External"/><Relationship Id="rId363" Type="http://schemas.openxmlformats.org/officeDocument/2006/relationships/hyperlink" Target="https://drive.google.com/uc?export=download&amp;id=1Za-BD94SrV9bnW2-Ronwr6gXrQHIQu6s" TargetMode="External"/><Relationship Id="rId362" Type="http://schemas.openxmlformats.org/officeDocument/2006/relationships/hyperlink" Target="https://drive.google.com/uc?export=download&amp;id=1irlXSlQdPvpsLSTV8qS-g8iUZco3u2-g" TargetMode="External"/><Relationship Id="rId361" Type="http://schemas.openxmlformats.org/officeDocument/2006/relationships/hyperlink" Target="https://drive.google.com/uc?export=download&amp;id=16PrR6ayEJb3Vi9SwiL5Jzaatd7tNDE03" TargetMode="External"/><Relationship Id="rId360" Type="http://schemas.openxmlformats.org/officeDocument/2006/relationships/hyperlink" Target="https://drive.google.com/uc?export=download&amp;id=1a6S05kXrrsFO7q4o0C75bRa6iQhxG8_4" TargetMode="External"/><Relationship Id="rId367" Type="http://schemas.openxmlformats.org/officeDocument/2006/relationships/hyperlink" Target="https://drive.google.com/uc?export=download&amp;id=1VvebfU7bxnikRUI5Zt5u6xARyjmH_9lT" TargetMode="External"/><Relationship Id="rId366" Type="http://schemas.openxmlformats.org/officeDocument/2006/relationships/hyperlink" Target="https://drive.google.com/uc?export=download&amp;id=18MCSRbi7rgnYfBUj-HT9-dIEtX_ysY_0" TargetMode="External"/><Relationship Id="rId365" Type="http://schemas.openxmlformats.org/officeDocument/2006/relationships/hyperlink" Target="https://drive.google.com/uc?export=download&amp;id=1env-9mtY2qtVufwJNnyyCn65tG_RgmJb" TargetMode="External"/><Relationship Id="rId364" Type="http://schemas.openxmlformats.org/officeDocument/2006/relationships/hyperlink" Target="https://drive.google.com/uc?export=download&amp;id=1yOpjPJ-QYIDGzrXogxc6p4itN5zDTOqd" TargetMode="External"/><Relationship Id="rId95" Type="http://schemas.openxmlformats.org/officeDocument/2006/relationships/hyperlink" Target="https://drive.google.com/uc?export=download&amp;id=1PcMPuz4h5UWuKJYwAERRFeIyJcfWerKE" TargetMode="External"/><Relationship Id="rId94" Type="http://schemas.openxmlformats.org/officeDocument/2006/relationships/hyperlink" Target="https://drive.google.com/uc?export=download&amp;id=1ifKOSihOFkFLW84oClFYKNWLPiuGTLs4" TargetMode="External"/><Relationship Id="rId97" Type="http://schemas.openxmlformats.org/officeDocument/2006/relationships/hyperlink" Target="https://drive.google.com/uc?export=download&amp;id=1fGhN4Jq1qVhGI4rtc10m_Pty5W3BmOAQ" TargetMode="External"/><Relationship Id="rId96" Type="http://schemas.openxmlformats.org/officeDocument/2006/relationships/hyperlink" Target="https://drive.google.com/uc?export=download&amp;id=1XcV_3BysdNm7KmQ6Q49WwEtB9N-VFcwe" TargetMode="External"/><Relationship Id="rId99" Type="http://schemas.openxmlformats.org/officeDocument/2006/relationships/hyperlink" Target="https://drive.google.com/uc?export=download&amp;id=1WtqPnJjyakwCorNt0fnp9WxuULkIO4kn" TargetMode="External"/><Relationship Id="rId98" Type="http://schemas.openxmlformats.org/officeDocument/2006/relationships/hyperlink" Target="https://drive.google.com/uc?export=download&amp;id=1gCBo_Kn-s1avEZ95-DPuaF4f3L4g1apZ" TargetMode="External"/><Relationship Id="rId91" Type="http://schemas.openxmlformats.org/officeDocument/2006/relationships/hyperlink" Target="https://drive.google.com/uc?export=download&amp;id=19rwiIN4K_eSAWkJkdP0m-a3PrnRZ5Qk8" TargetMode="External"/><Relationship Id="rId90" Type="http://schemas.openxmlformats.org/officeDocument/2006/relationships/hyperlink" Target="https://drive.google.com/uc?export=download&amp;id=10p2sN97yloOw7V6R7oyvsgvQby3H0hu6" TargetMode="External"/><Relationship Id="rId93" Type="http://schemas.openxmlformats.org/officeDocument/2006/relationships/hyperlink" Target="https://drive.google.com/uc?export=download&amp;id=1xa1y0IARU_lrlqbartrOB7_g0k6CE56s" TargetMode="External"/><Relationship Id="rId92" Type="http://schemas.openxmlformats.org/officeDocument/2006/relationships/hyperlink" Target="https://drive.google.com/uc?export=download&amp;id=1lBUkSHVjx4M3SJZIJV8siwFI-hAx8mMr" TargetMode="External"/><Relationship Id="rId359" Type="http://schemas.openxmlformats.org/officeDocument/2006/relationships/hyperlink" Target="https://drive.google.com/uc?export=download&amp;id=1Yz_H7lRwQC5-MtOjxAmWJtddEB1_B6Vc" TargetMode="External"/><Relationship Id="rId358" Type="http://schemas.openxmlformats.org/officeDocument/2006/relationships/hyperlink" Target="https://drive.google.com/uc?export=download&amp;id=16ngd7jNowZDFcrcQ5THgm6afXXOMJTOd" TargetMode="External"/><Relationship Id="rId357" Type="http://schemas.openxmlformats.org/officeDocument/2006/relationships/hyperlink" Target="https://drive.google.com/uc?export=download&amp;id=1BAe6kLXbg6qfOSh3DEB-Bj1ds4oxogom" TargetMode="External"/><Relationship Id="rId352" Type="http://schemas.openxmlformats.org/officeDocument/2006/relationships/hyperlink" Target="https://drive.google.com/uc?export=download&amp;id=12mk-p62Ab-UDtZfQnJo9Ku0qTvIgCFAq" TargetMode="External"/><Relationship Id="rId351" Type="http://schemas.openxmlformats.org/officeDocument/2006/relationships/hyperlink" Target="https://drive.google.com/uc?export=download&amp;id=1usGO_TgrP1-n9hLIwCZUeXUyTu2GVJhj" TargetMode="External"/><Relationship Id="rId350" Type="http://schemas.openxmlformats.org/officeDocument/2006/relationships/hyperlink" Target="https://drive.google.com/uc?export=download&amp;id=16KTLf7_u3jC6NSpsw-inN-5zYByBdtqZ" TargetMode="External"/><Relationship Id="rId356" Type="http://schemas.openxmlformats.org/officeDocument/2006/relationships/hyperlink" Target="https://drive.google.com/uc?export=download&amp;id=1X31Pc1x8vcZYgZfvRH7M3pXZPg_RCQq6" TargetMode="External"/><Relationship Id="rId355" Type="http://schemas.openxmlformats.org/officeDocument/2006/relationships/hyperlink" Target="https://drive.google.com/uc?export=download&amp;id=1ZBgHfzlud48fBxLEwkxdpjX5lbyM7fnC" TargetMode="External"/><Relationship Id="rId354" Type="http://schemas.openxmlformats.org/officeDocument/2006/relationships/hyperlink" Target="https://drive.google.com/uc?export=download&amp;id=1DQIs1ow86fc1VEoO3sfvzBdy_6gOLNCm" TargetMode="External"/><Relationship Id="rId353" Type="http://schemas.openxmlformats.org/officeDocument/2006/relationships/hyperlink" Target="https://drive.google.com/uc?export=download&amp;id=1fKfdPlJ-ecW_uChAUQT4p0KOlUDK7_jF" TargetMode="External"/><Relationship Id="rId1378" Type="http://schemas.openxmlformats.org/officeDocument/2006/relationships/hyperlink" Target="https://drive.google.com/uc?export=download&amp;id=1nwhaoW44CPvlMJEG0gaHXWXJnGheAQFq" TargetMode="External"/><Relationship Id="rId1379" Type="http://schemas.openxmlformats.org/officeDocument/2006/relationships/hyperlink" Target="https://drive.google.com/uc?export=download&amp;id=1LBnjyofNTsGoTBB1aJhrksSXGbC_VpxV" TargetMode="External"/><Relationship Id="rId305" Type="http://schemas.openxmlformats.org/officeDocument/2006/relationships/hyperlink" Target="https://drive.google.com/uc?export=download&amp;id=1iixnrkoTuhKbJXUS7xzs1QIyp_SSihYm" TargetMode="External"/><Relationship Id="rId789" Type="http://schemas.openxmlformats.org/officeDocument/2006/relationships/hyperlink" Target="https://drive.google.com/uc?export=download&amp;id=1zIs6ca-jUi9l8LyNKJWS2Bqyb6X8nbyH" TargetMode="External"/><Relationship Id="rId304" Type="http://schemas.openxmlformats.org/officeDocument/2006/relationships/hyperlink" Target="https://drive.google.com/uc?export=download&amp;id=18kj6f0FKRdmliMlNQoaTrgapBy13E37g" TargetMode="External"/><Relationship Id="rId788" Type="http://schemas.openxmlformats.org/officeDocument/2006/relationships/hyperlink" Target="https://drive.google.com/uc?export=download&amp;id=16z2sjtLx2SGQMZssiqAjHysnukSXz4yg" TargetMode="External"/><Relationship Id="rId303" Type="http://schemas.openxmlformats.org/officeDocument/2006/relationships/hyperlink" Target="https://drive.google.com/uc?export=download&amp;id=10NDnIkKQVhWKwzf0yc7KCgKlBzCkz1_H" TargetMode="External"/><Relationship Id="rId787" Type="http://schemas.openxmlformats.org/officeDocument/2006/relationships/hyperlink" Target="https://drive.google.com/uc?export=download&amp;id=1iSWGJFN41HzvCBUFjOJpOrvMH70so_Sr" TargetMode="External"/><Relationship Id="rId302" Type="http://schemas.openxmlformats.org/officeDocument/2006/relationships/hyperlink" Target="https://drive.google.com/uc?export=download&amp;id=1_R_k9xGuJcDQ1X9a7dtUFAnD_4TgToZG" TargetMode="External"/><Relationship Id="rId786" Type="http://schemas.openxmlformats.org/officeDocument/2006/relationships/hyperlink" Target="https://drive.google.com/uc?export=download&amp;id=1E9zK_sUXvGZMladsPuxHMx550ayR60v1" TargetMode="External"/><Relationship Id="rId309" Type="http://schemas.openxmlformats.org/officeDocument/2006/relationships/hyperlink" Target="https://drive.google.com/uc?export=download&amp;id=1RrdS1QDqLicZdzlYiL_2JCe9pACjFd_8" TargetMode="External"/><Relationship Id="rId308" Type="http://schemas.openxmlformats.org/officeDocument/2006/relationships/hyperlink" Target="https://drive.google.com/uc?export=download&amp;id=1AyprKKV5yAv-wKe3h6mNV_y6m-CavXAe" TargetMode="External"/><Relationship Id="rId307" Type="http://schemas.openxmlformats.org/officeDocument/2006/relationships/hyperlink" Target="https://drive.google.com/uc?export=download&amp;id=13ZEpIYxgdgX0-R8Okx90S4gKAriqdpPX" TargetMode="External"/><Relationship Id="rId306" Type="http://schemas.openxmlformats.org/officeDocument/2006/relationships/hyperlink" Target="https://drive.google.com/uc?export=download&amp;id=14AQ1r8bL_kUgFGqbY-lmbaHax3hhzuh2" TargetMode="External"/><Relationship Id="rId781" Type="http://schemas.openxmlformats.org/officeDocument/2006/relationships/hyperlink" Target="https://drive.google.com/uc?export=download&amp;id=1W0Mq0M0iwDpm7qglgN0eiWei3vGaGReb" TargetMode="External"/><Relationship Id="rId1370" Type="http://schemas.openxmlformats.org/officeDocument/2006/relationships/hyperlink" Target="https://drive.google.com/uc?export=download&amp;id=18qDjmxXvPTqoCJhw8At5G5n4Q9dkB-qK" TargetMode="External"/><Relationship Id="rId780" Type="http://schemas.openxmlformats.org/officeDocument/2006/relationships/hyperlink" Target="https://drive.google.com/uc?export=download&amp;id=1BRkmguUaUkG3k3ghG4afXZkqNkHMZz8J" TargetMode="External"/><Relationship Id="rId1371" Type="http://schemas.openxmlformats.org/officeDocument/2006/relationships/hyperlink" Target="https://drive.google.com/uc?export=download&amp;id=17koeaCVD_2x2ZSuBab39tm2WaZ5cTT5p" TargetMode="External"/><Relationship Id="rId1372" Type="http://schemas.openxmlformats.org/officeDocument/2006/relationships/hyperlink" Target="https://drive.google.com/uc?export=download&amp;id=1DwSrkqB5EWFN75u13gtOpR2bj_FhR2AZ" TargetMode="External"/><Relationship Id="rId1373" Type="http://schemas.openxmlformats.org/officeDocument/2006/relationships/hyperlink" Target="https://drive.google.com/uc?export=download&amp;id=1XM9LA2ywGX2DrV_gE1PniW3RAcpOiQft" TargetMode="External"/><Relationship Id="rId301" Type="http://schemas.openxmlformats.org/officeDocument/2006/relationships/hyperlink" Target="https://drive.google.com/uc?export=download&amp;id=1nJIOj72BwTQLFSUHnD-S4WyECXvYXLul" TargetMode="External"/><Relationship Id="rId785" Type="http://schemas.openxmlformats.org/officeDocument/2006/relationships/hyperlink" Target="https://drive.google.com/uc?export=download&amp;id=1FJD_tXvGBogCm6nPMjkmwfWZJF_ZhEfh" TargetMode="External"/><Relationship Id="rId1374" Type="http://schemas.openxmlformats.org/officeDocument/2006/relationships/hyperlink" Target="https://drive.google.com/uc?export=download&amp;id=1pGMcZ5BmZzcON1PyVDKMjRsJd5X0KCw4" TargetMode="External"/><Relationship Id="rId300" Type="http://schemas.openxmlformats.org/officeDocument/2006/relationships/hyperlink" Target="https://drive.google.com/uc?export=download&amp;id=1hZKzIEB0b_KSfOv6JU6JqDI07GbXKHHO" TargetMode="External"/><Relationship Id="rId784" Type="http://schemas.openxmlformats.org/officeDocument/2006/relationships/hyperlink" Target="https://drive.google.com/uc?export=download&amp;id=1PmYJrC_yzgBGV2oZyK1TNK5LyAVjj_q2" TargetMode="External"/><Relationship Id="rId1375" Type="http://schemas.openxmlformats.org/officeDocument/2006/relationships/hyperlink" Target="https://drive.google.com/uc?export=download&amp;id=1VAz5D-OHXBQA8VffLlVvxFIpQkLR4bXT" TargetMode="External"/><Relationship Id="rId783" Type="http://schemas.openxmlformats.org/officeDocument/2006/relationships/hyperlink" Target="https://drive.google.com/uc?export=download&amp;id=11oMbMYXU016Qk3o9qBS1MoxtJkBv1BoZ" TargetMode="External"/><Relationship Id="rId1376" Type="http://schemas.openxmlformats.org/officeDocument/2006/relationships/hyperlink" Target="https://drive.google.com/uc?export=download&amp;id=1-4L5-uYTmNdaxdN0P-YIGnet-OwUR3b7" TargetMode="External"/><Relationship Id="rId782" Type="http://schemas.openxmlformats.org/officeDocument/2006/relationships/hyperlink" Target="https://drive.google.com/uc?export=download&amp;id=1bpwh2hAHKQO2SXJa5tvn1RsBktKikKbP" TargetMode="External"/><Relationship Id="rId1377" Type="http://schemas.openxmlformats.org/officeDocument/2006/relationships/hyperlink" Target="https://drive.google.com/uc?export=download&amp;id=10wB5tGBQEMXtaV0MWr0iwFl2PSxNl9vE" TargetMode="External"/><Relationship Id="rId1367" Type="http://schemas.openxmlformats.org/officeDocument/2006/relationships/hyperlink" Target="https://drive.google.com/uc?export=download&amp;id=1KGbAH6UIUZYXl7EIFM6iMuCTPTxXM3v6" TargetMode="External"/><Relationship Id="rId1368" Type="http://schemas.openxmlformats.org/officeDocument/2006/relationships/hyperlink" Target="https://drive.google.com/uc?export=download&amp;id=1BqSQID9Oot3TN9M4KdOhC9EOEcsW_Zfm" TargetMode="External"/><Relationship Id="rId1369" Type="http://schemas.openxmlformats.org/officeDocument/2006/relationships/hyperlink" Target="https://drive.google.com/uc?export=download&amp;id=1HYTEpMMLpQmalVcsIW-b1hBMiyAaFXbN" TargetMode="External"/><Relationship Id="rId778" Type="http://schemas.openxmlformats.org/officeDocument/2006/relationships/hyperlink" Target="https://drive.google.com/uc?export=download&amp;id=1iwlxNQzpvVNemq0ir-qyQ6rW6zvfzL-L" TargetMode="External"/><Relationship Id="rId777" Type="http://schemas.openxmlformats.org/officeDocument/2006/relationships/hyperlink" Target="https://drive.google.com/uc?export=download&amp;id=1yRisbIaF6efjbMVlZRPUDkv7-4bjAbGb" TargetMode="External"/><Relationship Id="rId776" Type="http://schemas.openxmlformats.org/officeDocument/2006/relationships/hyperlink" Target="https://drive.google.com/uc?export=download&amp;id=17CypbraZt0bPDaPpBrGdUVJVzwDG-VuA" TargetMode="External"/><Relationship Id="rId775" Type="http://schemas.openxmlformats.org/officeDocument/2006/relationships/hyperlink" Target="https://drive.google.com/uc?export=download&amp;id=1Kj5ydx6ZSUfRvnlbRdu80sKqxZCZvGGk" TargetMode="External"/><Relationship Id="rId779" Type="http://schemas.openxmlformats.org/officeDocument/2006/relationships/hyperlink" Target="https://drive.google.com/uc?export=download&amp;id=1aTRK4aqrSL_H49hyi9gZHTbc4TrhOQ9M" TargetMode="External"/><Relationship Id="rId770" Type="http://schemas.openxmlformats.org/officeDocument/2006/relationships/hyperlink" Target="https://drive.google.com/uc?export=download&amp;id=1SOLQHe1v6qPM08EBpqSTe-b0r0raEj97" TargetMode="External"/><Relationship Id="rId1360" Type="http://schemas.openxmlformats.org/officeDocument/2006/relationships/hyperlink" Target="https://drive.google.com/uc?export=download&amp;id=1ebeFKHpXoQtUrWcSqYAqsW3o0AmgnVaK" TargetMode="External"/><Relationship Id="rId1361" Type="http://schemas.openxmlformats.org/officeDocument/2006/relationships/hyperlink" Target="https://drive.google.com/uc?export=download&amp;id=1Mry9h5VK0UnpqTx9mwYqrKjs6qw_drDy" TargetMode="External"/><Relationship Id="rId1362" Type="http://schemas.openxmlformats.org/officeDocument/2006/relationships/hyperlink" Target="https://drive.google.com/uc?export=download&amp;id=1CxvVNtPWXTOkZxegXLDNs4HkQDfoaSvS" TargetMode="External"/><Relationship Id="rId774" Type="http://schemas.openxmlformats.org/officeDocument/2006/relationships/hyperlink" Target="https://drive.google.com/uc?export=download&amp;id=1R0U5MvWyHBaBiqWkbJL5P5K1G9aAodKQ" TargetMode="External"/><Relationship Id="rId1363" Type="http://schemas.openxmlformats.org/officeDocument/2006/relationships/hyperlink" Target="https://drive.google.com/uc?export=download&amp;id=14aUxBucYz1hpUfTToJpQW6LofxVh0R1q" TargetMode="External"/><Relationship Id="rId773" Type="http://schemas.openxmlformats.org/officeDocument/2006/relationships/hyperlink" Target="https://drive.google.com/uc?export=download&amp;id=1aYj6pWUN-i-Htu9_QnxRQq5Xa6kLqP3Z" TargetMode="External"/><Relationship Id="rId1364" Type="http://schemas.openxmlformats.org/officeDocument/2006/relationships/hyperlink" Target="https://drive.google.com/uc?export=download&amp;id=15aJaF1OXJOPIruJW-Ig47cLrphWUZivE" TargetMode="External"/><Relationship Id="rId772" Type="http://schemas.openxmlformats.org/officeDocument/2006/relationships/hyperlink" Target="https://drive.google.com/uc?export=download&amp;id=1OkfwHqfvvhiZ4mRgzwWakcjO2huqUsXF" TargetMode="External"/><Relationship Id="rId1365" Type="http://schemas.openxmlformats.org/officeDocument/2006/relationships/hyperlink" Target="https://drive.google.com/uc?export=download&amp;id=1LtPiJL0g3K-7UpG2g3_QJHyH4k5xpxLv" TargetMode="External"/><Relationship Id="rId771" Type="http://schemas.openxmlformats.org/officeDocument/2006/relationships/hyperlink" Target="https://drive.google.com/uc?export=download&amp;id=15Os7XQxa4JzJY5QRrxa013NDIFhmW2Jh" TargetMode="External"/><Relationship Id="rId1366" Type="http://schemas.openxmlformats.org/officeDocument/2006/relationships/hyperlink" Target="https://drive.google.com/uc?export=download&amp;id=1zJC1Tkx6bcxks7YyfIg6hZwC5yXxFthu" TargetMode="External"/><Relationship Id="rId327" Type="http://schemas.openxmlformats.org/officeDocument/2006/relationships/hyperlink" Target="https://drive.google.com/uc?export=download&amp;id=1JgwkBuoWvAOszTgDT0xI6fq_495KSdd8" TargetMode="External"/><Relationship Id="rId326" Type="http://schemas.openxmlformats.org/officeDocument/2006/relationships/hyperlink" Target="https://drive.google.com/uc?export=download&amp;id=1bJEWmLkTW8o-cbwBybm689srj9yIkUSK" TargetMode="External"/><Relationship Id="rId325" Type="http://schemas.openxmlformats.org/officeDocument/2006/relationships/hyperlink" Target="https://drive.google.com/uc?export=download&amp;id=1iWHLbjL7eP4arw0UmZmVjkSEAdmogQ1H" TargetMode="External"/><Relationship Id="rId324" Type="http://schemas.openxmlformats.org/officeDocument/2006/relationships/hyperlink" Target="https://drive.google.com/uc?export=download&amp;id=1OMyQY_W7-WGlglAf_Nj0CPlkbwFPf593" TargetMode="External"/><Relationship Id="rId329" Type="http://schemas.openxmlformats.org/officeDocument/2006/relationships/hyperlink" Target="https://drive.google.com/uc?export=download&amp;id=1qYCTYJTY9Nd-apB2NtUEkDQ857YeHCG4" TargetMode="External"/><Relationship Id="rId1390" Type="http://schemas.openxmlformats.org/officeDocument/2006/relationships/hyperlink" Target="https://drive.google.com/uc?export=download&amp;id=15hX4ZZ8GWmGt985uETh0lVLw-9u8fk6r" TargetMode="External"/><Relationship Id="rId328" Type="http://schemas.openxmlformats.org/officeDocument/2006/relationships/hyperlink" Target="https://drive.google.com/uc?export=download&amp;id=1jJYr0GL4eo_6uC2_JaleTuEDkbL0pBsF" TargetMode="External"/><Relationship Id="rId1391" Type="http://schemas.openxmlformats.org/officeDocument/2006/relationships/hyperlink" Target="https://drive.google.com/uc?export=download&amp;id=19GVOxnR1YA_bY8y7xNoBrqDXQRe5Jume" TargetMode="External"/><Relationship Id="rId1392" Type="http://schemas.openxmlformats.org/officeDocument/2006/relationships/hyperlink" Target="https://drive.google.com/uc?export=download&amp;id=1C6K4OrHz_zyt_OuJkON4WoZfAUkvqiWs" TargetMode="External"/><Relationship Id="rId1393" Type="http://schemas.openxmlformats.org/officeDocument/2006/relationships/hyperlink" Target="https://drive.google.com/uc?export=download&amp;id=1nIiSjTGSVYhTHL-LpqB4pNiVWtm7YDHO" TargetMode="External"/><Relationship Id="rId1394" Type="http://schemas.openxmlformats.org/officeDocument/2006/relationships/hyperlink" Target="https://drive.google.com/uc?export=download&amp;id=1SU8BFOZSd5dX2LVDLfMo7ov8FgFVXujc" TargetMode="External"/><Relationship Id="rId1395" Type="http://schemas.openxmlformats.org/officeDocument/2006/relationships/hyperlink" Target="https://drive.google.com/uc?export=download&amp;id=16aLlfwfWEJZ4JBpbIS-goZC8ccSkOqWe" TargetMode="External"/><Relationship Id="rId323" Type="http://schemas.openxmlformats.org/officeDocument/2006/relationships/hyperlink" Target="https://drive.google.com/uc?export=download&amp;id=1slg3VAFy__UYs-klNZ-2HJcdkV6ugsvl" TargetMode="External"/><Relationship Id="rId1396" Type="http://schemas.openxmlformats.org/officeDocument/2006/relationships/hyperlink" Target="https://drive.google.com/uc?export=download&amp;id=1rDAD00dcc0C_fV3YhgO95mO5M_evC-Pd" TargetMode="External"/><Relationship Id="rId322" Type="http://schemas.openxmlformats.org/officeDocument/2006/relationships/hyperlink" Target="https://drive.google.com/uc?export=download&amp;id=1QsWIYMCdesS-zpNdVyNxpDJdVgFlpoOP" TargetMode="External"/><Relationship Id="rId1397" Type="http://schemas.openxmlformats.org/officeDocument/2006/relationships/hyperlink" Target="https://drive.google.com/uc?export=download&amp;id=1ysNgJ2_2b1RCMG-CRkcFKyGzE5hbVBNB" TargetMode="External"/><Relationship Id="rId321" Type="http://schemas.openxmlformats.org/officeDocument/2006/relationships/hyperlink" Target="https://drive.google.com/uc?export=download&amp;id=12qZWQqhgWpRVqjCF-WupIcOcrbmzWEaR" TargetMode="External"/><Relationship Id="rId1398" Type="http://schemas.openxmlformats.org/officeDocument/2006/relationships/hyperlink" Target="https://drive.google.com/uc?export=download&amp;id=13Agnsrbd722dXnxgyk7zjbozM4CyVr83" TargetMode="External"/><Relationship Id="rId320" Type="http://schemas.openxmlformats.org/officeDocument/2006/relationships/hyperlink" Target="https://drive.google.com/uc?export=download&amp;id=1cTVZSyMF7BOZ-yKJCL08v5gTOAHTesIT" TargetMode="External"/><Relationship Id="rId1399" Type="http://schemas.openxmlformats.org/officeDocument/2006/relationships/hyperlink" Target="https://drive.google.com/uc?export=download&amp;id=17aNqPu10YFho6pN6HELzRgOL7mcE7m49" TargetMode="External"/><Relationship Id="rId1389" Type="http://schemas.openxmlformats.org/officeDocument/2006/relationships/hyperlink" Target="https://drive.google.com/uc?export=download&amp;id=1tIMWK620Fx8JZnGJQpQ2pANSKhGMfBG7" TargetMode="External"/><Relationship Id="rId316" Type="http://schemas.openxmlformats.org/officeDocument/2006/relationships/hyperlink" Target="https://drive.google.com/uc?export=download&amp;id=1yxgP0stqaHoFCQx16XLRL5aJghitRMoF" TargetMode="External"/><Relationship Id="rId315" Type="http://schemas.openxmlformats.org/officeDocument/2006/relationships/hyperlink" Target="https://drive.google.com/uc?export=download&amp;id=1t0zH3uISdmxbUDfw4YP3wco-IgDTmzKP" TargetMode="External"/><Relationship Id="rId799" Type="http://schemas.openxmlformats.org/officeDocument/2006/relationships/hyperlink" Target="https://drive.google.com/uc?export=download&amp;id=1gSYh4zx1jZdyYDa3qCCgY5C7XAtm1993" TargetMode="External"/><Relationship Id="rId314" Type="http://schemas.openxmlformats.org/officeDocument/2006/relationships/hyperlink" Target="https://drive.google.com/uc?export=download&amp;id=1XkCbFIhnMBArMBh0vIgXnNqaLvLcESY2" TargetMode="External"/><Relationship Id="rId798" Type="http://schemas.openxmlformats.org/officeDocument/2006/relationships/hyperlink" Target="https://drive.google.com/uc?export=download&amp;id=1HeFWt5BZXq6ryEVZd8aDCjeiSfS1iSJc" TargetMode="External"/><Relationship Id="rId313" Type="http://schemas.openxmlformats.org/officeDocument/2006/relationships/hyperlink" Target="https://drive.google.com/uc?export=download&amp;id=1Ad-ku5dMksj-zGqkONfOZwHqk6zwxZl3" TargetMode="External"/><Relationship Id="rId797" Type="http://schemas.openxmlformats.org/officeDocument/2006/relationships/hyperlink" Target="https://drive.google.com/uc?export=download&amp;id=1-_9_97Z8E8_TT56PEAIVr-pmka6St1Nz" TargetMode="External"/><Relationship Id="rId319" Type="http://schemas.openxmlformats.org/officeDocument/2006/relationships/hyperlink" Target="https://drive.google.com/uc?export=download&amp;id=16-wtbjtbrMINVa6hc3Hl-QX7OafYz7t8" TargetMode="External"/><Relationship Id="rId318" Type="http://schemas.openxmlformats.org/officeDocument/2006/relationships/hyperlink" Target="https://drive.google.com/uc?export=download&amp;id=19ddK3wt8ogl-ADg4GP4BsiSJiSTDnujk" TargetMode="External"/><Relationship Id="rId317" Type="http://schemas.openxmlformats.org/officeDocument/2006/relationships/hyperlink" Target="https://drive.google.com/uc?export=download&amp;id=1C_KqEMGnCHI9IEU7etsJYoxKRzByi5QI" TargetMode="External"/><Relationship Id="rId1380" Type="http://schemas.openxmlformats.org/officeDocument/2006/relationships/hyperlink" Target="https://drive.google.com/uc?export=download&amp;id=1BeSaLyhZaqi8KEP_5gNmMte_4OFb-Pfl" TargetMode="External"/><Relationship Id="rId792" Type="http://schemas.openxmlformats.org/officeDocument/2006/relationships/hyperlink" Target="https://drive.google.com/uc?export=download&amp;id=1NEOfRBZJVpC4IarzfoAEFqT_l8cAKsgz" TargetMode="External"/><Relationship Id="rId1381" Type="http://schemas.openxmlformats.org/officeDocument/2006/relationships/hyperlink" Target="https://drive.google.com/uc?export=download&amp;id=1QjFid9jrkKCpJOZTCoi0CT0jQCBjqJcw" TargetMode="External"/><Relationship Id="rId791" Type="http://schemas.openxmlformats.org/officeDocument/2006/relationships/hyperlink" Target="https://drive.google.com/uc?export=download&amp;id=1s2WEpRk4_RjjlrTUWXYQQfRvnGfePjjo" TargetMode="External"/><Relationship Id="rId1382" Type="http://schemas.openxmlformats.org/officeDocument/2006/relationships/hyperlink" Target="https://drive.google.com/uc?export=download&amp;id=1BIPg9hOGcg-_m4u5VctiTCRigE9KPeyq" TargetMode="External"/><Relationship Id="rId790" Type="http://schemas.openxmlformats.org/officeDocument/2006/relationships/hyperlink" Target="https://drive.google.com/uc?export=download&amp;id=1A7iGBhvVS7UBjQLgZrCBsj2nyfe7DdIR" TargetMode="External"/><Relationship Id="rId1383" Type="http://schemas.openxmlformats.org/officeDocument/2006/relationships/hyperlink" Target="https://drive.google.com/uc?export=download&amp;id=1YnClmR2nSOkPwv5X59qcD6m0iEQ-1c-w" TargetMode="External"/><Relationship Id="rId1384" Type="http://schemas.openxmlformats.org/officeDocument/2006/relationships/hyperlink" Target="https://drive.google.com/uc?export=download&amp;id=1-sdNbiWtLTggyFqUIJ8xRyrgUr9dTB47" TargetMode="External"/><Relationship Id="rId312" Type="http://schemas.openxmlformats.org/officeDocument/2006/relationships/hyperlink" Target="https://drive.google.com/uc?export=download&amp;id=166r28OalhbFoeXe3tMn4RZ7LqyI7Py-C" TargetMode="External"/><Relationship Id="rId796" Type="http://schemas.openxmlformats.org/officeDocument/2006/relationships/hyperlink" Target="https://drive.google.com/uc?export=download&amp;id=1Nt6u61YQlcX-sXz8pk1xtrC-dnFMdSrZ" TargetMode="External"/><Relationship Id="rId1385" Type="http://schemas.openxmlformats.org/officeDocument/2006/relationships/hyperlink" Target="https://drive.google.com/uc?export=download&amp;id=156qKH3GH8ZRqioBhZtPgDtEhb_hzlRZe" TargetMode="External"/><Relationship Id="rId311" Type="http://schemas.openxmlformats.org/officeDocument/2006/relationships/hyperlink" Target="https://drive.google.com/uc?export=download&amp;id=1F8hVXmAlyLhgF_1I5XJYm6L_Y4jO92B7" TargetMode="External"/><Relationship Id="rId795" Type="http://schemas.openxmlformats.org/officeDocument/2006/relationships/hyperlink" Target="https://drive.google.com/uc?export=download&amp;id=1FZABpu8j122y2n22ij1McmvuG4qLKutQ" TargetMode="External"/><Relationship Id="rId1386" Type="http://schemas.openxmlformats.org/officeDocument/2006/relationships/hyperlink" Target="https://drive.google.com/uc?export=download&amp;id=1h9rF9Yd4ShqjbdQnyck3_QNOUvWESOY2" TargetMode="External"/><Relationship Id="rId310" Type="http://schemas.openxmlformats.org/officeDocument/2006/relationships/hyperlink" Target="https://drive.google.com/uc?export=download&amp;id=14sNWkQyGOy4_BpEwM-ctXnvVG3swVpj2" TargetMode="External"/><Relationship Id="rId794" Type="http://schemas.openxmlformats.org/officeDocument/2006/relationships/hyperlink" Target="https://drive.google.com/uc?export=download&amp;id=1ShhGQqLKIcCH7a9JwHwQQd2rVcl2fz7n" TargetMode="External"/><Relationship Id="rId1387" Type="http://schemas.openxmlformats.org/officeDocument/2006/relationships/hyperlink" Target="https://drive.google.com/uc?export=download&amp;id=11rYh58iv8ehUaZ_lCCKPedZDgDRb-Cxe" TargetMode="External"/><Relationship Id="rId793" Type="http://schemas.openxmlformats.org/officeDocument/2006/relationships/hyperlink" Target="https://drive.google.com/uc?export=download&amp;id=1Cjd83wiS4tf4x17_-xI7XoNhX7FgUvrT" TargetMode="External"/><Relationship Id="rId1388" Type="http://schemas.openxmlformats.org/officeDocument/2006/relationships/hyperlink" Target="https://drive.google.com/uc?export=download&amp;id=1-KIYVmGGl3aTHwjyRYSg0zKEyDrFGtdA" TargetMode="External"/><Relationship Id="rId297" Type="http://schemas.openxmlformats.org/officeDocument/2006/relationships/hyperlink" Target="https://drive.google.com/uc?export=download&amp;id=1sgGN2ukK8W5YEgUh6yrAqjEYRSdp5p25" TargetMode="External"/><Relationship Id="rId296" Type="http://schemas.openxmlformats.org/officeDocument/2006/relationships/hyperlink" Target="https://drive.google.com/uc?export=download&amp;id=1FJkvh_3BpMo08OMVlKus_23oAxiAus-T" TargetMode="External"/><Relationship Id="rId295" Type="http://schemas.openxmlformats.org/officeDocument/2006/relationships/hyperlink" Target="https://drive.google.com/uc?export=download&amp;id=14dTvRBqb-Rv_bIeipM5c_e24kew9dYwP" TargetMode="External"/><Relationship Id="rId294" Type="http://schemas.openxmlformats.org/officeDocument/2006/relationships/hyperlink" Target="https://drive.google.com/uc?export=download&amp;id=1yhvglRDge5sW23dsvVj1K4h-zvNIRtbp" TargetMode="External"/><Relationship Id="rId299" Type="http://schemas.openxmlformats.org/officeDocument/2006/relationships/hyperlink" Target="https://drive.google.com/uc?export=download&amp;id=1jAfOt8wa_qCIm5tlqm8yjkHSVablbfVf" TargetMode="External"/><Relationship Id="rId298" Type="http://schemas.openxmlformats.org/officeDocument/2006/relationships/hyperlink" Target="https://drive.google.com/uc?export=download&amp;id=1wLLQtIFiMoEGYIBPIkZzAhF1h1y-M50L" TargetMode="External"/><Relationship Id="rId271" Type="http://schemas.openxmlformats.org/officeDocument/2006/relationships/hyperlink" Target="https://drive.google.com/uc?export=download&amp;id=1ctveg4KYo-zyK6UMonXbGFG3eSbXHZPs" TargetMode="External"/><Relationship Id="rId270" Type="http://schemas.openxmlformats.org/officeDocument/2006/relationships/hyperlink" Target="https://drive.google.com/uc?export=download&amp;id=1XHW-HspmyVYXfXv5pKHKmp5GFKCTxPTL" TargetMode="External"/><Relationship Id="rId269" Type="http://schemas.openxmlformats.org/officeDocument/2006/relationships/hyperlink" Target="https://drive.google.com/uc?export=download&amp;id=1z4J5B7mYlqOeSYEOegrdnh8Jb0PE7ddw" TargetMode="External"/><Relationship Id="rId264" Type="http://schemas.openxmlformats.org/officeDocument/2006/relationships/hyperlink" Target="https://drive.google.com/uc?export=download&amp;id=1wmtHHn-yz9j4VUwj5WlHRCGSK5nrU2iA" TargetMode="External"/><Relationship Id="rId263" Type="http://schemas.openxmlformats.org/officeDocument/2006/relationships/hyperlink" Target="https://drive.google.com/uc?export=download&amp;id=15i_d0-wWq6Hmlu0Z8XXOYGz0Th2YrL5i" TargetMode="External"/><Relationship Id="rId262" Type="http://schemas.openxmlformats.org/officeDocument/2006/relationships/hyperlink" Target="https://drive.google.com/uc?export=download&amp;id=12P0_10W1ujlcNQ5q2IaW2rsDgk9cUl8z" TargetMode="External"/><Relationship Id="rId261" Type="http://schemas.openxmlformats.org/officeDocument/2006/relationships/hyperlink" Target="https://drive.google.com/uc?export=download&amp;id=10ulSwaVilw92xdykd0LgFs-yg5d4fpf6" TargetMode="External"/><Relationship Id="rId268" Type="http://schemas.openxmlformats.org/officeDocument/2006/relationships/hyperlink" Target="https://drive.google.com/uc?export=download&amp;id=1jszhkC_ub6a5moyznQZIlvf_voV69BQo" TargetMode="External"/><Relationship Id="rId267" Type="http://schemas.openxmlformats.org/officeDocument/2006/relationships/hyperlink" Target="https://drive.google.com/uc?export=download&amp;id=1Ivg8JMrjqCk6TuvYOiKbnRSRX9FiWu4w" TargetMode="External"/><Relationship Id="rId266" Type="http://schemas.openxmlformats.org/officeDocument/2006/relationships/hyperlink" Target="https://drive.google.com/uc?export=download&amp;id=1ZUNZNC2P0Jw5wj7yKUNRP9A6_RYvhfdD" TargetMode="External"/><Relationship Id="rId265" Type="http://schemas.openxmlformats.org/officeDocument/2006/relationships/hyperlink" Target="https://drive.google.com/uc?export=download&amp;id=17WzN7D5eW8E0PkWf_SeFstpHqcdddpZF" TargetMode="External"/><Relationship Id="rId260" Type="http://schemas.openxmlformats.org/officeDocument/2006/relationships/hyperlink" Target="https://drive.google.com/uc?export=download&amp;id=1Va05a7ASxaDA_jN67rknCImxdaW3k8nv" TargetMode="External"/><Relationship Id="rId259" Type="http://schemas.openxmlformats.org/officeDocument/2006/relationships/hyperlink" Target="https://drive.google.com/uc?export=download&amp;id=1q1xox_uXrEaYZGtTjyvBkn1UlNOn2mgk" TargetMode="External"/><Relationship Id="rId258" Type="http://schemas.openxmlformats.org/officeDocument/2006/relationships/hyperlink" Target="https://drive.google.com/uc?export=download&amp;id=1Ev-ZThhkEP3MeaE4FjvHBzA_xgDfs3RK" TargetMode="External"/><Relationship Id="rId253" Type="http://schemas.openxmlformats.org/officeDocument/2006/relationships/hyperlink" Target="https://drive.google.com/uc?export=download&amp;id=1Fu7QK4CRu6dIoG0uKcXyrlzMXCmOZfX8" TargetMode="External"/><Relationship Id="rId252" Type="http://schemas.openxmlformats.org/officeDocument/2006/relationships/hyperlink" Target="https://drive.google.com/uc?export=download&amp;id=1ed4PX5vnJmGCsMftnm9wmLJdJWI1xRkg" TargetMode="External"/><Relationship Id="rId251" Type="http://schemas.openxmlformats.org/officeDocument/2006/relationships/hyperlink" Target="https://drive.google.com/uc?export=download&amp;id=1drcclGNNZ_7zRMdKbUgQm-iB4q-2IjHp" TargetMode="External"/><Relationship Id="rId250" Type="http://schemas.openxmlformats.org/officeDocument/2006/relationships/hyperlink" Target="https://drive.google.com/uc?export=download&amp;id=1u4Rf5kGZl3P-sqEfSz36hNwpOpBgo2BL" TargetMode="External"/><Relationship Id="rId257" Type="http://schemas.openxmlformats.org/officeDocument/2006/relationships/hyperlink" Target="https://drive.google.com/uc?export=download&amp;id=1p2fZdASmKw1gcbMJhd7_iPWQONfB6bx2" TargetMode="External"/><Relationship Id="rId256" Type="http://schemas.openxmlformats.org/officeDocument/2006/relationships/hyperlink" Target="https://drive.google.com/uc?export=download&amp;id=1Bs2cA0DcaMyC9EtdVw0FOcp5EoDUU1LL" TargetMode="External"/><Relationship Id="rId255" Type="http://schemas.openxmlformats.org/officeDocument/2006/relationships/hyperlink" Target="https://drive.google.com/uc?export=download&amp;id=1wJyhT-WcEDf18mWJ2FGbZMPzHhFY0uDX" TargetMode="External"/><Relationship Id="rId254" Type="http://schemas.openxmlformats.org/officeDocument/2006/relationships/hyperlink" Target="https://drive.google.com/uc?export=download&amp;id=17XcRSWhOiFzwDGDagCNu-VWpcrhv6IGL" TargetMode="External"/><Relationship Id="rId293" Type="http://schemas.openxmlformats.org/officeDocument/2006/relationships/hyperlink" Target="https://drive.google.com/uc?export=download&amp;id=1VK2EBfclDag7y6KpBUukQgHMCc5MR1fm" TargetMode="External"/><Relationship Id="rId292" Type="http://schemas.openxmlformats.org/officeDocument/2006/relationships/hyperlink" Target="https://drive.google.com/uc?export=download&amp;id=1Lz1Qup3QBtrZB8oMD1_vcuW7ztU4IugU" TargetMode="External"/><Relationship Id="rId291" Type="http://schemas.openxmlformats.org/officeDocument/2006/relationships/hyperlink" Target="https://drive.google.com/uc?export=download&amp;id=1OREZAwWmWaVbWl1LwdcFkSWAJ2Sc4Vtz" TargetMode="External"/><Relationship Id="rId290" Type="http://schemas.openxmlformats.org/officeDocument/2006/relationships/hyperlink" Target="https://drive.google.com/uc?export=download&amp;id=15grtqRC9Xml-vZaqZiZ3_oukIA6k2xD_" TargetMode="External"/><Relationship Id="rId286" Type="http://schemas.openxmlformats.org/officeDocument/2006/relationships/hyperlink" Target="https://drive.google.com/uc?export=download&amp;id=1fZvJtItRhUKjMc5MnDz0KWu8OYbvbrqZ" TargetMode="External"/><Relationship Id="rId285" Type="http://schemas.openxmlformats.org/officeDocument/2006/relationships/hyperlink" Target="https://drive.google.com/uc?export=download&amp;id=17Y8JenblAb1DBWcP8no1-LNcgeoG87ng" TargetMode="External"/><Relationship Id="rId284" Type="http://schemas.openxmlformats.org/officeDocument/2006/relationships/hyperlink" Target="https://drive.google.com/uc?export=download&amp;id=1StzVSJQgpyWq66YJ_jkm1YnWmJGH_KPj" TargetMode="External"/><Relationship Id="rId283" Type="http://schemas.openxmlformats.org/officeDocument/2006/relationships/hyperlink" Target="https://drive.google.com/uc?export=download&amp;id=1Lt0WLfDpum6ikQOmaceF57yMef_pBIP2" TargetMode="External"/><Relationship Id="rId289" Type="http://schemas.openxmlformats.org/officeDocument/2006/relationships/hyperlink" Target="https://drive.google.com/uc?export=download&amp;id=1NWR8uK5cnzN1sV2CdtxTdzmAk3CZqBok" TargetMode="External"/><Relationship Id="rId288" Type="http://schemas.openxmlformats.org/officeDocument/2006/relationships/hyperlink" Target="https://drive.google.com/uc?export=download&amp;id=1aguVE460N02Zhdfe77JjBK5Z3yYw1qU2" TargetMode="External"/><Relationship Id="rId287" Type="http://schemas.openxmlformats.org/officeDocument/2006/relationships/hyperlink" Target="https://drive.google.com/uc?export=download&amp;id=1x8I3HPS45b9KwvwN_ESlb0EE_cq-bZnK" TargetMode="External"/><Relationship Id="rId282" Type="http://schemas.openxmlformats.org/officeDocument/2006/relationships/hyperlink" Target="https://drive.google.com/uc?export=download&amp;id=1KTGhy5D06fvbwrZBobL_GTWiZFi6uas6" TargetMode="External"/><Relationship Id="rId281" Type="http://schemas.openxmlformats.org/officeDocument/2006/relationships/hyperlink" Target="https://drive.google.com/uc?export=download&amp;id=1nhBDlMWlY2iNmX8wrwfs-omkw_zg6IL1" TargetMode="External"/><Relationship Id="rId280" Type="http://schemas.openxmlformats.org/officeDocument/2006/relationships/hyperlink" Target="https://drive.google.com/uc?export=download&amp;id=18QaU76FVuE1-qgdH0A5Fup-hokj4yoT9" TargetMode="External"/><Relationship Id="rId275" Type="http://schemas.openxmlformats.org/officeDocument/2006/relationships/hyperlink" Target="https://drive.google.com/uc?export=download&amp;id=1p24BaM3NJu6U3Ve6xSjiC11m0tKNfz-G" TargetMode="External"/><Relationship Id="rId274" Type="http://schemas.openxmlformats.org/officeDocument/2006/relationships/hyperlink" Target="https://drive.google.com/uc?export=download&amp;id=1sPsBgEag5ljqY7AVeS2quYx-e_o1VnZf" TargetMode="External"/><Relationship Id="rId273" Type="http://schemas.openxmlformats.org/officeDocument/2006/relationships/hyperlink" Target="https://drive.google.com/uc?export=download&amp;id=15J72V9SFb4YN10teT3ppOPJpljsm8uWA" TargetMode="External"/><Relationship Id="rId272" Type="http://schemas.openxmlformats.org/officeDocument/2006/relationships/hyperlink" Target="https://drive.google.com/uc?export=download&amp;id=1bU3tFM07N3aLN2_R4SXlsH2YwaRhcwJC" TargetMode="External"/><Relationship Id="rId279" Type="http://schemas.openxmlformats.org/officeDocument/2006/relationships/hyperlink" Target="https://drive.google.com/uc?export=download&amp;id=10QGM9ciFWmEqxOFucSrolMmsihicWnsY" TargetMode="External"/><Relationship Id="rId278" Type="http://schemas.openxmlformats.org/officeDocument/2006/relationships/hyperlink" Target="https://drive.google.com/uc?export=download&amp;id=1uBflRU8n_fqYxB4MVIigUM64g9NztrXO" TargetMode="External"/><Relationship Id="rId277" Type="http://schemas.openxmlformats.org/officeDocument/2006/relationships/hyperlink" Target="https://drive.google.com/uc?export=download&amp;id=1tZPj-WBI6CPdcqgoA6QOCAQyzEfkXeFu" TargetMode="External"/><Relationship Id="rId276" Type="http://schemas.openxmlformats.org/officeDocument/2006/relationships/hyperlink" Target="https://drive.google.com/uc?export=download&amp;id=1eQo-jASygYzBDsYL70bMUvV9aaLvKIkh" TargetMode="External"/><Relationship Id="rId1851" Type="http://schemas.openxmlformats.org/officeDocument/2006/relationships/hyperlink" Target="https://drive.google.com/uc?export=download&amp;id=1Hm5ce2Z8rvwDBt6GtOcBJB5QCdFBdAm_" TargetMode="External"/><Relationship Id="rId1852" Type="http://schemas.openxmlformats.org/officeDocument/2006/relationships/hyperlink" Target="https://drive.google.com/uc?export=download&amp;id=1O1EqzY-sRx5pykkM_acTddYrnc7opVCi" TargetMode="External"/><Relationship Id="rId1853" Type="http://schemas.openxmlformats.org/officeDocument/2006/relationships/hyperlink" Target="https://drive.google.com/uc?export=download&amp;id=12p8F73ySv4jnwDGrxWZsioZLSeWYWIbe" TargetMode="External"/><Relationship Id="rId1854" Type="http://schemas.openxmlformats.org/officeDocument/2006/relationships/hyperlink" Target="https://drive.google.com/uc?export=download&amp;id=1fSGsqoW7j8FMdEpPEYBpj_FvpZNKW0PM" TargetMode="External"/><Relationship Id="rId1855" Type="http://schemas.openxmlformats.org/officeDocument/2006/relationships/hyperlink" Target="https://drive.google.com/uc?export=download&amp;id=1trYz3mP1l8KkJkMsA5SWmJx6UyweCbBA" TargetMode="External"/><Relationship Id="rId1856" Type="http://schemas.openxmlformats.org/officeDocument/2006/relationships/hyperlink" Target="https://drive.google.com/uc?export=download&amp;id=1n24KLdAHVdxjEJaRxVj1BN2tWqqzyEYT" TargetMode="External"/><Relationship Id="rId1857" Type="http://schemas.openxmlformats.org/officeDocument/2006/relationships/hyperlink" Target="https://drive.google.com/uc?export=download&amp;id=1dkYYAyk1dOFEEgPnaRiLTKU8n4AhCKpJ" TargetMode="External"/><Relationship Id="rId1858" Type="http://schemas.openxmlformats.org/officeDocument/2006/relationships/hyperlink" Target="https://drive.google.com/uc?export=download&amp;id=1111xEVlFdbZudX2rEL9zXniwZaQsPk7g" TargetMode="External"/><Relationship Id="rId1859" Type="http://schemas.openxmlformats.org/officeDocument/2006/relationships/hyperlink" Target="https://drive.google.com/uc?export=download&amp;id=1EuvAtBd_dqsGsAnzVPG7W_bNXvXRuoE8" TargetMode="External"/><Relationship Id="rId1850" Type="http://schemas.openxmlformats.org/officeDocument/2006/relationships/hyperlink" Target="https://drive.google.com/uc?export=download&amp;id=16IeIRjCstcx33eijnVesxoCZAz6ThrbB" TargetMode="External"/><Relationship Id="rId1840" Type="http://schemas.openxmlformats.org/officeDocument/2006/relationships/hyperlink" Target="https://drive.google.com/uc?export=download&amp;id=1nomHaTAr_2k9ISBPTYblKzUHUkJZHUzY" TargetMode="External"/><Relationship Id="rId1841" Type="http://schemas.openxmlformats.org/officeDocument/2006/relationships/hyperlink" Target="https://drive.google.com/uc?export=download&amp;id=19JpEKBPzGL5tU1LsBI-QCYx23G38zaPr" TargetMode="External"/><Relationship Id="rId1842" Type="http://schemas.openxmlformats.org/officeDocument/2006/relationships/hyperlink" Target="https://drive.google.com/uc?export=download&amp;id=1b27evQQJbWiMeMLAsMMkSoBJT1R19ROQ" TargetMode="External"/><Relationship Id="rId1843" Type="http://schemas.openxmlformats.org/officeDocument/2006/relationships/hyperlink" Target="https://drive.google.com/uc?export=download&amp;id=1FMzMoKlHxqVcx3i4MW-dBu7uEfpZ9FFR" TargetMode="External"/><Relationship Id="rId1844" Type="http://schemas.openxmlformats.org/officeDocument/2006/relationships/hyperlink" Target="https://drive.google.com/uc?export=download&amp;id=1fBi439yMobuqhBadxg_81pvU8dC_P7Yo" TargetMode="External"/><Relationship Id="rId1845" Type="http://schemas.openxmlformats.org/officeDocument/2006/relationships/hyperlink" Target="https://drive.google.com/uc?export=download&amp;id=17JPqH1EefEOraGt0oolNRa7OGWd5qpTM" TargetMode="External"/><Relationship Id="rId1846" Type="http://schemas.openxmlformats.org/officeDocument/2006/relationships/hyperlink" Target="https://drive.google.com/uc?export=download&amp;id=1_ncMrAkadXib34oIxm3wnASNe7AGTT1Z" TargetMode="External"/><Relationship Id="rId1847" Type="http://schemas.openxmlformats.org/officeDocument/2006/relationships/hyperlink" Target="https://drive.google.com/uc?export=download&amp;id=1JtAgrP-dlUpPH9UE6fYGeJBCZ1ES5uV3" TargetMode="External"/><Relationship Id="rId1848" Type="http://schemas.openxmlformats.org/officeDocument/2006/relationships/hyperlink" Target="https://drive.google.com/uc?export=download&amp;id=1gETeEtOpIjWV6zlVg7YN1RQyKBL8TRh0" TargetMode="External"/><Relationship Id="rId1849" Type="http://schemas.openxmlformats.org/officeDocument/2006/relationships/hyperlink" Target="https://drive.google.com/uc?export=download&amp;id=1sRouaJa7ZRDs4VJ1X-5_Y2vLXvw_wDTa" TargetMode="External"/><Relationship Id="rId1873" Type="http://schemas.openxmlformats.org/officeDocument/2006/relationships/hyperlink" Target="https://drive.google.com/uc?export=download&amp;id=1HlaeuoI2G3y50oXBjUk2zJ7iZRIrMoTf" TargetMode="External"/><Relationship Id="rId1874" Type="http://schemas.openxmlformats.org/officeDocument/2006/relationships/hyperlink" Target="https://drive.google.com/uc?export=download&amp;id=1I2gMV-fODbxaRVdVAlqoef7niXQn4ArX" TargetMode="External"/><Relationship Id="rId1875" Type="http://schemas.openxmlformats.org/officeDocument/2006/relationships/hyperlink" Target="https://drive.google.com/uc?export=download&amp;id=1aqJqv7Z620n-lEq-9mNA3gD-EcFUmjdl" TargetMode="External"/><Relationship Id="rId1876" Type="http://schemas.openxmlformats.org/officeDocument/2006/relationships/hyperlink" Target="https://drive.google.com/uc?export=download&amp;id=1c7AVtE-IOQfdxwLcRLQdtHaueeKvNjnS" TargetMode="External"/><Relationship Id="rId1877" Type="http://schemas.openxmlformats.org/officeDocument/2006/relationships/hyperlink" Target="https://drive.google.com/uc?export=download&amp;id=1ONRi13uvxE_du0rtikXOjqEYhHdUCyx_" TargetMode="External"/><Relationship Id="rId1878" Type="http://schemas.openxmlformats.org/officeDocument/2006/relationships/hyperlink" Target="https://drive.google.com/uc?export=download&amp;id=1ZiBpKL6-VbwY6cFydVc3xVjvRCsFXXvz" TargetMode="External"/><Relationship Id="rId1879" Type="http://schemas.openxmlformats.org/officeDocument/2006/relationships/hyperlink" Target="https://drive.google.com/uc?export=download&amp;id=1q-e1ZaUzkrIlinV1jKL5JXCOykbBeJmA" TargetMode="External"/><Relationship Id="rId1870" Type="http://schemas.openxmlformats.org/officeDocument/2006/relationships/hyperlink" Target="https://drive.google.com/uc?export=download&amp;id=1sMSYoQKXRSOXoXQIMIkx-piKaBFpS2zl" TargetMode="External"/><Relationship Id="rId1871" Type="http://schemas.openxmlformats.org/officeDocument/2006/relationships/hyperlink" Target="https://drive.google.com/uc?export=download&amp;id=1zydy9m3veTF2loFYcAcLh-tKaI2eS4E0" TargetMode="External"/><Relationship Id="rId1872" Type="http://schemas.openxmlformats.org/officeDocument/2006/relationships/hyperlink" Target="https://drive.google.com/uc?export=download&amp;id=14KT1FkRdv18GCr2kOnzBXlMnP_7A2QCZ" TargetMode="External"/><Relationship Id="rId1862" Type="http://schemas.openxmlformats.org/officeDocument/2006/relationships/hyperlink" Target="https://drive.google.com/uc?export=download&amp;id=1Ct6WrGbTzulxjW55deAmeXAUKyno6IdT" TargetMode="External"/><Relationship Id="rId1863" Type="http://schemas.openxmlformats.org/officeDocument/2006/relationships/hyperlink" Target="https://drive.google.com/uc?export=download&amp;id=176Msf5zcrzSg-CC5NdFPcXggkKlzCROi" TargetMode="External"/><Relationship Id="rId1864" Type="http://schemas.openxmlformats.org/officeDocument/2006/relationships/hyperlink" Target="https://drive.google.com/uc?export=download&amp;id=1beNggDlWUhfCKf8c6IWHcgaFUPiAEhMJ" TargetMode="External"/><Relationship Id="rId1865" Type="http://schemas.openxmlformats.org/officeDocument/2006/relationships/hyperlink" Target="https://drive.google.com/uc?export=download&amp;id=14W7m4p51osfwygZFessNgStGsdwGvGw7" TargetMode="External"/><Relationship Id="rId1866" Type="http://schemas.openxmlformats.org/officeDocument/2006/relationships/hyperlink" Target="https://drive.google.com/uc?export=download&amp;id=18g4gDta9McUbiKNRkkWB9F2kFx2OLrAs" TargetMode="External"/><Relationship Id="rId1867" Type="http://schemas.openxmlformats.org/officeDocument/2006/relationships/hyperlink" Target="https://drive.google.com/uc?export=download&amp;id=1LcK3y9Yy2Kk8dNTxqNmbnF5JjMFYF5jj" TargetMode="External"/><Relationship Id="rId1868" Type="http://schemas.openxmlformats.org/officeDocument/2006/relationships/hyperlink" Target="https://drive.google.com/uc?export=download&amp;id=1BGNc2uO34PXI-byyKTlpDYYUyXrAq1qe" TargetMode="External"/><Relationship Id="rId1869" Type="http://schemas.openxmlformats.org/officeDocument/2006/relationships/hyperlink" Target="https://drive.google.com/uc?export=download&amp;id=1X8iOxxwFs9Dg3S-4SPTgH8nS_MUPRqUd" TargetMode="External"/><Relationship Id="rId1860" Type="http://schemas.openxmlformats.org/officeDocument/2006/relationships/hyperlink" Target="https://drive.google.com/uc?export=download&amp;id=1U0PFy3jdCLMDyl4TLaVmQlc1AseW3mQG" TargetMode="External"/><Relationship Id="rId1861" Type="http://schemas.openxmlformats.org/officeDocument/2006/relationships/hyperlink" Target="https://drive.google.com/uc?export=download&amp;id=1-C0AflLOEo4nfkWEeRcW48ovu4Auj5as" TargetMode="External"/><Relationship Id="rId1810" Type="http://schemas.openxmlformats.org/officeDocument/2006/relationships/hyperlink" Target="https://drive.google.com/uc?export=download&amp;id=1BRni7aKG_bZKsvhtv7Xf0vwCy-MlI0eq" TargetMode="External"/><Relationship Id="rId1811" Type="http://schemas.openxmlformats.org/officeDocument/2006/relationships/hyperlink" Target="https://drive.google.com/uc?export=download&amp;id=1En6Ig7SZRwOrD_rRce6ZFrkYneZHKk6D" TargetMode="External"/><Relationship Id="rId1812" Type="http://schemas.openxmlformats.org/officeDocument/2006/relationships/hyperlink" Target="https://drive.google.com/uc?export=download&amp;id=16KmSOq1KNDaEVdlh7u_72HNI_rFcNgLK" TargetMode="External"/><Relationship Id="rId1813" Type="http://schemas.openxmlformats.org/officeDocument/2006/relationships/hyperlink" Target="https://drive.google.com/uc?export=download&amp;id=1XZuM35AxIBEGw4vfG_WnRN5pZPr7bnp3" TargetMode="External"/><Relationship Id="rId1814" Type="http://schemas.openxmlformats.org/officeDocument/2006/relationships/hyperlink" Target="https://drive.google.com/uc?export=download&amp;id=1g-HphtxI8qpDz81YDS7gM5pn9_p9aCt6" TargetMode="External"/><Relationship Id="rId1815" Type="http://schemas.openxmlformats.org/officeDocument/2006/relationships/hyperlink" Target="https://drive.google.com/uc?export=download&amp;id=1zXbOmdNNOyNcsQJNoDQlscHN25kkmEO_" TargetMode="External"/><Relationship Id="rId1816" Type="http://schemas.openxmlformats.org/officeDocument/2006/relationships/hyperlink" Target="https://drive.google.com/uc?export=download&amp;id=1OO8p3GE7WtlB2cPTsdMyBHe_wDmY0A0o" TargetMode="External"/><Relationship Id="rId1817" Type="http://schemas.openxmlformats.org/officeDocument/2006/relationships/hyperlink" Target="https://drive.google.com/uc?export=download&amp;id=1Ov2XBjGQB1jcYDBpELC0jSJWIRJ574Vq" TargetMode="External"/><Relationship Id="rId1818" Type="http://schemas.openxmlformats.org/officeDocument/2006/relationships/hyperlink" Target="https://drive.google.com/uc?export=download&amp;id=1Q46AdchMi_w3P-FsohLazqVZ3XWCAzq7" TargetMode="External"/><Relationship Id="rId1819" Type="http://schemas.openxmlformats.org/officeDocument/2006/relationships/hyperlink" Target="https://drive.google.com/uc?export=download&amp;id=1_syD2i0JI1Spn-pFXNXIgOBU2dFYU1_1" TargetMode="External"/><Relationship Id="rId1800" Type="http://schemas.openxmlformats.org/officeDocument/2006/relationships/hyperlink" Target="https://drive.google.com/uc?export=download&amp;id=1FJ5y9HRGezi_hUf9EIpChn-W6xpbyB9w" TargetMode="External"/><Relationship Id="rId1801" Type="http://schemas.openxmlformats.org/officeDocument/2006/relationships/hyperlink" Target="https://drive.google.com/uc?export=download&amp;id=1Y-z7TTRYHsEjzFbgJOexKU-RqMZsqqpb" TargetMode="External"/><Relationship Id="rId1802" Type="http://schemas.openxmlformats.org/officeDocument/2006/relationships/hyperlink" Target="https://drive.google.com/uc?export=download&amp;id=1VuN4Tt94eMMVSwvz93gn2YS8dmkuX5I8" TargetMode="External"/><Relationship Id="rId1803" Type="http://schemas.openxmlformats.org/officeDocument/2006/relationships/hyperlink" Target="https://drive.google.com/uc?export=download&amp;id=17tibnO8RIcOZJ7XSRkLrctLSW1coKScz" TargetMode="External"/><Relationship Id="rId1804" Type="http://schemas.openxmlformats.org/officeDocument/2006/relationships/hyperlink" Target="https://drive.google.com/uc?export=download&amp;id=1kv_49dQupBaCeSPDQBdYzzKJm7DpNCK0" TargetMode="External"/><Relationship Id="rId1805" Type="http://schemas.openxmlformats.org/officeDocument/2006/relationships/hyperlink" Target="https://drive.google.com/uc?export=download&amp;id=1S1AZrB44DfZMaXd8CcynA19QKV3QtzwD" TargetMode="External"/><Relationship Id="rId1806" Type="http://schemas.openxmlformats.org/officeDocument/2006/relationships/hyperlink" Target="https://drive.google.com/uc?export=download&amp;id=1n1iZRTZSjls-MLpdxd8DMyw6CrxkRegv" TargetMode="External"/><Relationship Id="rId1807" Type="http://schemas.openxmlformats.org/officeDocument/2006/relationships/hyperlink" Target="https://drive.google.com/uc?export=download&amp;id=1gNhWSuXIEoT4tsdlzb_1KXZgnh5XSTkm" TargetMode="External"/><Relationship Id="rId1808" Type="http://schemas.openxmlformats.org/officeDocument/2006/relationships/hyperlink" Target="https://drive.google.com/uc?export=download&amp;id=1bDZtBhp3fPJw-ajYGj_vjL88QWYmaLd1" TargetMode="External"/><Relationship Id="rId1809" Type="http://schemas.openxmlformats.org/officeDocument/2006/relationships/hyperlink" Target="https://drive.google.com/uc?export=download&amp;id=1zC0VNvwzC5ltUFRmU2jywCx0bHYnol5J" TargetMode="External"/><Relationship Id="rId1830" Type="http://schemas.openxmlformats.org/officeDocument/2006/relationships/hyperlink" Target="https://drive.google.com/uc?export=download&amp;id=14y2szrwv0luxVg7JkNI11beEq3Lc4VOR" TargetMode="External"/><Relationship Id="rId1831" Type="http://schemas.openxmlformats.org/officeDocument/2006/relationships/hyperlink" Target="https://drive.google.com/uc?export=download&amp;id=1sDu7KBj7Qs47ykw2YQQn8YJrvGPNFatb" TargetMode="External"/><Relationship Id="rId1832" Type="http://schemas.openxmlformats.org/officeDocument/2006/relationships/hyperlink" Target="https://drive.google.com/uc?export=download&amp;id=1_iBAUc_UG6OCF2BcV25z3SeMlGZHsh4y" TargetMode="External"/><Relationship Id="rId1833" Type="http://schemas.openxmlformats.org/officeDocument/2006/relationships/hyperlink" Target="https://drive.google.com/uc?export=download&amp;id=1g3YBiHu-eWcK_GBsoF7v04wmGMl2sx9Y" TargetMode="External"/><Relationship Id="rId1834" Type="http://schemas.openxmlformats.org/officeDocument/2006/relationships/hyperlink" Target="https://drive.google.com/uc?export=download&amp;id=1j0lEzgchcuR6O6Ws6P70N1XLV4-ZEBqw" TargetMode="External"/><Relationship Id="rId1835" Type="http://schemas.openxmlformats.org/officeDocument/2006/relationships/hyperlink" Target="https://drive.google.com/uc?export=download&amp;id=1-T4T-2Z9zrVUdiwpj8EyW69owFUlqhQ0" TargetMode="External"/><Relationship Id="rId1836" Type="http://schemas.openxmlformats.org/officeDocument/2006/relationships/hyperlink" Target="https://drive.google.com/uc?export=download&amp;id=1wZ3szUjUGp51C6-xoYU_7hPU56rUZb4G" TargetMode="External"/><Relationship Id="rId1837" Type="http://schemas.openxmlformats.org/officeDocument/2006/relationships/hyperlink" Target="https://drive.google.com/uc?export=download&amp;id=1w9yPlbo1S7eIzHfkiOUPQGxd17YMYnZV" TargetMode="External"/><Relationship Id="rId1838" Type="http://schemas.openxmlformats.org/officeDocument/2006/relationships/hyperlink" Target="https://drive.google.com/uc?export=download&amp;id=1yWg4eqDbz0EQCRjRiVPn74BvE9Qs54j5" TargetMode="External"/><Relationship Id="rId1839" Type="http://schemas.openxmlformats.org/officeDocument/2006/relationships/hyperlink" Target="https://drive.google.com/uc?export=download&amp;id=199L1k18rPLMVOgb8p4INa493BJNTh-sT" TargetMode="External"/><Relationship Id="rId1820" Type="http://schemas.openxmlformats.org/officeDocument/2006/relationships/hyperlink" Target="https://drive.google.com/uc?export=download&amp;id=1unNXn_EvCWQGR5UV78sJmj6sFnd6aX7w" TargetMode="External"/><Relationship Id="rId1821" Type="http://schemas.openxmlformats.org/officeDocument/2006/relationships/hyperlink" Target="https://drive.google.com/uc?export=download&amp;id=1A5uarCqEVZfXCX-bQmz_Qt_rxZ8SBT9Z" TargetMode="External"/><Relationship Id="rId1822" Type="http://schemas.openxmlformats.org/officeDocument/2006/relationships/hyperlink" Target="https://drive.google.com/uc?export=download&amp;id=1QI4iFloUZd-m7ubcSq0ZSB9UcD3lnwFE" TargetMode="External"/><Relationship Id="rId1823" Type="http://schemas.openxmlformats.org/officeDocument/2006/relationships/hyperlink" Target="https://drive.google.com/uc?export=download&amp;id=1Skl98s0B9iWMMbtty_NOwkCVSkZEELTx" TargetMode="External"/><Relationship Id="rId1824" Type="http://schemas.openxmlformats.org/officeDocument/2006/relationships/hyperlink" Target="https://drive.google.com/uc?export=download&amp;id=1KOafGlBWVFK8xML5vUSCf0WrR1rLO70G" TargetMode="External"/><Relationship Id="rId1825" Type="http://schemas.openxmlformats.org/officeDocument/2006/relationships/hyperlink" Target="https://drive.google.com/uc?export=download&amp;id=1X3KZH2yeG7qgdoVXA-dW3RXU68Gk6-ag" TargetMode="External"/><Relationship Id="rId1826" Type="http://schemas.openxmlformats.org/officeDocument/2006/relationships/hyperlink" Target="https://drive.google.com/uc?export=download&amp;id=18L1rKp04nhHksGBlDQiH6Oxasf38AJ1M" TargetMode="External"/><Relationship Id="rId1827" Type="http://schemas.openxmlformats.org/officeDocument/2006/relationships/hyperlink" Target="https://drive.google.com/uc?export=download&amp;id=1NYn9pJKH_nViWGienXioQX-XhImATMyh" TargetMode="External"/><Relationship Id="rId1828" Type="http://schemas.openxmlformats.org/officeDocument/2006/relationships/hyperlink" Target="https://drive.google.com/uc?export=download&amp;id=1-yTbac1iqc9YFyj3rDV9a6wAh1IH9jO-" TargetMode="External"/><Relationship Id="rId1829" Type="http://schemas.openxmlformats.org/officeDocument/2006/relationships/hyperlink" Target="https://drive.google.com/uc?export=download&amp;id=1Mz3NKnFbLlTzelP2a-oq26ByHh_ugexm" TargetMode="External"/><Relationship Id="rId1455" Type="http://schemas.openxmlformats.org/officeDocument/2006/relationships/hyperlink" Target="https://drive.google.com/uc?export=download&amp;id=148yi_dcaCwYKXUCuwusqqk_WR53Oh1oN" TargetMode="External"/><Relationship Id="rId1456" Type="http://schemas.openxmlformats.org/officeDocument/2006/relationships/hyperlink" Target="https://drive.google.com/uc?export=download&amp;id=1nfKC0NYbWP5M5I4yVwt4wkJkR6-6l966" TargetMode="External"/><Relationship Id="rId1457" Type="http://schemas.openxmlformats.org/officeDocument/2006/relationships/hyperlink" Target="https://drive.google.com/uc?export=download&amp;id=1fCrnI6oALgjIs0m9NqHCQPapw9gMH5_C" TargetMode="External"/><Relationship Id="rId1458" Type="http://schemas.openxmlformats.org/officeDocument/2006/relationships/hyperlink" Target="https://drive.google.com/uc?export=download&amp;id=1BSkBn7d4CryJi3ezbE8KfNfuG7xK93eV" TargetMode="External"/><Relationship Id="rId1459" Type="http://schemas.openxmlformats.org/officeDocument/2006/relationships/hyperlink" Target="https://drive.google.com/uc?export=download&amp;id=1nPfdys3INB1tG6btr-a-NpSay1JkiLfU" TargetMode="External"/><Relationship Id="rId629" Type="http://schemas.openxmlformats.org/officeDocument/2006/relationships/hyperlink" Target="https://drive.google.com/uc?export=download&amp;id=1DeLvNlDxOuayd-VBZUjiF9A-i5JlE-4X" TargetMode="External"/><Relationship Id="rId624" Type="http://schemas.openxmlformats.org/officeDocument/2006/relationships/hyperlink" Target="https://drive.google.com/uc?export=download&amp;id=1LK-3XQTC2tMIzK2EZlFrOLY1kFhOcGZj" TargetMode="External"/><Relationship Id="rId623" Type="http://schemas.openxmlformats.org/officeDocument/2006/relationships/hyperlink" Target="https://drive.google.com/uc?export=download&amp;id=1KnJWru-JO2UKae-wwvZswq4dqslqOWmy" TargetMode="External"/><Relationship Id="rId622" Type="http://schemas.openxmlformats.org/officeDocument/2006/relationships/hyperlink" Target="https://drive.google.com/uc?export=download&amp;id=1FW7YeCH65RhSndaBVpjRt0oIJ2Rpw2Bl" TargetMode="External"/><Relationship Id="rId621" Type="http://schemas.openxmlformats.org/officeDocument/2006/relationships/hyperlink" Target="https://drive.google.com/uc?export=download&amp;id=1uh8TqT-rDSt7pCkZWvzJiKi2Ugz5Q0Mm" TargetMode="External"/><Relationship Id="rId628" Type="http://schemas.openxmlformats.org/officeDocument/2006/relationships/hyperlink" Target="https://drive.google.com/uc?export=download&amp;id=1kV1fDAezSZntdq_5NHD66OW3fwpnIYGl" TargetMode="External"/><Relationship Id="rId627" Type="http://schemas.openxmlformats.org/officeDocument/2006/relationships/hyperlink" Target="https://drive.google.com/uc?export=download&amp;id=1II3ujJ20qnADJzYWEO98bYUqe_Gg-H_R" TargetMode="External"/><Relationship Id="rId626" Type="http://schemas.openxmlformats.org/officeDocument/2006/relationships/hyperlink" Target="https://drive.google.com/uc?export=download&amp;id=1MVAgbl_8kFTX2YwtRivqH6vCiNh0RIki" TargetMode="External"/><Relationship Id="rId625" Type="http://schemas.openxmlformats.org/officeDocument/2006/relationships/hyperlink" Target="https://drive.google.com/uc?export=download&amp;id=1wvcf03-cpJ902mk-snAKNHZM_4E8gcX9" TargetMode="External"/><Relationship Id="rId1450" Type="http://schemas.openxmlformats.org/officeDocument/2006/relationships/hyperlink" Target="https://drive.google.com/uc?export=download&amp;id=1xGkLcv_JT9MyZn5E0eIjI_x5P6Z0gTG9" TargetMode="External"/><Relationship Id="rId620" Type="http://schemas.openxmlformats.org/officeDocument/2006/relationships/hyperlink" Target="https://drive.google.com/uc?export=download&amp;id=1k7I6fiAATdp1gCt-siJGnRic-p3UeeQK" TargetMode="External"/><Relationship Id="rId1451" Type="http://schemas.openxmlformats.org/officeDocument/2006/relationships/hyperlink" Target="https://drive.google.com/uc?export=download&amp;id=1bw7FNJj32yRr3QnwSniV5jGNrIfhgdqr" TargetMode="External"/><Relationship Id="rId1452" Type="http://schemas.openxmlformats.org/officeDocument/2006/relationships/hyperlink" Target="https://drive.google.com/uc?export=download&amp;id=1Pk4fPPK9hFjmW36bM7y5fNTM17T4-GwY" TargetMode="External"/><Relationship Id="rId1453" Type="http://schemas.openxmlformats.org/officeDocument/2006/relationships/hyperlink" Target="https://drive.google.com/uc?export=download&amp;id=1MaoWrS-65N2WF0wLpWjq8wq8KEF0TtKD" TargetMode="External"/><Relationship Id="rId1454" Type="http://schemas.openxmlformats.org/officeDocument/2006/relationships/hyperlink" Target="https://drive.google.com/uc?export=download&amp;id=14Xzgkd8oWm_cfTuhC4wcnY-xrAG-1Igf" TargetMode="External"/><Relationship Id="rId1444" Type="http://schemas.openxmlformats.org/officeDocument/2006/relationships/hyperlink" Target="https://drive.google.com/uc?export=download&amp;id=1CivwuUXeteIzDI3Q85td_x4yK61dY6op" TargetMode="External"/><Relationship Id="rId1445" Type="http://schemas.openxmlformats.org/officeDocument/2006/relationships/hyperlink" Target="https://drive.google.com/uc?export=download&amp;id=1vIy79DLmugbOMwv-aFoxHxfaD7pL-m7b" TargetMode="External"/><Relationship Id="rId1446" Type="http://schemas.openxmlformats.org/officeDocument/2006/relationships/hyperlink" Target="https://drive.google.com/uc?export=download&amp;id=1kkG_-gih7NUBLMXMTsMPuD0w0a8dmEFo" TargetMode="External"/><Relationship Id="rId1447" Type="http://schemas.openxmlformats.org/officeDocument/2006/relationships/hyperlink" Target="https://drive.google.com/uc?export=download&amp;id=1tNUEDpC-lFNKhiH9VxftQqe0Q98R3fV4" TargetMode="External"/><Relationship Id="rId1448" Type="http://schemas.openxmlformats.org/officeDocument/2006/relationships/hyperlink" Target="https://drive.google.com/uc?export=download&amp;id=1gorF3lwWHJAPprIP-iyYFh4X7P-LJK0v" TargetMode="External"/><Relationship Id="rId1449" Type="http://schemas.openxmlformats.org/officeDocument/2006/relationships/hyperlink" Target="https://drive.google.com/uc?export=download&amp;id=1nxGjK9dov5Y_ksWyfEVOMX6o9xsxibWO" TargetMode="External"/><Relationship Id="rId619" Type="http://schemas.openxmlformats.org/officeDocument/2006/relationships/hyperlink" Target="https://drive.google.com/uc?export=download&amp;id=1M_hMPGLhlJipzDpRynZtiwnv-hR0b4AZ" TargetMode="External"/><Relationship Id="rId618" Type="http://schemas.openxmlformats.org/officeDocument/2006/relationships/hyperlink" Target="https://drive.google.com/uc?export=download&amp;id=1v__NN5UK-YC6PF0GHToQ0aYzoHdP9Tla" TargetMode="External"/><Relationship Id="rId613" Type="http://schemas.openxmlformats.org/officeDocument/2006/relationships/hyperlink" Target="https://drive.google.com/uc?export=download&amp;id=1_ovcJGqhub68DRp_dB0oKINBK50VxyLR" TargetMode="External"/><Relationship Id="rId612" Type="http://schemas.openxmlformats.org/officeDocument/2006/relationships/hyperlink" Target="https://drive.google.com/uc?export=download&amp;id=1meSGh34-2pk-yBzeHIaN3my0FOcusHGO" TargetMode="External"/><Relationship Id="rId611" Type="http://schemas.openxmlformats.org/officeDocument/2006/relationships/hyperlink" Target="https://drive.google.com/uc?export=download&amp;id=1vC7YD75igSgjAC4hhT2B-okhmneszSCs" TargetMode="External"/><Relationship Id="rId610" Type="http://schemas.openxmlformats.org/officeDocument/2006/relationships/hyperlink" Target="https://drive.google.com/uc?export=download&amp;id=1bWBhuFABN06qfpOTPs6xJnP46dvZZXlF" TargetMode="External"/><Relationship Id="rId617" Type="http://schemas.openxmlformats.org/officeDocument/2006/relationships/hyperlink" Target="https://drive.google.com/uc?export=download&amp;id=1WA6qQBPNWSOUWqOzc6niBmyNu0sxZzZV" TargetMode="External"/><Relationship Id="rId616" Type="http://schemas.openxmlformats.org/officeDocument/2006/relationships/hyperlink" Target="https://drive.google.com/uc?export=download&amp;id=1INKX0vHtopSez5SE3GDQjrdkXjNvHu57" TargetMode="External"/><Relationship Id="rId615" Type="http://schemas.openxmlformats.org/officeDocument/2006/relationships/hyperlink" Target="https://drive.google.com/uc?export=download&amp;id=1Tlah-5vCbmU6f7h1BnjqJX3salAwVCyT" TargetMode="External"/><Relationship Id="rId614" Type="http://schemas.openxmlformats.org/officeDocument/2006/relationships/hyperlink" Target="https://drive.google.com/uc?export=download&amp;id=1wBZMfO66BmJfcZO4gsQUktxEn5MKbHYt" TargetMode="External"/><Relationship Id="rId1440" Type="http://schemas.openxmlformats.org/officeDocument/2006/relationships/hyperlink" Target="https://drive.google.com/uc?export=download&amp;id=1ulnVa6qft3pHBypBScmNyyUsVf8Tw6hn" TargetMode="External"/><Relationship Id="rId1441" Type="http://schemas.openxmlformats.org/officeDocument/2006/relationships/hyperlink" Target="https://drive.google.com/uc?export=download&amp;id=1Vf_c-Y4omLtuRqPPDIK_kfJ0MLK_RCIZ" TargetMode="External"/><Relationship Id="rId1442" Type="http://schemas.openxmlformats.org/officeDocument/2006/relationships/hyperlink" Target="https://drive.google.com/uc?export=download&amp;id=15HNTbM0h2AZVn7ICyknPteTRTrRrLixt" TargetMode="External"/><Relationship Id="rId1443" Type="http://schemas.openxmlformats.org/officeDocument/2006/relationships/hyperlink" Target="https://drive.google.com/uc?export=download&amp;id=1mQodXuxByCfrhsopl9ENKRPkQgdIMRLs" TargetMode="External"/><Relationship Id="rId1477" Type="http://schemas.openxmlformats.org/officeDocument/2006/relationships/hyperlink" Target="https://drive.google.com/uc?export=download&amp;id=1pgkXH1SBlGJM-HwNWc5RXKTAx3UtCRe6" TargetMode="External"/><Relationship Id="rId1478" Type="http://schemas.openxmlformats.org/officeDocument/2006/relationships/hyperlink" Target="https://drive.google.com/uc?export=download&amp;id=1M9er55lSz_D11cVEH1uZKd6IZARgaFE_" TargetMode="External"/><Relationship Id="rId1479" Type="http://schemas.openxmlformats.org/officeDocument/2006/relationships/hyperlink" Target="https://drive.google.com/uc?export=download&amp;id=1Ip7_ymTOjf-GpmKMMAPFAZJhIJqxBssS" TargetMode="External"/><Relationship Id="rId646" Type="http://schemas.openxmlformats.org/officeDocument/2006/relationships/hyperlink" Target="https://drive.google.com/uc?export=download&amp;id=1Z-VQpP9VkltNs1VW8TG-SaJtL8Ieb3e4" TargetMode="External"/><Relationship Id="rId645" Type="http://schemas.openxmlformats.org/officeDocument/2006/relationships/hyperlink" Target="https://drive.google.com/uc?export=download&amp;id=1r9pdzwvUae8T56wP_mTv3q-6z4FE-RER" TargetMode="External"/><Relationship Id="rId644" Type="http://schemas.openxmlformats.org/officeDocument/2006/relationships/hyperlink" Target="https://drive.google.com/uc?export=download&amp;id=1jI46tr85xECuRtN0V_6vACKPRkx73PJH" TargetMode="External"/><Relationship Id="rId643" Type="http://schemas.openxmlformats.org/officeDocument/2006/relationships/hyperlink" Target="https://drive.google.com/uc?export=download&amp;id=1Fv-hAgkG1-MbYh3bRc2mKd2ky2MXw56W" TargetMode="External"/><Relationship Id="rId649" Type="http://schemas.openxmlformats.org/officeDocument/2006/relationships/hyperlink" Target="https://drive.google.com/uc?export=download&amp;id=15BfTiL9oDsHKpJ19H2YzSQNplUJ-kQyX" TargetMode="External"/><Relationship Id="rId648" Type="http://schemas.openxmlformats.org/officeDocument/2006/relationships/hyperlink" Target="https://drive.google.com/uc?export=download&amp;id=1NNW0ZIn7PylF0KterKbG8P9-DgwHwCA5" TargetMode="External"/><Relationship Id="rId647" Type="http://schemas.openxmlformats.org/officeDocument/2006/relationships/hyperlink" Target="https://drive.google.com/uc?export=download&amp;id=1Ti1pz9Eu5UVXbf1WXwvkiT4vM3Nb-xK1" TargetMode="External"/><Relationship Id="rId1470" Type="http://schemas.openxmlformats.org/officeDocument/2006/relationships/hyperlink" Target="https://drive.google.com/uc?export=download&amp;id=1qSe8yx7sC_vGvA9HzYLtz6l83F70lkdm" TargetMode="External"/><Relationship Id="rId1471" Type="http://schemas.openxmlformats.org/officeDocument/2006/relationships/hyperlink" Target="https://drive.google.com/uc?export=download&amp;id=1vSa0oXHDyINKAzND1QdWg4HVviiNX_oB" TargetMode="External"/><Relationship Id="rId1472" Type="http://schemas.openxmlformats.org/officeDocument/2006/relationships/hyperlink" Target="https://drive.google.com/uc?export=download&amp;id=1v4lzLrZ7nac0903G1SUsgSibeICKekin" TargetMode="External"/><Relationship Id="rId642" Type="http://schemas.openxmlformats.org/officeDocument/2006/relationships/hyperlink" Target="https://drive.google.com/uc?export=download&amp;id=1sZYsqtE1AxEOWGs-odAN1RoXGJKU3BnZ" TargetMode="External"/><Relationship Id="rId1473" Type="http://schemas.openxmlformats.org/officeDocument/2006/relationships/hyperlink" Target="https://drive.google.com/uc?export=download&amp;id=1fJ1P-W-85gg2FcOxZIPj8tZtJwB6jIiu" TargetMode="External"/><Relationship Id="rId641" Type="http://schemas.openxmlformats.org/officeDocument/2006/relationships/hyperlink" Target="https://drive.google.com/uc?export=download&amp;id=1GAZIHTEVrlc6-FvqgD_sldIHCPJiW3OP" TargetMode="External"/><Relationship Id="rId1474" Type="http://schemas.openxmlformats.org/officeDocument/2006/relationships/hyperlink" Target="https://drive.google.com/uc?export=download&amp;id=1SPV1okec_gGiJ20gFijX8SqAuSMZq-ls" TargetMode="External"/><Relationship Id="rId640" Type="http://schemas.openxmlformats.org/officeDocument/2006/relationships/hyperlink" Target="https://drive.google.com/uc?export=download&amp;id=14KLWwYl6l2zmwEC5Ov48x-wl2DqoD29Q" TargetMode="External"/><Relationship Id="rId1475" Type="http://schemas.openxmlformats.org/officeDocument/2006/relationships/hyperlink" Target="https://drive.google.com/uc?export=download&amp;id=1RtYBlVJDDhPEJrx4FCxdQQqYaf7EBmiJ" TargetMode="External"/><Relationship Id="rId1476" Type="http://schemas.openxmlformats.org/officeDocument/2006/relationships/hyperlink" Target="https://drive.google.com/uc?export=download&amp;id=1Sxwouucb-pSEniWtEz6_zS3-k5T09wEx" TargetMode="External"/><Relationship Id="rId1466" Type="http://schemas.openxmlformats.org/officeDocument/2006/relationships/hyperlink" Target="https://drive.google.com/uc?export=download&amp;id=13e1Zy09N4ZSHnJfZl916hQSBKUUywExx" TargetMode="External"/><Relationship Id="rId1467" Type="http://schemas.openxmlformats.org/officeDocument/2006/relationships/hyperlink" Target="https://drive.google.com/uc?export=download&amp;id=1Kb4ot55NtPxAGiihMZMdVKc8DcYZdNec" TargetMode="External"/><Relationship Id="rId1468" Type="http://schemas.openxmlformats.org/officeDocument/2006/relationships/hyperlink" Target="https://drive.google.com/uc?export=download&amp;id=12EcdqlRASRxd-5woRB-v55Kb1IXHS1Ms" TargetMode="External"/><Relationship Id="rId1469" Type="http://schemas.openxmlformats.org/officeDocument/2006/relationships/hyperlink" Target="https://drive.google.com/uc?export=download&amp;id=1hHaf-PPXonCz_X6pbMtbcAbgnQIZBnsz" TargetMode="External"/><Relationship Id="rId635" Type="http://schemas.openxmlformats.org/officeDocument/2006/relationships/hyperlink" Target="https://drive.google.com/uc?export=download&amp;id=1C6ZRTJqMKV1MYXxxTfIhnB2nFYLa3eYH" TargetMode="External"/><Relationship Id="rId634" Type="http://schemas.openxmlformats.org/officeDocument/2006/relationships/hyperlink" Target="https://drive.google.com/uc?export=download&amp;id=1CLPV5NWyqygSws1lc9mgqlJzDaXCoqjC" TargetMode="External"/><Relationship Id="rId633" Type="http://schemas.openxmlformats.org/officeDocument/2006/relationships/hyperlink" Target="https://drive.google.com/uc?export=download&amp;id=1wmnRGFgQFZzonyyY--JM5Bymj65hJhyV" TargetMode="External"/><Relationship Id="rId632" Type="http://schemas.openxmlformats.org/officeDocument/2006/relationships/hyperlink" Target="https://drive.google.com/uc?export=download&amp;id=17SeVI82gVfpShu7FVWfrT2w0QKKWTIMp" TargetMode="External"/><Relationship Id="rId639" Type="http://schemas.openxmlformats.org/officeDocument/2006/relationships/hyperlink" Target="https://drive.google.com/uc?export=download&amp;id=10e7u4acSzv_MwCUBRqqlS6LhtpKoSPb_" TargetMode="External"/><Relationship Id="rId638" Type="http://schemas.openxmlformats.org/officeDocument/2006/relationships/hyperlink" Target="https://drive.google.com/uc?export=download&amp;id=19lcb94aHrLVBHleygyChosb2XdcxZtru" TargetMode="External"/><Relationship Id="rId637" Type="http://schemas.openxmlformats.org/officeDocument/2006/relationships/hyperlink" Target="https://drive.google.com/uc?export=download&amp;id=18QNds0Eo4mk1BXGLLlGvodquOtaPQMFt" TargetMode="External"/><Relationship Id="rId636" Type="http://schemas.openxmlformats.org/officeDocument/2006/relationships/hyperlink" Target="https://drive.google.com/uc?export=download&amp;id=1_6Btlju1Y2pC0uQpK1z3DurCJ7lWapk_" TargetMode="External"/><Relationship Id="rId1460" Type="http://schemas.openxmlformats.org/officeDocument/2006/relationships/hyperlink" Target="https://drive.google.com/uc?export=download&amp;id=14ntkaZdraImNylpzYfO15aw6VBD7WQTp" TargetMode="External"/><Relationship Id="rId1461" Type="http://schemas.openxmlformats.org/officeDocument/2006/relationships/hyperlink" Target="https://drive.google.com/uc?export=download&amp;id=1PV4nTE5dGykxT3DdHd00-kkmZcXQAGBK" TargetMode="External"/><Relationship Id="rId631" Type="http://schemas.openxmlformats.org/officeDocument/2006/relationships/hyperlink" Target="https://drive.google.com/uc?export=download&amp;id=12ALY1zqZlxZTS_8aLeFE5VYWnGuS8cPT" TargetMode="External"/><Relationship Id="rId1462" Type="http://schemas.openxmlformats.org/officeDocument/2006/relationships/hyperlink" Target="https://drive.google.com/uc?export=download&amp;id=1xIbZLG7ps9wZjaMjITkJzmoP6DzsHY9v" TargetMode="External"/><Relationship Id="rId630" Type="http://schemas.openxmlformats.org/officeDocument/2006/relationships/hyperlink" Target="https://drive.google.com/uc?export=download&amp;id=1JKrOx6faqWfZoMgOr2Hfr6LXL8QdHe05" TargetMode="External"/><Relationship Id="rId1463" Type="http://schemas.openxmlformats.org/officeDocument/2006/relationships/hyperlink" Target="https://drive.google.com/uc?export=download&amp;id=102j-4wvARsqJ6iyDnOKfmTB1YtdSBNly" TargetMode="External"/><Relationship Id="rId1464" Type="http://schemas.openxmlformats.org/officeDocument/2006/relationships/hyperlink" Target="https://drive.google.com/uc?export=download&amp;id=1iYx4Z1VWaITxR-r6h0WBWnDYReu15yjr" TargetMode="External"/><Relationship Id="rId1465" Type="http://schemas.openxmlformats.org/officeDocument/2006/relationships/hyperlink" Target="https://drive.google.com/uc?export=download&amp;id=1r7W0hI-6rN2e-mPL3AVg-Yp1w6u_ymdZ" TargetMode="External"/><Relationship Id="rId1411" Type="http://schemas.openxmlformats.org/officeDocument/2006/relationships/hyperlink" Target="https://drive.google.com/uc?export=download&amp;id=1NNx6kfhrMHDxjnZNOMgz1QOHhVNxzxmt" TargetMode="External"/><Relationship Id="rId1895" Type="http://schemas.openxmlformats.org/officeDocument/2006/relationships/hyperlink" Target="https://drive.google.com/uc?export=download&amp;id=1xUon987sqziJH0Ex_Rq9lgbarMYbbJS5" TargetMode="External"/><Relationship Id="rId1412" Type="http://schemas.openxmlformats.org/officeDocument/2006/relationships/hyperlink" Target="https://drive.google.com/uc?export=download&amp;id=1ZDzESKVsHNr9rM8FEiPeZsaGVIsq8mtY" TargetMode="External"/><Relationship Id="rId1896" Type="http://schemas.openxmlformats.org/officeDocument/2006/relationships/hyperlink" Target="https://drive.google.com/uc?export=download&amp;id=1LtGSkFQT4NjwFu4c7WSt4yiOgGmh57hj" TargetMode="External"/><Relationship Id="rId1413" Type="http://schemas.openxmlformats.org/officeDocument/2006/relationships/hyperlink" Target="https://drive.google.com/uc?export=download&amp;id=1eRQmxw4wIN0tH3FbXVAiWsK6lwJ1jSko" TargetMode="External"/><Relationship Id="rId1897" Type="http://schemas.openxmlformats.org/officeDocument/2006/relationships/hyperlink" Target="https://drive.google.com/uc?export=download&amp;id=1r7zt7ydndoIuUxMSkItcqGguqklWzfJj" TargetMode="External"/><Relationship Id="rId1414" Type="http://schemas.openxmlformats.org/officeDocument/2006/relationships/hyperlink" Target="https://drive.google.com/uc?export=download&amp;id=1Dt0sxtqsPCBiS0ob-9FxwP4JN1Uz63RT" TargetMode="External"/><Relationship Id="rId1898" Type="http://schemas.openxmlformats.org/officeDocument/2006/relationships/hyperlink" Target="https://drive.google.com/uc?export=download&amp;id=1a5VTFLVi7NDyygL65KxfierfnSwwzXiW" TargetMode="External"/><Relationship Id="rId1415" Type="http://schemas.openxmlformats.org/officeDocument/2006/relationships/hyperlink" Target="https://drive.google.com/uc?export=download&amp;id=1nycQH9XOOrERgLt4-wRFridPdwLPXgpm" TargetMode="External"/><Relationship Id="rId1899" Type="http://schemas.openxmlformats.org/officeDocument/2006/relationships/hyperlink" Target="https://drive.google.com/uc?export=download&amp;id=13i-fVBL6oDkHHFkDjq4H7AGZpeYf9QE1" TargetMode="External"/><Relationship Id="rId1416" Type="http://schemas.openxmlformats.org/officeDocument/2006/relationships/hyperlink" Target="https://drive.google.com/uc?export=download&amp;id=1LikSIcNsQI6-oi8ztAlhr7sd76zEvfuY" TargetMode="External"/><Relationship Id="rId1417" Type="http://schemas.openxmlformats.org/officeDocument/2006/relationships/hyperlink" Target="https://drive.google.com/uc?export=download&amp;id=1mo0gROCTGGUfgc53a7B7T3eYdmu7frF-" TargetMode="External"/><Relationship Id="rId1418" Type="http://schemas.openxmlformats.org/officeDocument/2006/relationships/hyperlink" Target="https://drive.google.com/uc?export=download&amp;id=1-ZXZV-5S6JLv87VQWEpnr_yDYYdafKSx" TargetMode="External"/><Relationship Id="rId1419" Type="http://schemas.openxmlformats.org/officeDocument/2006/relationships/hyperlink" Target="https://drive.google.com/uc?export=download&amp;id=1oMUipHRDgjvEKlFt8fc0Hn-P_Ot9dxte" TargetMode="External"/><Relationship Id="rId1890" Type="http://schemas.openxmlformats.org/officeDocument/2006/relationships/hyperlink" Target="https://drive.google.com/uc?export=download&amp;id=1b-CVfxtnBKoPz9mFQZiy3HNvc2L7yY_p" TargetMode="External"/><Relationship Id="rId1891" Type="http://schemas.openxmlformats.org/officeDocument/2006/relationships/hyperlink" Target="https://drive.google.com/uc?export=download&amp;id=1JKQJ6v79JOSJ0KGi5kqa9FS-ZVmDeD94" TargetMode="External"/><Relationship Id="rId1892" Type="http://schemas.openxmlformats.org/officeDocument/2006/relationships/hyperlink" Target="https://drive.google.com/uc?export=download&amp;id=1K2Y9EAM4Tm_F19sSyp5pWjokrMM03Dw-" TargetMode="External"/><Relationship Id="rId1893" Type="http://schemas.openxmlformats.org/officeDocument/2006/relationships/hyperlink" Target="https://drive.google.com/uc?export=download&amp;id=1L_UXEBpyUGwD6Bq9WMtH0JnMrOKShPDu" TargetMode="External"/><Relationship Id="rId1410" Type="http://schemas.openxmlformats.org/officeDocument/2006/relationships/hyperlink" Target="https://drive.google.com/uc?export=download&amp;id=1brpwmrXPCTnIuyh-9PS5UvAdAw7eyEHZ" TargetMode="External"/><Relationship Id="rId1894" Type="http://schemas.openxmlformats.org/officeDocument/2006/relationships/hyperlink" Target="https://drive.google.com/uc?export=download&amp;id=1WoCI0uQhdwilLDAYQpvqzJz3oazvx5iY" TargetMode="External"/><Relationship Id="rId1400" Type="http://schemas.openxmlformats.org/officeDocument/2006/relationships/hyperlink" Target="https://drive.google.com/uc?export=download&amp;id=1h7u4CIzsbiGvEqjxdjjkOClFMr_tQk2f" TargetMode="External"/><Relationship Id="rId1884" Type="http://schemas.openxmlformats.org/officeDocument/2006/relationships/hyperlink" Target="https://drive.google.com/uc?export=download&amp;id=1dVNhR99PlDa8VQbeKuDQz0oDkBaeF-MK" TargetMode="External"/><Relationship Id="rId1401" Type="http://schemas.openxmlformats.org/officeDocument/2006/relationships/hyperlink" Target="https://drive.google.com/uc?export=download&amp;id=1xyObtn1Ya7rCQsF8KE_4Xev4RwbO85iG" TargetMode="External"/><Relationship Id="rId1885" Type="http://schemas.openxmlformats.org/officeDocument/2006/relationships/hyperlink" Target="https://drive.google.com/uc?export=download&amp;id=19NryYFtCRu_Ks-TYIuEVYJzvdjqniv69" TargetMode="External"/><Relationship Id="rId1402" Type="http://schemas.openxmlformats.org/officeDocument/2006/relationships/hyperlink" Target="https://drive.google.com/uc?export=download&amp;id=1FaVehqklfwZB-WH0rjKiFaTmPinLBIJR" TargetMode="External"/><Relationship Id="rId1886" Type="http://schemas.openxmlformats.org/officeDocument/2006/relationships/hyperlink" Target="https://drive.google.com/uc?export=download&amp;id=1IyT0T4al-1cfZ_PZ20JFnCxyTgt4DaKv" TargetMode="External"/><Relationship Id="rId1403" Type="http://schemas.openxmlformats.org/officeDocument/2006/relationships/hyperlink" Target="https://drive.google.com/uc?export=download&amp;id=1siOX_F5Vn6d5Ml8D4Muf022Xe_7GOqKK" TargetMode="External"/><Relationship Id="rId1887" Type="http://schemas.openxmlformats.org/officeDocument/2006/relationships/hyperlink" Target="https://drive.google.com/uc?export=download&amp;id=16k8C_CUuGCLLaM7HgObgzjQdhpt9mhsg" TargetMode="External"/><Relationship Id="rId1404" Type="http://schemas.openxmlformats.org/officeDocument/2006/relationships/hyperlink" Target="https://drive.google.com/uc?export=download&amp;id=1GhpZDLUQkn605hq6u-RzNeWsZOxAdE3a" TargetMode="External"/><Relationship Id="rId1888" Type="http://schemas.openxmlformats.org/officeDocument/2006/relationships/hyperlink" Target="https://drive.google.com/uc?export=download&amp;id=1FfF-XXQf9rz_v8dnapN10bcIbWNMrUg5" TargetMode="External"/><Relationship Id="rId1405" Type="http://schemas.openxmlformats.org/officeDocument/2006/relationships/hyperlink" Target="https://drive.google.com/uc?export=download&amp;id=1z5WM_e3pDB93TBu4Qnujkatu0RuARfpc" TargetMode="External"/><Relationship Id="rId1889" Type="http://schemas.openxmlformats.org/officeDocument/2006/relationships/hyperlink" Target="https://drive.google.com/uc?export=download&amp;id=15D6jUNB0faPhMI5GyWB6G6UU8x43q3GO" TargetMode="External"/><Relationship Id="rId1406" Type="http://schemas.openxmlformats.org/officeDocument/2006/relationships/hyperlink" Target="https://drive.google.com/uc?export=download&amp;id=1CraSPAVesKJaNgzN6n0P_X92OZk9K1g1" TargetMode="External"/><Relationship Id="rId1407" Type="http://schemas.openxmlformats.org/officeDocument/2006/relationships/hyperlink" Target="https://drive.google.com/uc?export=download&amp;id=1rQpfF7XRN_BdbzvS4_0HzCX45uAFtyhm" TargetMode="External"/><Relationship Id="rId1408" Type="http://schemas.openxmlformats.org/officeDocument/2006/relationships/hyperlink" Target="https://drive.google.com/uc?export=download&amp;id=1CruNQPFDKvY7X5rmIqE9-EbmoPOCrj1B" TargetMode="External"/><Relationship Id="rId1409" Type="http://schemas.openxmlformats.org/officeDocument/2006/relationships/hyperlink" Target="https://drive.google.com/uc?export=download&amp;id=1waLbGiEuX6p2-CEOskuks1Ar7KgBPqWQ" TargetMode="External"/><Relationship Id="rId1880" Type="http://schemas.openxmlformats.org/officeDocument/2006/relationships/hyperlink" Target="https://drive.google.com/uc?export=download&amp;id=1ctOFwcqqpvNjzRuKUwcxt5rKQbUDj3ju" TargetMode="External"/><Relationship Id="rId1881" Type="http://schemas.openxmlformats.org/officeDocument/2006/relationships/hyperlink" Target="https://drive.google.com/uc?export=download&amp;id=17sTjJiqOVOv7AWljLCsz3hEpmbXX_7S0" TargetMode="External"/><Relationship Id="rId1882" Type="http://schemas.openxmlformats.org/officeDocument/2006/relationships/hyperlink" Target="https://drive.google.com/uc?export=download&amp;id=11N4zhgHNc9_MwHmUAz0VVxKsxswhs0PJ" TargetMode="External"/><Relationship Id="rId1883" Type="http://schemas.openxmlformats.org/officeDocument/2006/relationships/hyperlink" Target="https://drive.google.com/uc?export=download&amp;id=1TRfr72ST_sQxbyr9MTY9FrhteDyjRve7" TargetMode="External"/><Relationship Id="rId1433" Type="http://schemas.openxmlformats.org/officeDocument/2006/relationships/hyperlink" Target="https://drive.google.com/uc?export=download&amp;id=13OTPoyeWgy-4V928BCSgp_AKhqEnohiW" TargetMode="External"/><Relationship Id="rId1434" Type="http://schemas.openxmlformats.org/officeDocument/2006/relationships/hyperlink" Target="https://drive.google.com/uc?export=download&amp;id=1IDGqlgwCEnG0LKwGQfZAiIQDViIgUWuU" TargetMode="External"/><Relationship Id="rId1435" Type="http://schemas.openxmlformats.org/officeDocument/2006/relationships/hyperlink" Target="https://drive.google.com/uc?export=download&amp;id=1hoS7lCE1pWVwE-hWrIxoGJJOpikjgWGV" TargetMode="External"/><Relationship Id="rId1436" Type="http://schemas.openxmlformats.org/officeDocument/2006/relationships/hyperlink" Target="https://drive.google.com/uc?export=download&amp;id=1UgVk67xGa83LjfE5TnB0qZPFMUs9cTBt" TargetMode="External"/><Relationship Id="rId1437" Type="http://schemas.openxmlformats.org/officeDocument/2006/relationships/hyperlink" Target="https://drive.google.com/uc?export=download&amp;id=1xlyCfUpw4Xs6DVYV6Xaxpvwty1zdXx_f" TargetMode="External"/><Relationship Id="rId1438" Type="http://schemas.openxmlformats.org/officeDocument/2006/relationships/hyperlink" Target="https://drive.google.com/uc?export=download&amp;id=1yJc8qYyr4y6SL2XI9bZtqTOXVZnzJa7V" TargetMode="External"/><Relationship Id="rId1439" Type="http://schemas.openxmlformats.org/officeDocument/2006/relationships/hyperlink" Target="https://drive.google.com/uc?export=download&amp;id=13jYVl1VdhGsc4mYHWjCYjBrRPTbYSdg3" TargetMode="External"/><Relationship Id="rId609" Type="http://schemas.openxmlformats.org/officeDocument/2006/relationships/hyperlink" Target="https://drive.google.com/uc?export=download&amp;id=1lPNrDw2QouUtGeOfwIwFFgWGm2psnrXi" TargetMode="External"/><Relationship Id="rId608" Type="http://schemas.openxmlformats.org/officeDocument/2006/relationships/hyperlink" Target="https://drive.google.com/uc?export=download&amp;id=1qoYJfmUcMzQB-ZLXdd8T4LxrWiczvvzj" TargetMode="External"/><Relationship Id="rId607" Type="http://schemas.openxmlformats.org/officeDocument/2006/relationships/hyperlink" Target="https://drive.google.com/uc?export=download&amp;id=13kF7k9yNpwz17fBR1ip7KB8u_JD6PALT" TargetMode="External"/><Relationship Id="rId602" Type="http://schemas.openxmlformats.org/officeDocument/2006/relationships/hyperlink" Target="https://drive.google.com/uc?export=download&amp;id=1ia-J4Nhiv3AL27ZsjLIRKIJWoVcdwlNY" TargetMode="External"/><Relationship Id="rId601" Type="http://schemas.openxmlformats.org/officeDocument/2006/relationships/hyperlink" Target="https://drive.google.com/uc?export=download&amp;id=13f3ba0p5Ght4OaQeoSkxmj1YhDSwEeqn" TargetMode="External"/><Relationship Id="rId600" Type="http://schemas.openxmlformats.org/officeDocument/2006/relationships/hyperlink" Target="https://drive.google.com/uc?export=download&amp;id=13wLgGIClcgu_OHz0REAeg4qIACBO23Z6" TargetMode="External"/><Relationship Id="rId606" Type="http://schemas.openxmlformats.org/officeDocument/2006/relationships/hyperlink" Target="https://drive.google.com/uc?export=download&amp;id=1e8Q5UNlok4EBhKvgOorb6Zrj5X2IBYip" TargetMode="External"/><Relationship Id="rId605" Type="http://schemas.openxmlformats.org/officeDocument/2006/relationships/hyperlink" Target="https://drive.google.com/uc?export=download&amp;id=16XrH0ou_zkm28nHqIVRrNdaFt-Jpf5VC" TargetMode="External"/><Relationship Id="rId604" Type="http://schemas.openxmlformats.org/officeDocument/2006/relationships/hyperlink" Target="https://drive.google.com/uc?export=download&amp;id=1mc_EaNhbvL6gRPN92T5ffHb8mTje_p3A" TargetMode="External"/><Relationship Id="rId603" Type="http://schemas.openxmlformats.org/officeDocument/2006/relationships/hyperlink" Target="https://drive.google.com/uc?export=download&amp;id=1sgFAxg8xbM5XcAk5AivhlEGP5sPmyHxh" TargetMode="External"/><Relationship Id="rId1430" Type="http://schemas.openxmlformats.org/officeDocument/2006/relationships/hyperlink" Target="https://drive.google.com/uc?export=download&amp;id=151lH2XlehXRLzjri94_U6eTfKj9qJhCM" TargetMode="External"/><Relationship Id="rId1431" Type="http://schemas.openxmlformats.org/officeDocument/2006/relationships/hyperlink" Target="https://drive.google.com/uc?export=download&amp;id=1gzp6PJhYYGixin8UYku8Y9F8zjctlYze" TargetMode="External"/><Relationship Id="rId1432" Type="http://schemas.openxmlformats.org/officeDocument/2006/relationships/hyperlink" Target="https://drive.google.com/uc?export=download&amp;id=1dmsCj-u-6uo3gDoOYcZ1gfzt4_Cgdg7G" TargetMode="External"/><Relationship Id="rId1422" Type="http://schemas.openxmlformats.org/officeDocument/2006/relationships/hyperlink" Target="https://drive.google.com/uc?export=download&amp;id=1mTHwYpu7Qd0dq9nSWctj97xPclH4FM7X" TargetMode="External"/><Relationship Id="rId1423" Type="http://schemas.openxmlformats.org/officeDocument/2006/relationships/hyperlink" Target="https://drive.google.com/uc?export=download&amp;id=1rTccaAMlfNvRpPpu-9c81X560O7iwVbp" TargetMode="External"/><Relationship Id="rId1424" Type="http://schemas.openxmlformats.org/officeDocument/2006/relationships/hyperlink" Target="https://drive.google.com/uc?export=download&amp;id=1eaN2JUkh7bVfGnSOnptDiFsr0pg6ILCu" TargetMode="External"/><Relationship Id="rId1425" Type="http://schemas.openxmlformats.org/officeDocument/2006/relationships/hyperlink" Target="https://drive.google.com/uc?export=download&amp;id=1IG9ksLoFI92c0Ty93ROHa2esR84sTWoF" TargetMode="External"/><Relationship Id="rId1426" Type="http://schemas.openxmlformats.org/officeDocument/2006/relationships/hyperlink" Target="https://drive.google.com/uc?export=download&amp;id=1rVnKyTLWNnEoK-7qEpXwv4Pyy1FDeQvU" TargetMode="External"/><Relationship Id="rId1427" Type="http://schemas.openxmlformats.org/officeDocument/2006/relationships/hyperlink" Target="https://drive.google.com/uc?export=download&amp;id=1tOH9LjN8m0CRC9-c9QscKMsf3lr_mhsf" TargetMode="External"/><Relationship Id="rId1428" Type="http://schemas.openxmlformats.org/officeDocument/2006/relationships/hyperlink" Target="https://drive.google.com/uc?export=download&amp;id=1CUgop5rCk7Btoefy6rQ8i_ONZ-yNvtz9" TargetMode="External"/><Relationship Id="rId1429" Type="http://schemas.openxmlformats.org/officeDocument/2006/relationships/hyperlink" Target="https://drive.google.com/uc?export=download&amp;id=1tVmMwXvWaKB1dzaJy1_4Tr6WbrSryYA6" TargetMode="External"/><Relationship Id="rId1420" Type="http://schemas.openxmlformats.org/officeDocument/2006/relationships/hyperlink" Target="https://drive.google.com/uc?export=download&amp;id=1vhEutRibSPzqFXGub2Gz44XxGbQpup-K" TargetMode="External"/><Relationship Id="rId1421" Type="http://schemas.openxmlformats.org/officeDocument/2006/relationships/hyperlink" Target="https://drive.google.com/uc?export=download&amp;id=1KsgDfCRGOnlYrQDNrKEMl6nlSsGUyiVV" TargetMode="External"/><Relationship Id="rId1059" Type="http://schemas.openxmlformats.org/officeDocument/2006/relationships/hyperlink" Target="https://drive.google.com/uc?export=download&amp;id=1vqfv2n-WaS2lnA1uIarHf8WNoAI3fZY-" TargetMode="External"/><Relationship Id="rId228" Type="http://schemas.openxmlformats.org/officeDocument/2006/relationships/hyperlink" Target="https://drive.google.com/uc?export=download&amp;id=19pKa-P8-cPrCzf0l2ojXz2wrsQ-fQG8u" TargetMode="External"/><Relationship Id="rId227" Type="http://schemas.openxmlformats.org/officeDocument/2006/relationships/hyperlink" Target="https://drive.google.com/uc?export=download&amp;id=1W5QZscpaWk6oYzaDJBBf8qAEnZs8XEVj" TargetMode="External"/><Relationship Id="rId226" Type="http://schemas.openxmlformats.org/officeDocument/2006/relationships/hyperlink" Target="https://drive.google.com/uc?export=download&amp;id=1HneMewkqysR8Chxif5Q3OrH45D7jT66g" TargetMode="External"/><Relationship Id="rId225" Type="http://schemas.openxmlformats.org/officeDocument/2006/relationships/hyperlink" Target="https://drive.google.com/uc?export=download&amp;id=1h_AwmYjj4orn9vhmYgiEVBAESAzF8dwT" TargetMode="External"/><Relationship Id="rId229" Type="http://schemas.openxmlformats.org/officeDocument/2006/relationships/hyperlink" Target="https://drive.google.com/uc?export=download&amp;id=1AZHC2m1myUXop27S11d1-JIuo9C1cCXT" TargetMode="External"/><Relationship Id="rId1050" Type="http://schemas.openxmlformats.org/officeDocument/2006/relationships/hyperlink" Target="https://drive.google.com/uc?export=download&amp;id=1PEsh9PvIBXiCi18qOzmXCVGBZTOjDpvd" TargetMode="External"/><Relationship Id="rId220" Type="http://schemas.openxmlformats.org/officeDocument/2006/relationships/hyperlink" Target="https://drive.google.com/uc?export=download&amp;id=1UybDCD91x4RpGp2C1CZxwcHYL38JGNlD" TargetMode="External"/><Relationship Id="rId1051" Type="http://schemas.openxmlformats.org/officeDocument/2006/relationships/hyperlink" Target="https://drive.google.com/uc?export=download&amp;id=1u1GvEoHi_dfKl8PQObz4U3dNz59ddRck" TargetMode="External"/><Relationship Id="rId1052" Type="http://schemas.openxmlformats.org/officeDocument/2006/relationships/hyperlink" Target="https://drive.google.com/uc?export=download&amp;id=1toxtv6TsV_VlZJmnoxP4Zd_2eNRFdcM4" TargetMode="External"/><Relationship Id="rId1053" Type="http://schemas.openxmlformats.org/officeDocument/2006/relationships/hyperlink" Target="https://drive.google.com/uc?export=download&amp;id=1qhOiDCqU0fsFmKLj6GXi0mQMV2bGOHr8" TargetMode="External"/><Relationship Id="rId1054" Type="http://schemas.openxmlformats.org/officeDocument/2006/relationships/hyperlink" Target="https://drive.google.com/uc?export=download&amp;id=1eTG1nx3lTRY1oKEcR9J9cKUplqKaAydT" TargetMode="External"/><Relationship Id="rId224" Type="http://schemas.openxmlformats.org/officeDocument/2006/relationships/hyperlink" Target="https://drive.google.com/uc?export=download&amp;id=1EW7C5AG9U1LaoNTypCqLCcebptebEEb9" TargetMode="External"/><Relationship Id="rId1055" Type="http://schemas.openxmlformats.org/officeDocument/2006/relationships/hyperlink" Target="https://drive.google.com/uc?export=download&amp;id=1Q2i2aX4kbsXifsHOybYkIi9zu5Be9ZU_" TargetMode="External"/><Relationship Id="rId223" Type="http://schemas.openxmlformats.org/officeDocument/2006/relationships/hyperlink" Target="https://drive.google.com/uc?export=download&amp;id=1N_ue5iIVkz3AkjB160JiVIFlgE4I_kBh" TargetMode="External"/><Relationship Id="rId1056" Type="http://schemas.openxmlformats.org/officeDocument/2006/relationships/hyperlink" Target="https://drive.google.com/uc?export=download&amp;id=1Ft09HGEZd1tvaPZXWroEAd589OE0qG52" TargetMode="External"/><Relationship Id="rId222" Type="http://schemas.openxmlformats.org/officeDocument/2006/relationships/hyperlink" Target="https://drive.google.com/uc?export=download&amp;id=1TlCYiYAeWrUeQAQsQf07fl5gOxawZSLS" TargetMode="External"/><Relationship Id="rId1057" Type="http://schemas.openxmlformats.org/officeDocument/2006/relationships/hyperlink" Target="https://drive.google.com/uc?export=download&amp;id=12hrjy0wBkPAEo78YgaJL-EGDEOIj3Jez" TargetMode="External"/><Relationship Id="rId221" Type="http://schemas.openxmlformats.org/officeDocument/2006/relationships/hyperlink" Target="https://drive.google.com/uc?export=download&amp;id=1OlfxPasEFhlwSMCOeAAXaILQT6DEPh_k" TargetMode="External"/><Relationship Id="rId1058" Type="http://schemas.openxmlformats.org/officeDocument/2006/relationships/hyperlink" Target="https://drive.google.com/uc?export=download&amp;id=1jLHxHWC7KsGNFLPTtqBz1IPfVXfDO0dt" TargetMode="External"/><Relationship Id="rId1048" Type="http://schemas.openxmlformats.org/officeDocument/2006/relationships/hyperlink" Target="https://drive.google.com/uc?export=download&amp;id=1gh0z1nXBaMZsSxoEGxTjOogrSdrRZBq4" TargetMode="External"/><Relationship Id="rId1049" Type="http://schemas.openxmlformats.org/officeDocument/2006/relationships/hyperlink" Target="https://drive.google.com/uc?export=download&amp;id=1OJEE5BxDpHSerXgrufiJe2IA_GHh6Jy7" TargetMode="External"/><Relationship Id="rId217" Type="http://schemas.openxmlformats.org/officeDocument/2006/relationships/hyperlink" Target="https://drive.google.com/uc?export=download&amp;id=1ARx_piG4h1XP-7yEUbbCLS0UIgL0Fpbe" TargetMode="External"/><Relationship Id="rId216" Type="http://schemas.openxmlformats.org/officeDocument/2006/relationships/hyperlink" Target="https://drive.google.com/uc?export=download&amp;id=1dP4onUOLbo8iRhHybnIWeir2XfjtrNAh" TargetMode="External"/><Relationship Id="rId215" Type="http://schemas.openxmlformats.org/officeDocument/2006/relationships/hyperlink" Target="https://drive.google.com/uc?export=download&amp;id=1HfdX3b0LVqYGwPp0e9oIrRvxQmlMVPtj" TargetMode="External"/><Relationship Id="rId699" Type="http://schemas.openxmlformats.org/officeDocument/2006/relationships/hyperlink" Target="https://drive.google.com/uc?export=download&amp;id=1qW0EJU_j0h8qIuXhhdtbcNuAPat23vis" TargetMode="External"/><Relationship Id="rId214" Type="http://schemas.openxmlformats.org/officeDocument/2006/relationships/hyperlink" Target="https://drive.google.com/uc?export=download&amp;id=1XxhbT1N0CQ7uuCaKA7yXw6w2s2qXU-zE" TargetMode="External"/><Relationship Id="rId698" Type="http://schemas.openxmlformats.org/officeDocument/2006/relationships/hyperlink" Target="https://drive.google.com/uc?export=download&amp;id=1rXzn9VtVMoi3E9IRfsNDkZmWgGLWR-Ps" TargetMode="External"/><Relationship Id="rId219" Type="http://schemas.openxmlformats.org/officeDocument/2006/relationships/hyperlink" Target="https://drive.google.com/uc?export=download&amp;id=1O99oo4FdiQM6PvQgJP0cgLT-mwIvW-KQ" TargetMode="External"/><Relationship Id="rId218" Type="http://schemas.openxmlformats.org/officeDocument/2006/relationships/hyperlink" Target="https://drive.google.com/uc?export=download&amp;id=1mgn9eQT1ePBI4ul6sC3--FI2HXthEDaz" TargetMode="External"/><Relationship Id="rId693" Type="http://schemas.openxmlformats.org/officeDocument/2006/relationships/hyperlink" Target="https://drive.google.com/uc?export=download&amp;id=161FNoCXS3hXkDY7gyqaPbpu529mbFuey" TargetMode="External"/><Relationship Id="rId1040" Type="http://schemas.openxmlformats.org/officeDocument/2006/relationships/hyperlink" Target="https://drive.google.com/uc?export=download&amp;id=1gVGbGb2yj19AMQg2I3JSipihkRp9M_N_" TargetMode="External"/><Relationship Id="rId692" Type="http://schemas.openxmlformats.org/officeDocument/2006/relationships/hyperlink" Target="https://drive.google.com/uc?export=download&amp;id=1QSq1sQaQ6USueYXq-DiWguie92A9ngcV" TargetMode="External"/><Relationship Id="rId1041" Type="http://schemas.openxmlformats.org/officeDocument/2006/relationships/hyperlink" Target="https://drive.google.com/uc?export=download&amp;id=1gFpIMv4BwvzTYF_FDK6kTMm73GYel7LG" TargetMode="External"/><Relationship Id="rId691" Type="http://schemas.openxmlformats.org/officeDocument/2006/relationships/hyperlink" Target="https://drive.google.com/uc?export=download&amp;id=1mtaN6RHfrQ0OoFUD-jQrt6UyVimhl0up" TargetMode="External"/><Relationship Id="rId1042" Type="http://schemas.openxmlformats.org/officeDocument/2006/relationships/hyperlink" Target="https://drive.google.com/uc?export=download&amp;id=1bpeOJSLcrpFRXN-c0mJX7Tfn4liL1-fW" TargetMode="External"/><Relationship Id="rId690" Type="http://schemas.openxmlformats.org/officeDocument/2006/relationships/hyperlink" Target="https://drive.google.com/uc?export=download&amp;id=11138fqp03GyFdyAdPqARHayG_FLxivbt" TargetMode="External"/><Relationship Id="rId1043" Type="http://schemas.openxmlformats.org/officeDocument/2006/relationships/hyperlink" Target="https://drive.google.com/uc?export=download&amp;id=1rcxS0CpuvZ3hEJ1bRXtoIswgRV1Xhsty" TargetMode="External"/><Relationship Id="rId213" Type="http://schemas.openxmlformats.org/officeDocument/2006/relationships/hyperlink" Target="https://drive.google.com/uc?export=download&amp;id=1CIpRARMtuek69uW1-BGWPokBU6chlDU3" TargetMode="External"/><Relationship Id="rId697" Type="http://schemas.openxmlformats.org/officeDocument/2006/relationships/hyperlink" Target="https://drive.google.com/uc?export=download&amp;id=1pAa_8U6rfe5sG1zYRH3pWeWj6KxTsyBL" TargetMode="External"/><Relationship Id="rId1044" Type="http://schemas.openxmlformats.org/officeDocument/2006/relationships/hyperlink" Target="https://drive.google.com/uc?export=download&amp;id=1ETpDnhOB1EdlSypnIkNbL5LE-wvClwLD" TargetMode="External"/><Relationship Id="rId212" Type="http://schemas.openxmlformats.org/officeDocument/2006/relationships/hyperlink" Target="https://drive.google.com/uc?export=download&amp;id=1_YD077L52USpNwTsmhIyOKSckO0l01yl" TargetMode="External"/><Relationship Id="rId696" Type="http://schemas.openxmlformats.org/officeDocument/2006/relationships/hyperlink" Target="https://drive.google.com/uc?export=download&amp;id=1qGrPeLOSOb1kiln1s4olezYmErkC1fU8" TargetMode="External"/><Relationship Id="rId1045" Type="http://schemas.openxmlformats.org/officeDocument/2006/relationships/hyperlink" Target="https://drive.google.com/uc?export=download&amp;id=1rXhhPhyzYLmDOlOYUNs4CrG6pIZIdqYT" TargetMode="External"/><Relationship Id="rId211" Type="http://schemas.openxmlformats.org/officeDocument/2006/relationships/hyperlink" Target="https://drive.google.com/uc?export=download&amp;id=1SJrmE5CFz_DLyzElzF3ttTXtZvwjJV7W" TargetMode="External"/><Relationship Id="rId695" Type="http://schemas.openxmlformats.org/officeDocument/2006/relationships/hyperlink" Target="https://drive.google.com/uc?export=download&amp;id=1j_ed72ihFEXTPUONAeg9jCXAmrkoOiL3" TargetMode="External"/><Relationship Id="rId1046" Type="http://schemas.openxmlformats.org/officeDocument/2006/relationships/hyperlink" Target="https://drive.google.com/uc?export=download&amp;id=1BrF5ATgMUCXTilXr0SYtgeqMALVVpzQg" TargetMode="External"/><Relationship Id="rId210" Type="http://schemas.openxmlformats.org/officeDocument/2006/relationships/hyperlink" Target="https://drive.google.com/uc?export=download&amp;id=1MH4SLL_zTRd74IwmV4LJsUXEi9tAUCbB" TargetMode="External"/><Relationship Id="rId694" Type="http://schemas.openxmlformats.org/officeDocument/2006/relationships/hyperlink" Target="https://drive.google.com/uc?export=download&amp;id=1jVW57TEUjBrVE4bAbmziJKEJt7R2bhzj" TargetMode="External"/><Relationship Id="rId1047" Type="http://schemas.openxmlformats.org/officeDocument/2006/relationships/hyperlink" Target="https://drive.google.com/uc?export=download&amp;id=1JVJSlQAXMX4pZXVcorY84pPKdTok4aK8" TargetMode="External"/><Relationship Id="rId249" Type="http://schemas.openxmlformats.org/officeDocument/2006/relationships/hyperlink" Target="https://drive.google.com/uc?export=download&amp;id=1G2O4_EHsfUtBKaECburzEjkFBYGGcehY" TargetMode="External"/><Relationship Id="rId248" Type="http://schemas.openxmlformats.org/officeDocument/2006/relationships/hyperlink" Target="https://drive.google.com/uc?export=download&amp;id=1G4ZMHZf9IBKWgrFBj-aWb2rJBkbTHx8f" TargetMode="External"/><Relationship Id="rId247" Type="http://schemas.openxmlformats.org/officeDocument/2006/relationships/hyperlink" Target="https://drive.google.com/uc?export=download&amp;id=17TZFDwewKyzlF9Fy2ZmD4T36D9iRLnys" TargetMode="External"/><Relationship Id="rId1070" Type="http://schemas.openxmlformats.org/officeDocument/2006/relationships/hyperlink" Target="https://drive.google.com/uc?export=download&amp;id=1h5YaAVcbiVASqJpGwrMU9MIgzQVSZKcr" TargetMode="External"/><Relationship Id="rId1071" Type="http://schemas.openxmlformats.org/officeDocument/2006/relationships/hyperlink" Target="https://drive.google.com/uc?export=download&amp;id=1cJHpq5fH6k1VQ-Emu6WtoNhP0CVpDQws" TargetMode="External"/><Relationship Id="rId1072" Type="http://schemas.openxmlformats.org/officeDocument/2006/relationships/hyperlink" Target="https://drive.google.com/uc?export=download&amp;id=1QsFApEDPZE50-Hyk7afhpaP5MChjkpCs" TargetMode="External"/><Relationship Id="rId242" Type="http://schemas.openxmlformats.org/officeDocument/2006/relationships/hyperlink" Target="https://drive.google.com/uc?export=download&amp;id=1LrkjriZTV5dBTyjKqCkVdeRWuF5_5AMB" TargetMode="External"/><Relationship Id="rId1073" Type="http://schemas.openxmlformats.org/officeDocument/2006/relationships/hyperlink" Target="https://drive.google.com/uc?export=download&amp;id=18SSCFNXbZEfRwpH8olRp-cgOQHo6svN7" TargetMode="External"/><Relationship Id="rId241" Type="http://schemas.openxmlformats.org/officeDocument/2006/relationships/hyperlink" Target="https://drive.google.com/uc?export=download&amp;id=1gzgkjIkmmeratMvdq8QW7DVYPkIU6ayk" TargetMode="External"/><Relationship Id="rId1074" Type="http://schemas.openxmlformats.org/officeDocument/2006/relationships/hyperlink" Target="https://drive.google.com/uc?export=download&amp;id=1cXm73q6f0BkRzkNI9X-F3LY-HwRuUsg1" TargetMode="External"/><Relationship Id="rId240" Type="http://schemas.openxmlformats.org/officeDocument/2006/relationships/hyperlink" Target="https://drive.google.com/uc?export=download&amp;id=15VMC4VvMf4Vm4Hd-qFH9YVlUJ7v-NY_Z" TargetMode="External"/><Relationship Id="rId1075" Type="http://schemas.openxmlformats.org/officeDocument/2006/relationships/hyperlink" Target="https://drive.google.com/uc?export=download&amp;id=1KEaxamo_W21ZOVL-lPVjmtbrU9GcATIN" TargetMode="External"/><Relationship Id="rId1076" Type="http://schemas.openxmlformats.org/officeDocument/2006/relationships/hyperlink" Target="https://drive.google.com/uc?export=download&amp;id=19thP9aTkeMDoeH2tO0gN0920d2GThvpD" TargetMode="External"/><Relationship Id="rId246" Type="http://schemas.openxmlformats.org/officeDocument/2006/relationships/hyperlink" Target="https://drive.google.com/uc?export=download&amp;id=1afJqaGVPwBgFpb4WJesj-1Yo-z1pIoyz" TargetMode="External"/><Relationship Id="rId1077" Type="http://schemas.openxmlformats.org/officeDocument/2006/relationships/hyperlink" Target="https://drive.google.com/uc?export=download&amp;id=1fP4LfLgvTcQyZYGH_zUot1jHCAAWXJAH" TargetMode="External"/><Relationship Id="rId245" Type="http://schemas.openxmlformats.org/officeDocument/2006/relationships/hyperlink" Target="https://drive.google.com/uc?export=download&amp;id=1mRw8lpnu0cofuN6YVJSUmjI05Rh-6Xqd" TargetMode="External"/><Relationship Id="rId1078" Type="http://schemas.openxmlformats.org/officeDocument/2006/relationships/hyperlink" Target="https://drive.google.com/uc?export=download&amp;id=1UPoyCi24hUIGsOmTWwni2uM5NIHF5fJR" TargetMode="External"/><Relationship Id="rId244" Type="http://schemas.openxmlformats.org/officeDocument/2006/relationships/hyperlink" Target="https://drive.google.com/uc?export=download&amp;id=1YBvl3VEOXJYYMcRBcV4pF1YTjKMXxg5p" TargetMode="External"/><Relationship Id="rId1079" Type="http://schemas.openxmlformats.org/officeDocument/2006/relationships/hyperlink" Target="https://drive.google.com/uc?export=download&amp;id=1PKCQuIwPYhdELuWM9wDp3NI2q-Jw1b7T" TargetMode="External"/><Relationship Id="rId243" Type="http://schemas.openxmlformats.org/officeDocument/2006/relationships/hyperlink" Target="https://drive.google.com/uc?export=download&amp;id=1uqmzUKdOZOuZ_731TKwFbZLc6eqVmPc0" TargetMode="External"/><Relationship Id="rId239" Type="http://schemas.openxmlformats.org/officeDocument/2006/relationships/hyperlink" Target="https://drive.google.com/uc?export=download&amp;id=17q3sJJXpHRsIn72TDrKdomrvw0fUQ8_d" TargetMode="External"/><Relationship Id="rId238" Type="http://schemas.openxmlformats.org/officeDocument/2006/relationships/hyperlink" Target="https://drive.google.com/uc?export=download&amp;id=14W0IQAexDBTLWIv3m9Yz1XYVFRFlS-Z_" TargetMode="External"/><Relationship Id="rId237" Type="http://schemas.openxmlformats.org/officeDocument/2006/relationships/hyperlink" Target="https://drive.google.com/uc?export=download&amp;id=1MznupNAbaFkmd1k8_gNhZnnEIF19mXpu" TargetMode="External"/><Relationship Id="rId236" Type="http://schemas.openxmlformats.org/officeDocument/2006/relationships/hyperlink" Target="https://drive.google.com/uc?export=download&amp;id=1_Bja3WH5X8prsF_cZjADSn_MQwePwmfS" TargetMode="External"/><Relationship Id="rId1060" Type="http://schemas.openxmlformats.org/officeDocument/2006/relationships/hyperlink" Target="https://drive.google.com/uc?export=download&amp;id=11pqTUqJcRsytkH5GLLGg0isdDTTMAgML" TargetMode="External"/><Relationship Id="rId1061" Type="http://schemas.openxmlformats.org/officeDocument/2006/relationships/hyperlink" Target="https://drive.google.com/uc?export=download&amp;id=10v6oQnNV6DhectiLZ3KUJZ5KiGETTqMM" TargetMode="External"/><Relationship Id="rId231" Type="http://schemas.openxmlformats.org/officeDocument/2006/relationships/hyperlink" Target="https://drive.google.com/uc?export=download&amp;id=1A87nQqo3pMeAUHgHgc-tYAhiu55WGgfA" TargetMode="External"/><Relationship Id="rId1062" Type="http://schemas.openxmlformats.org/officeDocument/2006/relationships/hyperlink" Target="https://drive.google.com/uc?export=download&amp;id=1MgGUyySz52xlH7luwPC8XgSK6Zk4p0zR" TargetMode="External"/><Relationship Id="rId230" Type="http://schemas.openxmlformats.org/officeDocument/2006/relationships/hyperlink" Target="https://drive.google.com/uc?export=download&amp;id=1gfa1EwbqXUdqR1cxHFMBwNge8ulU_S-E" TargetMode="External"/><Relationship Id="rId1063" Type="http://schemas.openxmlformats.org/officeDocument/2006/relationships/hyperlink" Target="https://drive.google.com/uc?export=download&amp;id=1YBL4161FUSFPUmCBx1HA2y3TfjEWF84c" TargetMode="External"/><Relationship Id="rId1064" Type="http://schemas.openxmlformats.org/officeDocument/2006/relationships/hyperlink" Target="https://drive.google.com/uc?export=download&amp;id=1g84HElZeRZSH81pAjd1KEG2UGNCzGNz0" TargetMode="External"/><Relationship Id="rId1065" Type="http://schemas.openxmlformats.org/officeDocument/2006/relationships/hyperlink" Target="https://drive.google.com/uc?export=download&amp;id=1fb8qESYUM0F1jjLNvWMKlowKp4fRc9Ww" TargetMode="External"/><Relationship Id="rId235" Type="http://schemas.openxmlformats.org/officeDocument/2006/relationships/hyperlink" Target="https://drive.google.com/uc?export=download&amp;id=1ujSiRRZCvn3wg0Eocu8PYV5lPxt9Pf1q" TargetMode="External"/><Relationship Id="rId1066" Type="http://schemas.openxmlformats.org/officeDocument/2006/relationships/hyperlink" Target="https://drive.google.com/uc?export=download&amp;id=1May_Vy0eGMlc4_CK2kkYOd9bwJnzxTdK" TargetMode="External"/><Relationship Id="rId234" Type="http://schemas.openxmlformats.org/officeDocument/2006/relationships/hyperlink" Target="https://drive.google.com/uc?export=download&amp;id=1MLUoTg96RkWzO83K8n5iMDRr8CP-o4ld" TargetMode="External"/><Relationship Id="rId1067" Type="http://schemas.openxmlformats.org/officeDocument/2006/relationships/hyperlink" Target="https://drive.google.com/uc?export=download&amp;id=1kC3e7IvGLvh9vd-6Ijniq8itMZ8CDa64" TargetMode="External"/><Relationship Id="rId233" Type="http://schemas.openxmlformats.org/officeDocument/2006/relationships/hyperlink" Target="https://drive.google.com/uc?export=download&amp;id=1eke8Sh2erVDdb7ekEys0GJLNFz1Zo2X4" TargetMode="External"/><Relationship Id="rId1068" Type="http://schemas.openxmlformats.org/officeDocument/2006/relationships/hyperlink" Target="https://drive.google.com/uc?export=download&amp;id=1ilmHzAA-6ZSoXEdmzumTT42pu_ykf2j6" TargetMode="External"/><Relationship Id="rId232" Type="http://schemas.openxmlformats.org/officeDocument/2006/relationships/hyperlink" Target="https://drive.google.com/uc?export=download&amp;id=1bwRD7KRhC-4vtkbajsn2OWlsw5T5Y0U-" TargetMode="External"/><Relationship Id="rId1069" Type="http://schemas.openxmlformats.org/officeDocument/2006/relationships/hyperlink" Target="https://drive.google.com/uc?export=download&amp;id=1-Wo3qbLH-JOEsnllmV1-DLfgsWFdzrio" TargetMode="External"/><Relationship Id="rId1015" Type="http://schemas.openxmlformats.org/officeDocument/2006/relationships/hyperlink" Target="https://drive.google.com/uc?export=download&amp;id=1ogPnEmpy1MmZNDfBNCH_mlMi0Mh9UQqH" TargetMode="External"/><Relationship Id="rId1499" Type="http://schemas.openxmlformats.org/officeDocument/2006/relationships/hyperlink" Target="https://drive.google.com/uc?export=download&amp;id=1n_2XTQfI3OKzs3MYNGGwNRgDJuDE6elN" TargetMode="External"/><Relationship Id="rId1016" Type="http://schemas.openxmlformats.org/officeDocument/2006/relationships/hyperlink" Target="https://drive.google.com/uc?export=download&amp;id=1g63_Uk0Njly-J6EkYXj2MF_ipuHwqtQc" TargetMode="External"/><Relationship Id="rId1017" Type="http://schemas.openxmlformats.org/officeDocument/2006/relationships/hyperlink" Target="https://drive.google.com/uc?export=download&amp;id=1zjWWcsGzdLRMesA6lbGCW3sVrhV-a2kx" TargetMode="External"/><Relationship Id="rId1018" Type="http://schemas.openxmlformats.org/officeDocument/2006/relationships/hyperlink" Target="https://drive.google.com/uc?export=download&amp;id=111wx9CX5zGzDQ3K_fa02ZLvh1EK_gkEO" TargetMode="External"/><Relationship Id="rId1019" Type="http://schemas.openxmlformats.org/officeDocument/2006/relationships/hyperlink" Target="https://drive.google.com/uc?export=download&amp;id=1iH_kcVs7UuGOI9407IuljcN1oLrBdwW_" TargetMode="External"/><Relationship Id="rId668" Type="http://schemas.openxmlformats.org/officeDocument/2006/relationships/hyperlink" Target="https://drive.google.com/uc?export=download&amp;id=1liCqgrCN90mvhzOgkkkE7B1-zic2g7s0" TargetMode="External"/><Relationship Id="rId667" Type="http://schemas.openxmlformats.org/officeDocument/2006/relationships/hyperlink" Target="https://drive.google.com/uc?export=download&amp;id=18PqF8aBmC9P4N7SmmGlMMqHqRIt5IMAT" TargetMode="External"/><Relationship Id="rId666" Type="http://schemas.openxmlformats.org/officeDocument/2006/relationships/hyperlink" Target="https://drive.google.com/uc?export=download&amp;id=13opXQZThBixtdJ7A-EScgjbtrFyxiRx3" TargetMode="External"/><Relationship Id="rId665" Type="http://schemas.openxmlformats.org/officeDocument/2006/relationships/hyperlink" Target="https://drive.google.com/uc?export=download&amp;id=1HAb4zFU2lbEBSEBtbervM81s5wijsw0P" TargetMode="External"/><Relationship Id="rId669" Type="http://schemas.openxmlformats.org/officeDocument/2006/relationships/hyperlink" Target="https://drive.google.com/uc?export=download&amp;id=1gRM_VD0dVCpa4A_hfdw9wxUiAqvKRIgw" TargetMode="External"/><Relationship Id="rId1490" Type="http://schemas.openxmlformats.org/officeDocument/2006/relationships/hyperlink" Target="https://drive.google.com/uc?export=download&amp;id=1U1ORGKNTdILlKDJHcZf-VluxMAE6uvT6" TargetMode="External"/><Relationship Id="rId660" Type="http://schemas.openxmlformats.org/officeDocument/2006/relationships/hyperlink" Target="https://drive.google.com/uc?export=download&amp;id=10PCabHVrOFA5qAaBTCQHauD9pMicvNmr" TargetMode="External"/><Relationship Id="rId1491" Type="http://schemas.openxmlformats.org/officeDocument/2006/relationships/hyperlink" Target="https://drive.google.com/uc?export=download&amp;id=1nL7Hlz_LD7gu6jxKZhlaABX9YsvqN4-n" TargetMode="External"/><Relationship Id="rId1492" Type="http://schemas.openxmlformats.org/officeDocument/2006/relationships/hyperlink" Target="https://drive.google.com/uc?export=download&amp;id=1AkRyoTKyyHFDEUe_9tYH4DDkgzTRfTBw" TargetMode="External"/><Relationship Id="rId1493" Type="http://schemas.openxmlformats.org/officeDocument/2006/relationships/hyperlink" Target="https://drive.google.com/uc?export=download&amp;id=1HdVnInBTn_-i2XlOd2ZY7vkuQ0Y8oGmR" TargetMode="External"/><Relationship Id="rId1010" Type="http://schemas.openxmlformats.org/officeDocument/2006/relationships/hyperlink" Target="https://drive.google.com/uc?export=download&amp;id=1iCONYwtV3gN-bYAwQ65eqyBS6nmp3E5x" TargetMode="External"/><Relationship Id="rId1494" Type="http://schemas.openxmlformats.org/officeDocument/2006/relationships/hyperlink" Target="https://drive.google.com/uc?export=download&amp;id=1yTz6VtdPwSY8Kn6irWbg7DQSlOCCRS5V" TargetMode="External"/><Relationship Id="rId664" Type="http://schemas.openxmlformats.org/officeDocument/2006/relationships/hyperlink" Target="https://drive.google.com/uc?export=download&amp;id=1z1Ezd1FYI5umPPPjZZgx3AiRYICeFEd6" TargetMode="External"/><Relationship Id="rId1011" Type="http://schemas.openxmlformats.org/officeDocument/2006/relationships/hyperlink" Target="https://drive.google.com/uc?export=download&amp;id=1TkAPPeMImGNksvDGH7iNsrmx8uBsELv_" TargetMode="External"/><Relationship Id="rId1495" Type="http://schemas.openxmlformats.org/officeDocument/2006/relationships/hyperlink" Target="https://drive.google.com/uc?export=download&amp;id=18-xv6dp12HPnLpTRR75KN94DsoFeFCc6" TargetMode="External"/><Relationship Id="rId663" Type="http://schemas.openxmlformats.org/officeDocument/2006/relationships/hyperlink" Target="https://drive.google.com/uc?export=download&amp;id=1xg0EHI50EbmDWnyZdPTdNF9tVcsuy2b4" TargetMode="External"/><Relationship Id="rId1012" Type="http://schemas.openxmlformats.org/officeDocument/2006/relationships/hyperlink" Target="https://drive.google.com/uc?export=download&amp;id=1hmjK15J2-UMFdtkgc7wwiYs1TJK5OEjR" TargetMode="External"/><Relationship Id="rId1496" Type="http://schemas.openxmlformats.org/officeDocument/2006/relationships/hyperlink" Target="https://drive.google.com/uc?export=download&amp;id=1ynjtt082u2m7m-O5bfu8CpwdlAkRZXNT" TargetMode="External"/><Relationship Id="rId662" Type="http://schemas.openxmlformats.org/officeDocument/2006/relationships/hyperlink" Target="https://drive.google.com/uc?export=download&amp;id=1i77nQ1xdcjyFecNrsAI_c4jwbvhzDLNB" TargetMode="External"/><Relationship Id="rId1013" Type="http://schemas.openxmlformats.org/officeDocument/2006/relationships/hyperlink" Target="https://drive.google.com/uc?export=download&amp;id=1hh5KwutgDWPPj-ITgMVMMdhFUj3yucfD" TargetMode="External"/><Relationship Id="rId1497" Type="http://schemas.openxmlformats.org/officeDocument/2006/relationships/hyperlink" Target="https://drive.google.com/uc?export=download&amp;id=14Mbes_tjLiV6r9_o8qXQ9q0MESALQpy6" TargetMode="External"/><Relationship Id="rId661" Type="http://schemas.openxmlformats.org/officeDocument/2006/relationships/hyperlink" Target="https://drive.google.com/uc?export=download&amp;id=1xQTfHMccT7oUJU6TgzF1JjS3JsEKSyEv" TargetMode="External"/><Relationship Id="rId1014" Type="http://schemas.openxmlformats.org/officeDocument/2006/relationships/hyperlink" Target="https://drive.google.com/uc?export=download&amp;id=1y2mSMN0b1KMywuz0X3bbbBomvKnS3jBr" TargetMode="External"/><Relationship Id="rId1498" Type="http://schemas.openxmlformats.org/officeDocument/2006/relationships/hyperlink" Target="https://drive.google.com/uc?export=download&amp;id=1qjPc95X859iQlbJPVxilNLaCKV0ox6BL" TargetMode="External"/><Relationship Id="rId1004" Type="http://schemas.openxmlformats.org/officeDocument/2006/relationships/hyperlink" Target="https://drive.google.com/uc?export=download&amp;id=1O7tUqn-O9c5PyP_e5zm7OtXxR-T5nTH3" TargetMode="External"/><Relationship Id="rId1488" Type="http://schemas.openxmlformats.org/officeDocument/2006/relationships/hyperlink" Target="https://drive.google.com/uc?export=download&amp;id=1aexc2cVhG3DLlxQMgVIpScdhKAICfb_Z" TargetMode="External"/><Relationship Id="rId1005" Type="http://schemas.openxmlformats.org/officeDocument/2006/relationships/hyperlink" Target="https://drive.google.com/uc?export=download&amp;id=1s3SIWfr8JidJbpouJc89INi74vqddNcj" TargetMode="External"/><Relationship Id="rId1489" Type="http://schemas.openxmlformats.org/officeDocument/2006/relationships/hyperlink" Target="https://drive.google.com/uc?export=download&amp;id=1jwOwj2VZBNAKFWTd2t-GVgEDUdeuj7ux" TargetMode="External"/><Relationship Id="rId1006" Type="http://schemas.openxmlformats.org/officeDocument/2006/relationships/hyperlink" Target="https://drive.google.com/uc?export=download&amp;id=1lGg8UoywydSUqQKWfobKc3aYY5fJONvS" TargetMode="External"/><Relationship Id="rId1007" Type="http://schemas.openxmlformats.org/officeDocument/2006/relationships/hyperlink" Target="https://drive.google.com/uc?export=download&amp;id=1VR6A8VnnEM2QNtRRrBgQX4_fvxLvqU68" TargetMode="External"/><Relationship Id="rId1008" Type="http://schemas.openxmlformats.org/officeDocument/2006/relationships/hyperlink" Target="https://drive.google.com/uc?export=download&amp;id=1TVk-T1QKdH7gFtbiDYnhJKOfL8uXuzof" TargetMode="External"/><Relationship Id="rId1009" Type="http://schemas.openxmlformats.org/officeDocument/2006/relationships/hyperlink" Target="https://drive.google.com/uc?export=download&amp;id=1yMXpeMaLZSVJSEIaaFhFoOYFw4Mn9jUI" TargetMode="External"/><Relationship Id="rId657" Type="http://schemas.openxmlformats.org/officeDocument/2006/relationships/hyperlink" Target="https://drive.google.com/uc?export=download&amp;id=16VvK0DV_ZsWsofevk5-6ozDghpCwHef3" TargetMode="External"/><Relationship Id="rId656" Type="http://schemas.openxmlformats.org/officeDocument/2006/relationships/hyperlink" Target="https://drive.google.com/uc?export=download&amp;id=1Mahqvx8HBlOQnIuACG54NQ53_qT7mTXW" TargetMode="External"/><Relationship Id="rId655" Type="http://schemas.openxmlformats.org/officeDocument/2006/relationships/hyperlink" Target="https://drive.google.com/uc?export=download&amp;id=1BgXj0rVIm3CcJbYMQxsh3TOvc3Q9oLEj" TargetMode="External"/><Relationship Id="rId654" Type="http://schemas.openxmlformats.org/officeDocument/2006/relationships/hyperlink" Target="https://drive.google.com/uc?export=download&amp;id=1Oa86zCzsDZ8vsCzzRh4pELmAXQphwD_b" TargetMode="External"/><Relationship Id="rId659" Type="http://schemas.openxmlformats.org/officeDocument/2006/relationships/hyperlink" Target="https://drive.google.com/uc?export=download&amp;id=1zAPDFKFfwNaQf1uB8YqB3tj-V06c_MmZ" TargetMode="External"/><Relationship Id="rId658" Type="http://schemas.openxmlformats.org/officeDocument/2006/relationships/hyperlink" Target="https://drive.google.com/uc?export=download&amp;id=1tIGWI3ViZDE8bUf2UsGZ5fOG4KjUo21U" TargetMode="External"/><Relationship Id="rId1480" Type="http://schemas.openxmlformats.org/officeDocument/2006/relationships/hyperlink" Target="https://drive.google.com/uc?export=download&amp;id=1F27Qq0g3miAAm4xUFPr2go5REtN4iYj5" TargetMode="External"/><Relationship Id="rId1481" Type="http://schemas.openxmlformats.org/officeDocument/2006/relationships/hyperlink" Target="https://drive.google.com/uc?export=download&amp;id=1H1F3Gw6IQgWKHHmPMhnwnpL59GblyVNv" TargetMode="External"/><Relationship Id="rId1482" Type="http://schemas.openxmlformats.org/officeDocument/2006/relationships/hyperlink" Target="https://drive.google.com/uc?export=download&amp;id=1h_IRRrnffr_a5DI2BXzFoDC_uJXpaelQ" TargetMode="External"/><Relationship Id="rId1483" Type="http://schemas.openxmlformats.org/officeDocument/2006/relationships/hyperlink" Target="https://drive.google.com/uc?export=download&amp;id=14cga8NT8WmqRqbLrHzCwYdrEBr39HxAk" TargetMode="External"/><Relationship Id="rId653" Type="http://schemas.openxmlformats.org/officeDocument/2006/relationships/hyperlink" Target="https://drive.google.com/uc?export=download&amp;id=1TLSqpuQ3i3Qifhq9xpFmpJCiUtWcrCuD" TargetMode="External"/><Relationship Id="rId1000" Type="http://schemas.openxmlformats.org/officeDocument/2006/relationships/hyperlink" Target="https://drive.google.com/uc?export=download&amp;id=1GsLnfN_PDRzwMgf1m1va2O2iOPzv-iek" TargetMode="External"/><Relationship Id="rId1484" Type="http://schemas.openxmlformats.org/officeDocument/2006/relationships/hyperlink" Target="https://drive.google.com/uc?export=download&amp;id=10ijplhAC8R2ECjW-yQlK8ngpSR0ubWXs" TargetMode="External"/><Relationship Id="rId652" Type="http://schemas.openxmlformats.org/officeDocument/2006/relationships/hyperlink" Target="https://drive.google.com/uc?export=download&amp;id=1ul8IiiRMbIi8PM1Rqkz3c3g30bEZK6C3" TargetMode="External"/><Relationship Id="rId1001" Type="http://schemas.openxmlformats.org/officeDocument/2006/relationships/hyperlink" Target="https://drive.google.com/uc?export=download&amp;id=1-ebYzwaby3kowcwxpCy3enVdT__uCpik" TargetMode="External"/><Relationship Id="rId1485" Type="http://schemas.openxmlformats.org/officeDocument/2006/relationships/hyperlink" Target="https://drive.google.com/uc?export=download&amp;id=1YVRYYgJs984VNiX7iojuPQS3AeBB7tiY" TargetMode="External"/><Relationship Id="rId651" Type="http://schemas.openxmlformats.org/officeDocument/2006/relationships/hyperlink" Target="https://drive.google.com/uc?export=download&amp;id=1fUswOvR4tgEwymrzehNHjpmxnUIzdd_2" TargetMode="External"/><Relationship Id="rId1002" Type="http://schemas.openxmlformats.org/officeDocument/2006/relationships/hyperlink" Target="https://drive.google.com/uc?export=download&amp;id=1cVvhmUk9pw3j8JAAy6aUkJlcJl-9O0qZ" TargetMode="External"/><Relationship Id="rId1486" Type="http://schemas.openxmlformats.org/officeDocument/2006/relationships/hyperlink" Target="https://drive.google.com/uc?export=download&amp;id=1GouR1vFfWg0OKO-vYlx_hOVTk5JXF4B6" TargetMode="External"/><Relationship Id="rId650" Type="http://schemas.openxmlformats.org/officeDocument/2006/relationships/hyperlink" Target="https://drive.google.com/uc?export=download&amp;id=1Ff-y2LxdXcrEQdFWE9j6E7rAuBpILL8g" TargetMode="External"/><Relationship Id="rId1003" Type="http://schemas.openxmlformats.org/officeDocument/2006/relationships/hyperlink" Target="https://drive.google.com/uc?export=download&amp;id=1i_rvjRfBKmfS-T61vgT6MbIPoWHm-NRN" TargetMode="External"/><Relationship Id="rId1487" Type="http://schemas.openxmlformats.org/officeDocument/2006/relationships/hyperlink" Target="https://drive.google.com/uc?export=download&amp;id=15x2HWf-O64Aqf2KXE_Wk9g7Ed78n-o4c" TargetMode="External"/><Relationship Id="rId1037" Type="http://schemas.openxmlformats.org/officeDocument/2006/relationships/hyperlink" Target="https://drive.google.com/uc?export=download&amp;id=1eBJRXaf59nTIOsRCVreTS58xWSjjzekS" TargetMode="External"/><Relationship Id="rId1038" Type="http://schemas.openxmlformats.org/officeDocument/2006/relationships/hyperlink" Target="https://drive.google.com/uc?export=download&amp;id=176ctJzGFsENz31MPlApxoc8aZcLA_jCu" TargetMode="External"/><Relationship Id="rId1039" Type="http://schemas.openxmlformats.org/officeDocument/2006/relationships/hyperlink" Target="https://drive.google.com/uc?export=download&amp;id=1YZeQpAOqT9IeEHFVEylOTlGI7EyaKjtq" TargetMode="External"/><Relationship Id="rId206" Type="http://schemas.openxmlformats.org/officeDocument/2006/relationships/hyperlink" Target="https://drive.google.com/uc?export=download&amp;id=1ZF9idj79Xr6KcXuzj_ONoIHBpdP2Crxb" TargetMode="External"/><Relationship Id="rId205" Type="http://schemas.openxmlformats.org/officeDocument/2006/relationships/hyperlink" Target="https://drive.google.com/uc?export=download&amp;id=1kPBwKgqHC324BB1BTmWOEr5-R6E2FGzM" TargetMode="External"/><Relationship Id="rId689" Type="http://schemas.openxmlformats.org/officeDocument/2006/relationships/hyperlink" Target="https://drive.google.com/uc?export=download&amp;id=1jtNfL_cGjqkuL4aJFVuWWQ7ktQPt3PwU" TargetMode="External"/><Relationship Id="rId204" Type="http://schemas.openxmlformats.org/officeDocument/2006/relationships/hyperlink" Target="https://drive.google.com/uc?export=download&amp;id=1nWk5okVahx7-x1HieH1HzRMrZzhQqi97" TargetMode="External"/><Relationship Id="rId688" Type="http://schemas.openxmlformats.org/officeDocument/2006/relationships/hyperlink" Target="https://drive.google.com/uc?export=download&amp;id=1Qa57oqizQGPSFyC3t5fgABqDaFkYmG01" TargetMode="External"/><Relationship Id="rId203" Type="http://schemas.openxmlformats.org/officeDocument/2006/relationships/hyperlink" Target="https://drive.google.com/uc?export=download&amp;id=1LByZ4CuA6a78Oi66_KpGioZNfdlEYMm-" TargetMode="External"/><Relationship Id="rId687" Type="http://schemas.openxmlformats.org/officeDocument/2006/relationships/hyperlink" Target="https://drive.google.com/uc?export=download&amp;id=1sWfBawuqPkP9xD5JLSmuL3jdHRXhwgd5" TargetMode="External"/><Relationship Id="rId209" Type="http://schemas.openxmlformats.org/officeDocument/2006/relationships/hyperlink" Target="https://drive.google.com/uc?export=download&amp;id=1scYnINOdkEuUg1XzCZrV2NJG8yBPAUjQ" TargetMode="External"/><Relationship Id="rId208" Type="http://schemas.openxmlformats.org/officeDocument/2006/relationships/hyperlink" Target="https://drive.google.com/uc?export=download&amp;id=1AD3mIIU5n3f_U3C7aq_mrDZM34MRZ6Bq" TargetMode="External"/><Relationship Id="rId207" Type="http://schemas.openxmlformats.org/officeDocument/2006/relationships/hyperlink" Target="https://drive.google.com/uc?export=download&amp;id=12hEpr9lj5ObMFslsc7ct-5xaqHNmeiQS" TargetMode="External"/><Relationship Id="rId682" Type="http://schemas.openxmlformats.org/officeDocument/2006/relationships/hyperlink" Target="https://drive.google.com/uc?export=download&amp;id=1w1-toD1l2ckkVr5C7TsPJrSvBMq4LA1i" TargetMode="External"/><Relationship Id="rId681" Type="http://schemas.openxmlformats.org/officeDocument/2006/relationships/hyperlink" Target="https://drive.google.com/uc?export=download&amp;id=1V4CD5J6acUVeqkT08fXfYwT69ik_zPn4" TargetMode="External"/><Relationship Id="rId1030" Type="http://schemas.openxmlformats.org/officeDocument/2006/relationships/hyperlink" Target="https://drive.google.com/uc?export=download&amp;id=1REQJe46MzPu0IkadfYyq08rkksvd9HId" TargetMode="External"/><Relationship Id="rId680" Type="http://schemas.openxmlformats.org/officeDocument/2006/relationships/hyperlink" Target="https://drive.google.com/uc?export=download&amp;id=1RDEC6tZwb6JgJ8iDPT7EuHOuWcu7o8P5" TargetMode="External"/><Relationship Id="rId1031" Type="http://schemas.openxmlformats.org/officeDocument/2006/relationships/hyperlink" Target="https://drive.google.com/uc?export=download&amp;id=186a8ahSJSE6Id0s7NSxnFe5ORMqD3A_I" TargetMode="External"/><Relationship Id="rId1032" Type="http://schemas.openxmlformats.org/officeDocument/2006/relationships/hyperlink" Target="https://drive.google.com/uc?export=download&amp;id=19Hb5myoohiXNYSY_0sdz1WGvlRDG31kU" TargetMode="External"/><Relationship Id="rId202" Type="http://schemas.openxmlformats.org/officeDocument/2006/relationships/hyperlink" Target="https://drive.google.com/uc?export=download&amp;id=1Nje-3g2k6fPsxRxpaJbkGFSRjC4rS6CU" TargetMode="External"/><Relationship Id="rId686" Type="http://schemas.openxmlformats.org/officeDocument/2006/relationships/hyperlink" Target="https://drive.google.com/uc?export=download&amp;id=1PgDF1ZRSoNy2k14zDiK5lrM8vIV8Lbw_" TargetMode="External"/><Relationship Id="rId1033" Type="http://schemas.openxmlformats.org/officeDocument/2006/relationships/hyperlink" Target="https://drive.google.com/uc?export=download&amp;id=13C-JWv8ktTE4na2Dd-kC3HHwARTrUs0o" TargetMode="External"/><Relationship Id="rId201" Type="http://schemas.openxmlformats.org/officeDocument/2006/relationships/hyperlink" Target="https://drive.google.com/uc?export=download&amp;id=1kmD42T3fso-D624Nt_f298M1cPdKnxAf" TargetMode="External"/><Relationship Id="rId685" Type="http://schemas.openxmlformats.org/officeDocument/2006/relationships/hyperlink" Target="https://drive.google.com/uc?export=download&amp;id=1nzl5ZBjTFauhNrcrycN_YFeogqUYAN08" TargetMode="External"/><Relationship Id="rId1034" Type="http://schemas.openxmlformats.org/officeDocument/2006/relationships/hyperlink" Target="https://drive.google.com/uc?export=download&amp;id=13gNy7EA8fTvT20aq8LiwNOqQv_L0nvK2" TargetMode="External"/><Relationship Id="rId200" Type="http://schemas.openxmlformats.org/officeDocument/2006/relationships/hyperlink" Target="https://drive.google.com/uc?export=download&amp;id=1U9Ssn3rbmHt-yHke3qNx2xTy-4KzdmnL" TargetMode="External"/><Relationship Id="rId684" Type="http://schemas.openxmlformats.org/officeDocument/2006/relationships/hyperlink" Target="https://drive.google.com/uc?export=download&amp;id=1HDaOkUI3kfxG6eG16XNorBdHOCtR4kGZ" TargetMode="External"/><Relationship Id="rId1035" Type="http://schemas.openxmlformats.org/officeDocument/2006/relationships/hyperlink" Target="https://drive.google.com/uc?export=download&amp;id=1MxlrVwJHmMhn-fgzTxfk6kgwfejZrZ2j" TargetMode="External"/><Relationship Id="rId683" Type="http://schemas.openxmlformats.org/officeDocument/2006/relationships/hyperlink" Target="https://drive.google.com/uc?export=download&amp;id=1hqetKvlHJaiPtFwcm64rkhCEoNYGOuyY" TargetMode="External"/><Relationship Id="rId1036" Type="http://schemas.openxmlformats.org/officeDocument/2006/relationships/hyperlink" Target="https://drive.google.com/uc?export=download&amp;id=1O3H6U4UzrxUfTmjomZNUQaij0NzT4syw" TargetMode="External"/><Relationship Id="rId1026" Type="http://schemas.openxmlformats.org/officeDocument/2006/relationships/hyperlink" Target="https://drive.google.com/uc?export=download&amp;id=1Oy5ODvTIsnDVMMTWsD-2Ms0ol-Un-Jcr" TargetMode="External"/><Relationship Id="rId1027" Type="http://schemas.openxmlformats.org/officeDocument/2006/relationships/hyperlink" Target="https://drive.google.com/uc?export=download&amp;id=1Efx0PT45vdQIGxzUuivwmFUSkZ30LjfK" TargetMode="External"/><Relationship Id="rId1028" Type="http://schemas.openxmlformats.org/officeDocument/2006/relationships/hyperlink" Target="https://drive.google.com/uc?export=download&amp;id=14b8mGwxfuQTocZrwU5-xf_Q3S0WdQGFx" TargetMode="External"/><Relationship Id="rId1029" Type="http://schemas.openxmlformats.org/officeDocument/2006/relationships/hyperlink" Target="https://drive.google.com/uc?export=download&amp;id=1TPtz2k4wFT6PeCnPB2G9sdvW_BnDDy5o" TargetMode="External"/><Relationship Id="rId679" Type="http://schemas.openxmlformats.org/officeDocument/2006/relationships/hyperlink" Target="https://drive.google.com/uc?export=download&amp;id=1hMjiZXPvagIyKUwYHjPBHlmW_cerlHHC" TargetMode="External"/><Relationship Id="rId678" Type="http://schemas.openxmlformats.org/officeDocument/2006/relationships/hyperlink" Target="https://drive.google.com/uc?export=download&amp;id=1dd2RUL34gOY2jab_jXF4UZ4J31lAaOf8" TargetMode="External"/><Relationship Id="rId677" Type="http://schemas.openxmlformats.org/officeDocument/2006/relationships/hyperlink" Target="https://drive.google.com/uc?export=download&amp;id=1vYGIaR4gnAE2Og4GT9JJrBFQHNwei-08" TargetMode="External"/><Relationship Id="rId676" Type="http://schemas.openxmlformats.org/officeDocument/2006/relationships/hyperlink" Target="https://drive.google.com/uc?export=download&amp;id=1pZoCnleGnBehCb5vpb7FdHUwLf6xrtkD" TargetMode="External"/><Relationship Id="rId671" Type="http://schemas.openxmlformats.org/officeDocument/2006/relationships/hyperlink" Target="https://drive.google.com/uc?export=download&amp;id=16UHp1vq8l-F5bdZoNaTKVlgiCMyE0K_s" TargetMode="External"/><Relationship Id="rId670" Type="http://schemas.openxmlformats.org/officeDocument/2006/relationships/hyperlink" Target="https://drive.google.com/uc?export=download&amp;id=1I_B2svWFUFNkHBWY67Q6JxHM72CqMBUW" TargetMode="External"/><Relationship Id="rId1020" Type="http://schemas.openxmlformats.org/officeDocument/2006/relationships/hyperlink" Target="https://drive.google.com/uc?export=download&amp;id=1KJQ1HTUgNYbzrOxb5yAMrfkjs2cnfCE5" TargetMode="External"/><Relationship Id="rId1021" Type="http://schemas.openxmlformats.org/officeDocument/2006/relationships/hyperlink" Target="https://drive.google.com/uc?export=download&amp;id=1CLs_YWZ6uKke6XUyHdzNGMAbK31ISced" TargetMode="External"/><Relationship Id="rId675" Type="http://schemas.openxmlformats.org/officeDocument/2006/relationships/hyperlink" Target="https://drive.google.com/uc?export=download&amp;id=12136lfm1pfAYhRbkRw0hASsdGWQqk1LJ" TargetMode="External"/><Relationship Id="rId1022" Type="http://schemas.openxmlformats.org/officeDocument/2006/relationships/hyperlink" Target="https://drive.google.com/uc?export=download&amp;id=1ZZYLORIPvlja7HepQtOHVomWpRljTi7w" TargetMode="External"/><Relationship Id="rId674" Type="http://schemas.openxmlformats.org/officeDocument/2006/relationships/hyperlink" Target="https://drive.google.com/uc?export=download&amp;id=1w6ImB3ADYgPZWEJcB8vKobU4n1hdUsTb" TargetMode="External"/><Relationship Id="rId1023" Type="http://schemas.openxmlformats.org/officeDocument/2006/relationships/hyperlink" Target="https://drive.google.com/uc?export=download&amp;id=1Hz1zKFaoBNvo6tiGXLo2OWxuWLWrbR8P" TargetMode="External"/><Relationship Id="rId673" Type="http://schemas.openxmlformats.org/officeDocument/2006/relationships/hyperlink" Target="https://drive.google.com/uc?export=download&amp;id=1tbpsm2adUrXL61kEDQo1a0UgCj5qKEZF" TargetMode="External"/><Relationship Id="rId1024" Type="http://schemas.openxmlformats.org/officeDocument/2006/relationships/hyperlink" Target="https://drive.google.com/uc?export=download&amp;id=1P2LTrYWmJW3lLMFE1W_rq_JlGmzjy0rf" TargetMode="External"/><Relationship Id="rId672" Type="http://schemas.openxmlformats.org/officeDocument/2006/relationships/hyperlink" Target="https://drive.google.com/uc?export=download&amp;id=18rJvXaZK7X4f-51p0PzKufOACR6_fuV_" TargetMode="External"/><Relationship Id="rId1025" Type="http://schemas.openxmlformats.org/officeDocument/2006/relationships/hyperlink" Target="https://drive.google.com/uc?export=download&amp;id=1mEB7F2eGJ1ZltnAlNdsuRgXjYRG4xcsj" TargetMode="External"/><Relationship Id="rId190" Type="http://schemas.openxmlformats.org/officeDocument/2006/relationships/hyperlink" Target="https://drive.google.com/uc?export=download&amp;id=1-BSX5gWmkFXlaeRX7KZ92fnv0Lr1RNSc" TargetMode="External"/><Relationship Id="rId194" Type="http://schemas.openxmlformats.org/officeDocument/2006/relationships/hyperlink" Target="https://drive.google.com/uc?export=download&amp;id=1m1HUDaOalmth_-nzAF1VDflYP6-705-W" TargetMode="External"/><Relationship Id="rId193" Type="http://schemas.openxmlformats.org/officeDocument/2006/relationships/hyperlink" Target="https://drive.google.com/uc?export=download&amp;id=1uu8C8I_caj6D3hlz4FACTn5SkWl6iNPU" TargetMode="External"/><Relationship Id="rId192" Type="http://schemas.openxmlformats.org/officeDocument/2006/relationships/hyperlink" Target="https://drive.google.com/uc?export=download&amp;id=1Gmf2QBwi9RGvwz8Bf0v6T5Bqon_2gVyR" TargetMode="External"/><Relationship Id="rId191" Type="http://schemas.openxmlformats.org/officeDocument/2006/relationships/hyperlink" Target="https://drive.google.com/uc?export=download&amp;id=1y2L7jI63kKhVlsrp7Yc44LRR6YC1yvCh" TargetMode="External"/><Relationship Id="rId187" Type="http://schemas.openxmlformats.org/officeDocument/2006/relationships/hyperlink" Target="https://drive.google.com/uc?export=download&amp;id=1b7jdrVfHf_iUw-xcEK51rPaaT699Hncu" TargetMode="External"/><Relationship Id="rId186" Type="http://schemas.openxmlformats.org/officeDocument/2006/relationships/hyperlink" Target="https://drive.google.com/uc?export=download&amp;id=1TIvKeMjJ9l7MaMicm2VeAptmQ8wI0IgW" TargetMode="External"/><Relationship Id="rId185" Type="http://schemas.openxmlformats.org/officeDocument/2006/relationships/hyperlink" Target="https://drive.google.com/uc?export=download&amp;id=18M46FtQPRAX7x3uFNwngtljIR4NwCZSY" TargetMode="External"/><Relationship Id="rId184" Type="http://schemas.openxmlformats.org/officeDocument/2006/relationships/hyperlink" Target="https://drive.google.com/uc?export=download&amp;id=1hb4fcOFPfYuohkoVdmUDTrq8BpI2F-Px" TargetMode="External"/><Relationship Id="rId189" Type="http://schemas.openxmlformats.org/officeDocument/2006/relationships/hyperlink" Target="https://drive.google.com/uc?export=download&amp;id=121qQ0Gvdpgrp5GHEaSrqi2k0nHBabQlN" TargetMode="External"/><Relationship Id="rId188" Type="http://schemas.openxmlformats.org/officeDocument/2006/relationships/hyperlink" Target="https://drive.google.com/uc?export=download&amp;id=1g33wbxM26UjZxxxLxLkLV0d5Aud9wJot" TargetMode="External"/><Relationship Id="rId183" Type="http://schemas.openxmlformats.org/officeDocument/2006/relationships/hyperlink" Target="https://drive.google.com/uc?export=download&amp;id=1VCt2zZllJHRjRw7whhDA2MIwwii4mLwG" TargetMode="External"/><Relationship Id="rId182" Type="http://schemas.openxmlformats.org/officeDocument/2006/relationships/hyperlink" Target="https://drive.google.com/uc?export=download&amp;id=1kLinHUsdWcrfGQce3GmFot3xN0UzL6mJ" TargetMode="External"/><Relationship Id="rId181" Type="http://schemas.openxmlformats.org/officeDocument/2006/relationships/hyperlink" Target="https://drive.google.com/uc?export=download&amp;id=1C_ziPqWJtZgadtFqVXXlMpf4vFrd74i7" TargetMode="External"/><Relationship Id="rId180" Type="http://schemas.openxmlformats.org/officeDocument/2006/relationships/hyperlink" Target="https://drive.google.com/uc?export=download&amp;id=1Oansl19GIzbE7vE5DEjivWN-nvqWZnMy" TargetMode="External"/><Relationship Id="rId176" Type="http://schemas.openxmlformats.org/officeDocument/2006/relationships/hyperlink" Target="https://drive.google.com/uc?export=download&amp;id=1elJkGUauM1Yz7UQ8n6wYnsAquXtC6T9h" TargetMode="External"/><Relationship Id="rId175" Type="http://schemas.openxmlformats.org/officeDocument/2006/relationships/hyperlink" Target="https://drive.google.com/uc?export=download&amp;id=13-L2DmDaNjc2v-MYMcJUYtitGdc05aZH" TargetMode="External"/><Relationship Id="rId174" Type="http://schemas.openxmlformats.org/officeDocument/2006/relationships/hyperlink" Target="https://drive.google.com/uc?export=download&amp;id=1faRwmjPn7FeDheXOCp84E4ASVxmN67j1" TargetMode="External"/><Relationship Id="rId173" Type="http://schemas.openxmlformats.org/officeDocument/2006/relationships/hyperlink" Target="https://drive.google.com/uc?export=download&amp;id=1thu3_g-Qpjn_Hj_W0gMz8KmYSeM54XGE" TargetMode="External"/><Relationship Id="rId179" Type="http://schemas.openxmlformats.org/officeDocument/2006/relationships/hyperlink" Target="https://drive.google.com/uc?export=download&amp;id=1T7M5z9stFIamkOeIa9VahWtu0RnrUSMY" TargetMode="External"/><Relationship Id="rId178" Type="http://schemas.openxmlformats.org/officeDocument/2006/relationships/hyperlink" Target="https://drive.google.com/uc?export=download&amp;id=1iGi4YTC-47BWfSQ0lreiVDXQbVfgk7KD" TargetMode="External"/><Relationship Id="rId177" Type="http://schemas.openxmlformats.org/officeDocument/2006/relationships/hyperlink" Target="https://drive.google.com/uc?export=download&amp;id=1meeoB8_S14ATzeYw2u_0z8bZizpFU1iD" TargetMode="External"/><Relationship Id="rId1910" Type="http://schemas.openxmlformats.org/officeDocument/2006/relationships/hyperlink" Target="https://drive.google.com/uc?export=download&amp;id=1v2478Mb903k5UDUxzPby3qXoBAc2_yzp" TargetMode="External"/><Relationship Id="rId1911" Type="http://schemas.openxmlformats.org/officeDocument/2006/relationships/hyperlink" Target="https://drive.google.com/uc?export=download&amp;id=1f5_PfGbFHo3EbmcnzdPAV0oJFKggBh-T" TargetMode="External"/><Relationship Id="rId1912" Type="http://schemas.openxmlformats.org/officeDocument/2006/relationships/hyperlink" Target="https://drive.google.com/uc?export=download&amp;id=1pxPu1aVgLQqByrqYCe-ulmoz3MDWi1NO" TargetMode="External"/><Relationship Id="rId1913" Type="http://schemas.openxmlformats.org/officeDocument/2006/relationships/hyperlink" Target="https://drive.google.com/uc?export=download&amp;id=1lOswpazYlx3FPYVTkD1LvvFO8UffDkmI" TargetMode="External"/><Relationship Id="rId1914" Type="http://schemas.openxmlformats.org/officeDocument/2006/relationships/hyperlink" Target="https://drive.google.com/uc?export=download&amp;id=1J9YwCYcTIyt6uebvgzttRes_AN9J15SY" TargetMode="External"/><Relationship Id="rId1915" Type="http://schemas.openxmlformats.org/officeDocument/2006/relationships/hyperlink" Target="https://drive.google.com/uc?export=download&amp;id=1G3-PmoWtTwVfIRPFpWHk38DLQa33fhIG" TargetMode="External"/><Relationship Id="rId1916" Type="http://schemas.openxmlformats.org/officeDocument/2006/relationships/hyperlink" Target="https://drive.google.com/uc?export=download&amp;id=1MGEcGCwmXHKzRsvKoTHqf2jvja8p9UqZ" TargetMode="External"/><Relationship Id="rId1917" Type="http://schemas.openxmlformats.org/officeDocument/2006/relationships/hyperlink" Target="https://drive.google.com/uc?export=download&amp;id=17CO6nEh13GK3N0Uku21r32tW_ftmjprD" TargetMode="External"/><Relationship Id="rId1918" Type="http://schemas.openxmlformats.org/officeDocument/2006/relationships/hyperlink" Target="https://drive.google.com/uc?export=download&amp;id=1MpHTKPaIHJCSPd66C6xuS-N9IF94DX-V" TargetMode="External"/><Relationship Id="rId1919" Type="http://schemas.openxmlformats.org/officeDocument/2006/relationships/hyperlink" Target="https://drive.google.com/uc?export=download&amp;id=1hbf6-3_ZHMl3rOtdJA7Gsya0Ut1_UyoS" TargetMode="External"/><Relationship Id="rId1900" Type="http://schemas.openxmlformats.org/officeDocument/2006/relationships/hyperlink" Target="https://drive.google.com/uc?export=download&amp;id=14Vho4TyJb-2LKpFKAoEQALi5lncpAvuh" TargetMode="External"/><Relationship Id="rId1901" Type="http://schemas.openxmlformats.org/officeDocument/2006/relationships/hyperlink" Target="https://drive.google.com/uc?export=download&amp;id=128YcwqJmPLy6B4gjc4pAJWySK7qfFK5p" TargetMode="External"/><Relationship Id="rId1902" Type="http://schemas.openxmlformats.org/officeDocument/2006/relationships/hyperlink" Target="https://drive.google.com/uc?export=download&amp;id=168KuOAlpRoOcbuPzxEauUg1IvMqL6LQg" TargetMode="External"/><Relationship Id="rId1903" Type="http://schemas.openxmlformats.org/officeDocument/2006/relationships/hyperlink" Target="https://drive.google.com/uc?export=download&amp;id=1YU8se5IqlZli9thu_wzN0bvmCBQzOSuI" TargetMode="External"/><Relationship Id="rId1904" Type="http://schemas.openxmlformats.org/officeDocument/2006/relationships/hyperlink" Target="https://drive.google.com/uc?export=download&amp;id=1XYAc7xLmwID6uPfpZ5LBrHmRNPEuH9da" TargetMode="External"/><Relationship Id="rId1905" Type="http://schemas.openxmlformats.org/officeDocument/2006/relationships/hyperlink" Target="https://drive.google.com/uc?export=download&amp;id=1t6lMkvb2wLgU_5qUR2rkGYcjfIYOplB6" TargetMode="External"/><Relationship Id="rId1906" Type="http://schemas.openxmlformats.org/officeDocument/2006/relationships/hyperlink" Target="https://drive.google.com/uc?export=download&amp;id=1H9BSKeaSbv52prPAoYooAIF8_al5Kv2T" TargetMode="External"/><Relationship Id="rId1907" Type="http://schemas.openxmlformats.org/officeDocument/2006/relationships/hyperlink" Target="https://drive.google.com/uc?export=download&amp;id=1rHMWAmyZbJqau3SLeZyX-52ppNPneBCN" TargetMode="External"/><Relationship Id="rId1908" Type="http://schemas.openxmlformats.org/officeDocument/2006/relationships/hyperlink" Target="https://drive.google.com/uc?export=download&amp;id=17skVkfDzBKuEUovEEelX7dNnvKdAEFzU" TargetMode="External"/><Relationship Id="rId1909" Type="http://schemas.openxmlformats.org/officeDocument/2006/relationships/hyperlink" Target="https://drive.google.com/uc?export=download&amp;id=1A03JXxBhNTdWeByy0_5q1X11cOlgpjOY" TargetMode="External"/><Relationship Id="rId198" Type="http://schemas.openxmlformats.org/officeDocument/2006/relationships/hyperlink" Target="https://drive.google.com/uc?export=download&amp;id=1QikQKnvYCEpNKaiz23YYKrdSA5KtboAh" TargetMode="External"/><Relationship Id="rId197" Type="http://schemas.openxmlformats.org/officeDocument/2006/relationships/hyperlink" Target="https://drive.google.com/uc?export=download&amp;id=1EV2MoZvEuvtztysJDPPROl7bNyxvdyc-" TargetMode="External"/><Relationship Id="rId196" Type="http://schemas.openxmlformats.org/officeDocument/2006/relationships/hyperlink" Target="https://drive.google.com/uc?export=download&amp;id=1wjJWvlLFVfzzzXo3ENlO2EeQ_CDl1FEV" TargetMode="External"/><Relationship Id="rId195" Type="http://schemas.openxmlformats.org/officeDocument/2006/relationships/hyperlink" Target="https://drive.google.com/uc?export=download&amp;id=1_UmjQ8P-eKgMeV6L8fG-Q6FeClmRyQyl" TargetMode="External"/><Relationship Id="rId199" Type="http://schemas.openxmlformats.org/officeDocument/2006/relationships/hyperlink" Target="https://drive.google.com/uc?export=download&amp;id=1vCswZhR_gIpJwoMJenTsiLQVyrCSSdey" TargetMode="External"/><Relationship Id="rId150" Type="http://schemas.openxmlformats.org/officeDocument/2006/relationships/hyperlink" Target="https://drive.google.com/uc?export=download&amp;id=17drkFXo0rCDAWQ6XQ8HJgiMDZB-qPd6a" TargetMode="External"/><Relationship Id="rId149" Type="http://schemas.openxmlformats.org/officeDocument/2006/relationships/hyperlink" Target="https://drive.google.com/uc?export=download&amp;id=1NDE6XW5mvSpFd4n9624FmpzPcBU9cT6f" TargetMode="External"/><Relationship Id="rId148" Type="http://schemas.openxmlformats.org/officeDocument/2006/relationships/hyperlink" Target="https://drive.google.com/uc?export=download&amp;id=1IlwXwFMW6ODYgmAWF1npaJotH_4Ijjdu" TargetMode="External"/><Relationship Id="rId1090" Type="http://schemas.openxmlformats.org/officeDocument/2006/relationships/hyperlink" Target="https://drive.google.com/uc?export=download&amp;id=17tRLKp0dsv88EeXOcc9mPadYeKrNoG63" TargetMode="External"/><Relationship Id="rId1091" Type="http://schemas.openxmlformats.org/officeDocument/2006/relationships/hyperlink" Target="https://drive.google.com/uc?export=download&amp;id=1AOMQjWuso-AxCU6rExcuQQIQCgHt9as6" TargetMode="External"/><Relationship Id="rId1092" Type="http://schemas.openxmlformats.org/officeDocument/2006/relationships/hyperlink" Target="https://drive.google.com/uc?export=download&amp;id=1yMndI85UV0wmcvMLkdnP3CA0yv8Cb9B6" TargetMode="External"/><Relationship Id="rId1093" Type="http://schemas.openxmlformats.org/officeDocument/2006/relationships/hyperlink" Target="https://drive.google.com/uc?export=download&amp;id=1tl45-vKVt10Tun7TgqWdP2mLlIBrIX9X" TargetMode="External"/><Relationship Id="rId1094" Type="http://schemas.openxmlformats.org/officeDocument/2006/relationships/hyperlink" Target="https://drive.google.com/uc?export=download&amp;id=1XhrRZm6gf8PUsYhHDVF15lS48HcerZiI" TargetMode="External"/><Relationship Id="rId143" Type="http://schemas.openxmlformats.org/officeDocument/2006/relationships/hyperlink" Target="https://drive.google.com/uc?export=download&amp;id=1fyLP1LQ7SmcdgW2OZIbrcxQehXYLJErH" TargetMode="External"/><Relationship Id="rId1095" Type="http://schemas.openxmlformats.org/officeDocument/2006/relationships/hyperlink" Target="https://drive.google.com/uc?export=download&amp;id=1i40yfBsUVnVCOiNjxjUulDSGAT5_MDhs" TargetMode="External"/><Relationship Id="rId142" Type="http://schemas.openxmlformats.org/officeDocument/2006/relationships/hyperlink" Target="https://drive.google.com/uc?export=download&amp;id=1UstinqIpGrXdnObo4v9sJtOpFAf_tDni" TargetMode="External"/><Relationship Id="rId1096" Type="http://schemas.openxmlformats.org/officeDocument/2006/relationships/hyperlink" Target="https://drive.google.com/uc?export=download&amp;id=1SNNiuT97htIJkwXkcgndESf2zmhwkqzR" TargetMode="External"/><Relationship Id="rId141" Type="http://schemas.openxmlformats.org/officeDocument/2006/relationships/hyperlink" Target="https://drive.google.com/uc?export=download&amp;id=1BrSJb51sdZo_CCPfNQdn3Ee_CSxti2ui" TargetMode="External"/><Relationship Id="rId1097" Type="http://schemas.openxmlformats.org/officeDocument/2006/relationships/hyperlink" Target="https://drive.google.com/uc?export=download&amp;id=1NLnC-G8o20bxe5gBqkNENpEGceo0byqR" TargetMode="External"/><Relationship Id="rId140" Type="http://schemas.openxmlformats.org/officeDocument/2006/relationships/hyperlink" Target="https://drive.google.com/uc?export=download&amp;id=1B9UHQYnpMlWhDCnl4PycCokNu43XBIVQ" TargetMode="External"/><Relationship Id="rId1098" Type="http://schemas.openxmlformats.org/officeDocument/2006/relationships/hyperlink" Target="https://drive.google.com/uc?export=download&amp;id=1yNKkGpadueuqJ2k2skXUJCcFks-9hLFL" TargetMode="External"/><Relationship Id="rId147" Type="http://schemas.openxmlformats.org/officeDocument/2006/relationships/hyperlink" Target="https://drive.google.com/uc?export=download&amp;id=1U35Wd_EINZNcjgFiZANE4vCj2KXzYuuB" TargetMode="External"/><Relationship Id="rId1099" Type="http://schemas.openxmlformats.org/officeDocument/2006/relationships/hyperlink" Target="https://drive.google.com/uc?export=download&amp;id=1hm44qVojZvh7gyALYkx6lzn9obzbM5sm" TargetMode="External"/><Relationship Id="rId146" Type="http://schemas.openxmlformats.org/officeDocument/2006/relationships/hyperlink" Target="https://drive.google.com/uc?export=download&amp;id=1ru1-x-TB-E6zZxuOViTranz-7_sXMAzy" TargetMode="External"/><Relationship Id="rId145" Type="http://schemas.openxmlformats.org/officeDocument/2006/relationships/hyperlink" Target="https://drive.google.com/uc?export=download&amp;id=1fj3hFn--ETihnkIhsEQdWLhLUlvsv5P1" TargetMode="External"/><Relationship Id="rId144" Type="http://schemas.openxmlformats.org/officeDocument/2006/relationships/hyperlink" Target="https://drive.google.com/uc?export=download&amp;id=1B4bPBs5yw28oEippz5SyscbjiM3jhVJW" TargetMode="External"/><Relationship Id="rId139" Type="http://schemas.openxmlformats.org/officeDocument/2006/relationships/hyperlink" Target="https://drive.google.com/uc?export=download&amp;id=1AUOUZ375a7Xqu1zU73l6q-lybEcJ3i_e" TargetMode="External"/><Relationship Id="rId138" Type="http://schemas.openxmlformats.org/officeDocument/2006/relationships/hyperlink" Target="https://drive.google.com/uc?export=download&amp;id=1-XZNeNORV7gCF4GUPuIUTxghpc04cuFQ" TargetMode="External"/><Relationship Id="rId137" Type="http://schemas.openxmlformats.org/officeDocument/2006/relationships/hyperlink" Target="https://drive.google.com/uc?export=download&amp;id=1EE-vcVcPeHOWAX1fk8c2shLbcGGzAx8M" TargetMode="External"/><Relationship Id="rId1080" Type="http://schemas.openxmlformats.org/officeDocument/2006/relationships/hyperlink" Target="https://drive.google.com/uc?export=download&amp;id=1rKOWIJiS3Pro249Yo6Y6F-0V3vyXrENe" TargetMode="External"/><Relationship Id="rId1081" Type="http://schemas.openxmlformats.org/officeDocument/2006/relationships/hyperlink" Target="https://drive.google.com/uc?export=download&amp;id=1OFPZoyRWS-Q3XPMYDt6YUqfIkNXR3eJ_" TargetMode="External"/><Relationship Id="rId1082" Type="http://schemas.openxmlformats.org/officeDocument/2006/relationships/hyperlink" Target="https://drive.google.com/uc?export=download&amp;id=1uJ9A2f291J4qeTzRNa6lVt-UpQtjPP5j" TargetMode="External"/><Relationship Id="rId1083" Type="http://schemas.openxmlformats.org/officeDocument/2006/relationships/hyperlink" Target="https://drive.google.com/uc?export=download&amp;id=1awyKg55hOK3C_TYcat3W4Ij1JiDctngM" TargetMode="External"/><Relationship Id="rId132" Type="http://schemas.openxmlformats.org/officeDocument/2006/relationships/hyperlink" Target="https://drive.google.com/uc?export=download&amp;id=1VxRrFo4p1QJplcZjMybXqyDn9ROsST5R" TargetMode="External"/><Relationship Id="rId1084" Type="http://schemas.openxmlformats.org/officeDocument/2006/relationships/hyperlink" Target="https://drive.google.com/uc?export=download&amp;id=1rQgZOkjYIn7ezl_Hu4whfMBAk-34Ngnd" TargetMode="External"/><Relationship Id="rId131" Type="http://schemas.openxmlformats.org/officeDocument/2006/relationships/hyperlink" Target="https://drive.google.com/uc?export=download&amp;id=1t-aOM6LV0vAakyEaL-a4PymKkFMZTPgH" TargetMode="External"/><Relationship Id="rId1085" Type="http://schemas.openxmlformats.org/officeDocument/2006/relationships/hyperlink" Target="https://drive.google.com/uc?export=download&amp;id=1u5r7HnYDKIjdazMxz2SyBpJAok2IFVCi" TargetMode="External"/><Relationship Id="rId130" Type="http://schemas.openxmlformats.org/officeDocument/2006/relationships/hyperlink" Target="https://drive.google.com/uc?export=download&amp;id=1zQ_-M0KIdb0z78l3f0d1gGem4OMjYom1" TargetMode="External"/><Relationship Id="rId1086" Type="http://schemas.openxmlformats.org/officeDocument/2006/relationships/hyperlink" Target="https://drive.google.com/uc?export=download&amp;id=15VqiaS7j6jyv8TdFF76K5WdAKM4EmjmE" TargetMode="External"/><Relationship Id="rId1087" Type="http://schemas.openxmlformats.org/officeDocument/2006/relationships/hyperlink" Target="https://drive.google.com/uc?export=download&amp;id=1LRzRRz5ew-rPKc7sI3WyETD9XPOMHjJS" TargetMode="External"/><Relationship Id="rId136" Type="http://schemas.openxmlformats.org/officeDocument/2006/relationships/hyperlink" Target="https://drive.google.com/uc?export=download&amp;id=15y1iyVZOYzRsowPgEXF6K8gTOqXFGyUZ" TargetMode="External"/><Relationship Id="rId1088" Type="http://schemas.openxmlformats.org/officeDocument/2006/relationships/hyperlink" Target="https://drive.google.com/uc?export=download&amp;id=1ICf0t4UsqGB8bBmVMUxatgxlBIC3mD-e" TargetMode="External"/><Relationship Id="rId135" Type="http://schemas.openxmlformats.org/officeDocument/2006/relationships/hyperlink" Target="https://drive.google.com/uc?export=download&amp;id=17kO_POz7JVYmmbd66oiaz20N1-lSZtQu" TargetMode="External"/><Relationship Id="rId1089" Type="http://schemas.openxmlformats.org/officeDocument/2006/relationships/hyperlink" Target="https://drive.google.com/uc?export=download&amp;id=12wCGMWTg65Z6U80mHWaU34NPnkJn39aA" TargetMode="External"/><Relationship Id="rId134" Type="http://schemas.openxmlformats.org/officeDocument/2006/relationships/hyperlink" Target="https://drive.google.com/uc?export=download&amp;id=1dlqB83fZ5ZxXAJQM49oz06WiU2jylpwz" TargetMode="External"/><Relationship Id="rId133" Type="http://schemas.openxmlformats.org/officeDocument/2006/relationships/hyperlink" Target="https://drive.google.com/uc?export=download&amp;id=1S2a-fvqrKz0Xj0MvX57IJUdvKr4YFr-u" TargetMode="External"/><Relationship Id="rId172" Type="http://schemas.openxmlformats.org/officeDocument/2006/relationships/hyperlink" Target="https://drive.google.com/uc?export=download&amp;id=1flmzKewvZVdfvNY9_y2iO8pp-XhLAdZc" TargetMode="External"/><Relationship Id="rId171" Type="http://schemas.openxmlformats.org/officeDocument/2006/relationships/hyperlink" Target="https://drive.google.com/uc?export=download&amp;id=1oxe7_bdGUMxE7Za7JmGFb19dtepK2-iO" TargetMode="External"/><Relationship Id="rId170" Type="http://schemas.openxmlformats.org/officeDocument/2006/relationships/hyperlink" Target="https://drive.google.com/uc?export=download&amp;id=1cAiEudJqXGaQujgUyaK0SrWrsXPiYm1L" TargetMode="External"/><Relationship Id="rId165" Type="http://schemas.openxmlformats.org/officeDocument/2006/relationships/hyperlink" Target="https://drive.google.com/uc?export=download&amp;id=18OjahLQvAa9OCZ3Q_WokXNV0BlktjkZk" TargetMode="External"/><Relationship Id="rId164" Type="http://schemas.openxmlformats.org/officeDocument/2006/relationships/hyperlink" Target="https://drive.google.com/uc?export=download&amp;id=1SCTdVFcbM0crPzVsRAUYBfwDZGH3oawx" TargetMode="External"/><Relationship Id="rId163" Type="http://schemas.openxmlformats.org/officeDocument/2006/relationships/hyperlink" Target="https://drive.google.com/uc?export=download&amp;id=1JKkzwC9_YYXJzg1O-a_lUzJOxzNrS4Hm" TargetMode="External"/><Relationship Id="rId162" Type="http://schemas.openxmlformats.org/officeDocument/2006/relationships/hyperlink" Target="https://drive.google.com/uc?export=download&amp;id=17dSH09ss9hQsFdPJ3Q_wk622_ADhVsWf" TargetMode="External"/><Relationship Id="rId169" Type="http://schemas.openxmlformats.org/officeDocument/2006/relationships/hyperlink" Target="https://drive.google.com/uc?export=download&amp;id=1_YhZSysnd7B6IbcO2bneS25G5Ka2dUDs" TargetMode="External"/><Relationship Id="rId168" Type="http://schemas.openxmlformats.org/officeDocument/2006/relationships/hyperlink" Target="https://drive.google.com/uc?export=download&amp;id=1kI8KMq3oyOWVRwcRq4qJ2sDm7T5WKsvv" TargetMode="External"/><Relationship Id="rId167" Type="http://schemas.openxmlformats.org/officeDocument/2006/relationships/hyperlink" Target="https://drive.google.com/uc?export=download&amp;id=17da1DdFhc2ZsFDDyup06Y_P1j87cUbVb" TargetMode="External"/><Relationship Id="rId166" Type="http://schemas.openxmlformats.org/officeDocument/2006/relationships/hyperlink" Target="https://drive.google.com/uc?export=download&amp;id=1eO0f8_9-cRNJIq5HAV4cI9KD63tUQ3La" TargetMode="External"/><Relationship Id="rId161" Type="http://schemas.openxmlformats.org/officeDocument/2006/relationships/hyperlink" Target="https://drive.google.com/uc?export=download&amp;id=1NrnIlfZ0DMbaNvw_TYknuzA2iOEPzDlq" TargetMode="External"/><Relationship Id="rId160" Type="http://schemas.openxmlformats.org/officeDocument/2006/relationships/hyperlink" Target="https://drive.google.com/uc?export=download&amp;id=1GZIqnEsjIG-OH76Wz2QoVuACwtEg--Vb" TargetMode="External"/><Relationship Id="rId159" Type="http://schemas.openxmlformats.org/officeDocument/2006/relationships/hyperlink" Target="https://drive.google.com/uc?export=download&amp;id=1djL4YYva3JLieHH5QaQh1iM2PUEoSfN3" TargetMode="External"/><Relationship Id="rId154" Type="http://schemas.openxmlformats.org/officeDocument/2006/relationships/hyperlink" Target="https://drive.google.com/uc?export=download&amp;id=1AYroqDKYA55c5LjbYIkolRMfHlvekqiP" TargetMode="External"/><Relationship Id="rId153" Type="http://schemas.openxmlformats.org/officeDocument/2006/relationships/hyperlink" Target="https://drive.google.com/uc?export=download&amp;id=16SPjLXIn302RUiJoPwQjCMqLOELWG4PG" TargetMode="External"/><Relationship Id="rId152" Type="http://schemas.openxmlformats.org/officeDocument/2006/relationships/hyperlink" Target="https://drive.google.com/uc?export=download&amp;id=169tMPb159GqIKBKGhdDXrzekl_fwJFDq" TargetMode="External"/><Relationship Id="rId151" Type="http://schemas.openxmlformats.org/officeDocument/2006/relationships/hyperlink" Target="https://drive.google.com/uc?export=download&amp;id=1ghT2nrfK5KNbkzxhNMV3Qs_y1wDCwfC0" TargetMode="External"/><Relationship Id="rId158" Type="http://schemas.openxmlformats.org/officeDocument/2006/relationships/hyperlink" Target="https://drive.google.com/uc?export=download&amp;id=11IvtlKok8cv6v60ybbHy_PZF6DEbYahz" TargetMode="External"/><Relationship Id="rId157" Type="http://schemas.openxmlformats.org/officeDocument/2006/relationships/hyperlink" Target="https://drive.google.com/uc?export=download&amp;id=1IogbPpVk5zVGaZ7GY7mTf_WKCi27qN_C" TargetMode="External"/><Relationship Id="rId156" Type="http://schemas.openxmlformats.org/officeDocument/2006/relationships/hyperlink" Target="https://drive.google.com/uc?export=download&amp;id=1OuUBW2Dt9NUHAonhU5q5H9vhM2YHYt93" TargetMode="External"/><Relationship Id="rId155" Type="http://schemas.openxmlformats.org/officeDocument/2006/relationships/hyperlink" Target="https://drive.google.com/uc?export=download&amp;id=1qWsDa5wY3E4NBDupTwwVcvy95XOC8Hvg" TargetMode="External"/><Relationship Id="rId1972" Type="http://schemas.openxmlformats.org/officeDocument/2006/relationships/hyperlink" Target="https://drive.google.com/uc?export=download&amp;id=1uiM1EsGjdt0p1j6Z706-liOX9QOaKzmS" TargetMode="External"/><Relationship Id="rId1973" Type="http://schemas.openxmlformats.org/officeDocument/2006/relationships/hyperlink" Target="https://drive.google.com/uc?export=download&amp;id=16fAicFUA54Nnr-tPwZOQH6jW97Cg_I5x" TargetMode="External"/><Relationship Id="rId1974" Type="http://schemas.openxmlformats.org/officeDocument/2006/relationships/hyperlink" Target="https://drive.google.com/uc?export=download&amp;id=15c0KIJEbgq2iWCFlHk_czOoj1qNhtyAH" TargetMode="External"/><Relationship Id="rId1975" Type="http://schemas.openxmlformats.org/officeDocument/2006/relationships/hyperlink" Target="https://drive.google.com/uc?export=download&amp;id=1xJbL-F2SCfvl86Eo1uKkeMgOPecgcOy8" TargetMode="External"/><Relationship Id="rId1976" Type="http://schemas.openxmlformats.org/officeDocument/2006/relationships/hyperlink" Target="https://drive.google.com/uc?export=download&amp;id=1d3AdjQvBWbH9TDyTrZ7RyPlw6uLGgjAo" TargetMode="External"/><Relationship Id="rId1977" Type="http://schemas.openxmlformats.org/officeDocument/2006/relationships/hyperlink" Target="https://drive.google.com/uc?export=download&amp;id=1D31wIH7dh_ELuK7uQ3YA7g6NkeEkSsQG" TargetMode="External"/><Relationship Id="rId1978" Type="http://schemas.openxmlformats.org/officeDocument/2006/relationships/hyperlink" Target="https://drive.google.com/uc?export=download&amp;id=1gYt1Q-8DUKCIVYmbc1KRd-deVBc_qKTz" TargetMode="External"/><Relationship Id="rId1979" Type="http://schemas.openxmlformats.org/officeDocument/2006/relationships/hyperlink" Target="https://drive.google.com/uc?export=download&amp;id=1vQtV1qyosgmT0kYEj3OnJs2loKhXwN09" TargetMode="External"/><Relationship Id="rId1970" Type="http://schemas.openxmlformats.org/officeDocument/2006/relationships/hyperlink" Target="https://drive.google.com/uc?export=download&amp;id=16sGwbbEIvmUzSDgactgb0IyNAbXF96iG" TargetMode="External"/><Relationship Id="rId1971" Type="http://schemas.openxmlformats.org/officeDocument/2006/relationships/hyperlink" Target="https://drive.google.com/uc?export=download&amp;id=17pX6aihUKhPt1bnFqVnA81oqANo9Xnor" TargetMode="External"/><Relationship Id="rId1961" Type="http://schemas.openxmlformats.org/officeDocument/2006/relationships/hyperlink" Target="https://drive.google.com/uc?export=download&amp;id=1XPmuOeXZXabsalZBaq4o8qtihgLMMFuy" TargetMode="External"/><Relationship Id="rId1962" Type="http://schemas.openxmlformats.org/officeDocument/2006/relationships/hyperlink" Target="https://drive.google.com/uc?export=download&amp;id=1OtkJMYsicPK1l_YS3eheUElG17uqKot0" TargetMode="External"/><Relationship Id="rId1963" Type="http://schemas.openxmlformats.org/officeDocument/2006/relationships/hyperlink" Target="https://drive.google.com/uc?export=download&amp;id=1EIMuDe0fyZzXjtdZTYllsO6wFYM4z8fe" TargetMode="External"/><Relationship Id="rId1964" Type="http://schemas.openxmlformats.org/officeDocument/2006/relationships/hyperlink" Target="https://drive.google.com/uc?export=download&amp;id=1WnGFrCVz6z5JBsJXj2tgk6D01eXekmW-" TargetMode="External"/><Relationship Id="rId1965" Type="http://schemas.openxmlformats.org/officeDocument/2006/relationships/hyperlink" Target="https://drive.google.com/uc?export=download&amp;id=1tz9cvQaU2NSL0IRd-1fWmWU7FpIgeihe" TargetMode="External"/><Relationship Id="rId1966" Type="http://schemas.openxmlformats.org/officeDocument/2006/relationships/hyperlink" Target="https://drive.google.com/uc?export=download&amp;id=1Vf2hhxcmXaQZft6BgrhnAUBVdywbZed8" TargetMode="External"/><Relationship Id="rId1967" Type="http://schemas.openxmlformats.org/officeDocument/2006/relationships/hyperlink" Target="https://drive.google.com/uc?export=download&amp;id=1F4gRBodtmQAFi0AL7WrS6xn3sY8h-mRM" TargetMode="External"/><Relationship Id="rId1968" Type="http://schemas.openxmlformats.org/officeDocument/2006/relationships/hyperlink" Target="https://drive.google.com/uc?export=download&amp;id=13rgO9GpFmZkUNzObfGIOY24VV_l_2ixr" TargetMode="External"/><Relationship Id="rId1969" Type="http://schemas.openxmlformats.org/officeDocument/2006/relationships/hyperlink" Target="https://drive.google.com/uc?export=download&amp;id=1pAXG25Xc9FvAe1NdQWxjLDvJuOciK53e" TargetMode="External"/><Relationship Id="rId1960" Type="http://schemas.openxmlformats.org/officeDocument/2006/relationships/hyperlink" Target="https://drive.google.com/uc?export=download&amp;id=1UKQ5aFVPiDDW-snq4JkhnB6MtbQe6py4" TargetMode="External"/><Relationship Id="rId1510" Type="http://schemas.openxmlformats.org/officeDocument/2006/relationships/hyperlink" Target="https://drive.google.com/uc?export=download&amp;id=1HjD7MYWDBHPoHb88tP5PBq6uaRWm3sI-" TargetMode="External"/><Relationship Id="rId1511" Type="http://schemas.openxmlformats.org/officeDocument/2006/relationships/hyperlink" Target="https://drive.google.com/uc?export=download&amp;id=1B59vbQa93G5C7nMmMESe6Owut5ovYV9c" TargetMode="External"/><Relationship Id="rId1512" Type="http://schemas.openxmlformats.org/officeDocument/2006/relationships/hyperlink" Target="https://drive.google.com/uc?export=download&amp;id=1khdjlvyNGp8LvUAEcOvBZyk22CSzJUwZ" TargetMode="External"/><Relationship Id="rId1513" Type="http://schemas.openxmlformats.org/officeDocument/2006/relationships/hyperlink" Target="https://drive.google.com/uc?export=download&amp;id=1QnovzU3w7yCzRA0htFkqPjs1yOy7T8PZ" TargetMode="External"/><Relationship Id="rId1514" Type="http://schemas.openxmlformats.org/officeDocument/2006/relationships/hyperlink" Target="https://drive.google.com/uc?export=download&amp;id=12iz6DFSmQnd7bEt_scO6E2AuiucuKOB6" TargetMode="External"/><Relationship Id="rId1515" Type="http://schemas.openxmlformats.org/officeDocument/2006/relationships/hyperlink" Target="https://drive.google.com/uc?export=download&amp;id=1z3do7Z9O_ApO2temzQDavfUUTETziQiz" TargetMode="External"/><Relationship Id="rId1516" Type="http://schemas.openxmlformats.org/officeDocument/2006/relationships/hyperlink" Target="https://drive.google.com/uc?export=download&amp;id=1SNG0ANg9ydknJ-MtA91ReG8Cmde8GsaE" TargetMode="External"/><Relationship Id="rId1517" Type="http://schemas.openxmlformats.org/officeDocument/2006/relationships/hyperlink" Target="https://drive.google.com/uc?export=download&amp;id=1Hir5avuxsMFnCFvTesd0rXv0NeU4YmTq" TargetMode="External"/><Relationship Id="rId1518" Type="http://schemas.openxmlformats.org/officeDocument/2006/relationships/hyperlink" Target="https://drive.google.com/uc?export=download&amp;id=1ntImOhKk-5RgUlIxcQgpAVVN3Pmkw062" TargetMode="External"/><Relationship Id="rId1519" Type="http://schemas.openxmlformats.org/officeDocument/2006/relationships/hyperlink" Target="https://drive.google.com/uc?export=download&amp;id=1sLNHa_HUequAOd10STQp8-vYXZt91gW-" TargetMode="External"/><Relationship Id="rId1983" Type="http://schemas.openxmlformats.org/officeDocument/2006/relationships/hyperlink" Target="https://drive.google.com/uc?export=download&amp;id=1ASKxfYfepfxmIFpbglu5Xwv-2hbx4d5F" TargetMode="External"/><Relationship Id="rId1500" Type="http://schemas.openxmlformats.org/officeDocument/2006/relationships/hyperlink" Target="https://drive.google.com/uc?export=download&amp;id=1eFXGZXluE-66t5oXzJNMLgn33rZeqP2_" TargetMode="External"/><Relationship Id="rId1984" Type="http://schemas.openxmlformats.org/officeDocument/2006/relationships/hyperlink" Target="https://drive.google.com/uc?export=download&amp;id=10xtz-eupwTX_IeSHj3UmGWmp6PZ38GVD" TargetMode="External"/><Relationship Id="rId1501" Type="http://schemas.openxmlformats.org/officeDocument/2006/relationships/hyperlink" Target="https://drive.google.com/uc?export=download&amp;id=12tC8g8zC7fRxu7ViNuDW-Vt9nBy2PkwQ" TargetMode="External"/><Relationship Id="rId1985" Type="http://schemas.openxmlformats.org/officeDocument/2006/relationships/hyperlink" Target="https://drive.google.com/uc?export=download&amp;id=1qXE3ifklfmjQWPXgqxuKYS7SI9ITPs_8" TargetMode="External"/><Relationship Id="rId1502" Type="http://schemas.openxmlformats.org/officeDocument/2006/relationships/hyperlink" Target="https://drive.google.com/uc?export=download&amp;id=1k9SUF3JN2np7cHDwZH12lrrPRH21dGtA" TargetMode="External"/><Relationship Id="rId1986" Type="http://schemas.openxmlformats.org/officeDocument/2006/relationships/hyperlink" Target="https://drive.google.com/uc?export=download&amp;id=15larvb3MtsToynqDVIIrQzdz7WURqCpz" TargetMode="External"/><Relationship Id="rId1503" Type="http://schemas.openxmlformats.org/officeDocument/2006/relationships/hyperlink" Target="https://drive.google.com/uc?export=download&amp;id=1ZDyvLIaAzN9r-XW9DqaXWRtI2j5fin8f" TargetMode="External"/><Relationship Id="rId1987" Type="http://schemas.openxmlformats.org/officeDocument/2006/relationships/hyperlink" Target="https://drive.google.com/uc?export=download&amp;id=1ZwdGCTmPUwpF5_IR4A7r5HuaA5VZktGZ" TargetMode="External"/><Relationship Id="rId1504" Type="http://schemas.openxmlformats.org/officeDocument/2006/relationships/hyperlink" Target="https://drive.google.com/uc?export=download&amp;id=1fB-cS9TGl7en0Oz1prSLPpfzXu1Pkkr3" TargetMode="External"/><Relationship Id="rId1988" Type="http://schemas.openxmlformats.org/officeDocument/2006/relationships/drawing" Target="../drawings/drawing1.xml"/><Relationship Id="rId1505" Type="http://schemas.openxmlformats.org/officeDocument/2006/relationships/hyperlink" Target="https://drive.google.com/uc?export=download&amp;id=1q-8LOG4q_Kyju1ZDz4EQ_d9MbeIufbE7" TargetMode="External"/><Relationship Id="rId1506" Type="http://schemas.openxmlformats.org/officeDocument/2006/relationships/hyperlink" Target="https://drive.google.com/uc?export=download&amp;id=1_PYw6z3fsMe6QiGLhNKnNEZ0XFsP3CDU" TargetMode="External"/><Relationship Id="rId1507" Type="http://schemas.openxmlformats.org/officeDocument/2006/relationships/hyperlink" Target="https://drive.google.com/uc?export=download&amp;id=1MhKhflAgnV14GVHjH69BAxYCQaEwdYCV" TargetMode="External"/><Relationship Id="rId1508" Type="http://schemas.openxmlformats.org/officeDocument/2006/relationships/hyperlink" Target="https://drive.google.com/uc?export=download&amp;id=1l2eXQ_haXmMrDfWCRpEUJjvv-SUNQM_j" TargetMode="External"/><Relationship Id="rId1509" Type="http://schemas.openxmlformats.org/officeDocument/2006/relationships/hyperlink" Target="https://drive.google.com/uc?export=download&amp;id=1pdRjUDDyNFrsl6xPxxrWaU0VTCjzGkL9" TargetMode="External"/><Relationship Id="rId1980" Type="http://schemas.openxmlformats.org/officeDocument/2006/relationships/hyperlink" Target="https://drive.google.com/uc?export=download&amp;id=1L_iZqvNtjZ9ScGe41VyQC_J3MbOUR-74" TargetMode="External"/><Relationship Id="rId1981" Type="http://schemas.openxmlformats.org/officeDocument/2006/relationships/hyperlink" Target="https://drive.google.com/uc?export=download&amp;id=1Kt8XDLZJzJ6-770h6Ma7KmcbUbp2KC7V" TargetMode="External"/><Relationship Id="rId1982" Type="http://schemas.openxmlformats.org/officeDocument/2006/relationships/hyperlink" Target="https://drive.google.com/uc?export=download&amp;id=1Pj-ZV7HFl52j9kAzPt07842YYfDqy2fI" TargetMode="External"/><Relationship Id="rId1930" Type="http://schemas.openxmlformats.org/officeDocument/2006/relationships/hyperlink" Target="https://drive.google.com/uc?export=download&amp;id=1B5I5NGyqjjA4Aym0To3p7ErNIWuV289F" TargetMode="External"/><Relationship Id="rId1931" Type="http://schemas.openxmlformats.org/officeDocument/2006/relationships/hyperlink" Target="https://drive.google.com/uc?export=download&amp;id=1-11xxu8K10m7Ew_trg5buGfFLz_fTkki" TargetMode="External"/><Relationship Id="rId1932" Type="http://schemas.openxmlformats.org/officeDocument/2006/relationships/hyperlink" Target="https://drive.google.com/uc?export=download&amp;id=1ovVRvwxgxrD5h4NjiV6LNu14HQpZW9pv" TargetMode="External"/><Relationship Id="rId1933" Type="http://schemas.openxmlformats.org/officeDocument/2006/relationships/hyperlink" Target="https://drive.google.com/uc?export=download&amp;id=1IQ5Uml2nF-SOhCCTEcFzq74ACxqXy0ZD" TargetMode="External"/><Relationship Id="rId1934" Type="http://schemas.openxmlformats.org/officeDocument/2006/relationships/hyperlink" Target="https://drive.google.com/uc?export=download&amp;id=1JjDiKLMttAEqq2jZRdL9hEVKjJBbBrYa" TargetMode="External"/><Relationship Id="rId1935" Type="http://schemas.openxmlformats.org/officeDocument/2006/relationships/hyperlink" Target="https://drive.google.com/uc?export=download&amp;id=1AcZTRHcMfy3_AMlQHLWY8qvlhk5Ccd0X" TargetMode="External"/><Relationship Id="rId1936" Type="http://schemas.openxmlformats.org/officeDocument/2006/relationships/hyperlink" Target="https://drive.google.com/uc?export=download&amp;id=1zQHqBQ4mjsB-_mUYiWOR9GNw_-FEiVp5" TargetMode="External"/><Relationship Id="rId1937" Type="http://schemas.openxmlformats.org/officeDocument/2006/relationships/hyperlink" Target="https://drive.google.com/uc?export=download&amp;id=12V-UDiL1-B8bQW-cAplCT_O_Yn1KdooY" TargetMode="External"/><Relationship Id="rId1938" Type="http://schemas.openxmlformats.org/officeDocument/2006/relationships/hyperlink" Target="https://drive.google.com/uc?export=download&amp;id=1xPX6qDglb5SRlSw8bLd_Ul76NlAU9BIZ" TargetMode="External"/><Relationship Id="rId1939" Type="http://schemas.openxmlformats.org/officeDocument/2006/relationships/hyperlink" Target="https://drive.google.com/uc?export=download&amp;id=1Zlls4NC1N_Yju0v_dZWikeyUpozITFVs" TargetMode="External"/><Relationship Id="rId1920" Type="http://schemas.openxmlformats.org/officeDocument/2006/relationships/hyperlink" Target="https://drive.google.com/uc?export=download&amp;id=1arSm_gh9k7TMEhibn_D7-5v9nQN3bTxj" TargetMode="External"/><Relationship Id="rId1921" Type="http://schemas.openxmlformats.org/officeDocument/2006/relationships/hyperlink" Target="https://drive.google.com/uc?export=download&amp;id=1F9oCSuC3EROREq1TcVt6DmmEzUWI9QEf" TargetMode="External"/><Relationship Id="rId1922" Type="http://schemas.openxmlformats.org/officeDocument/2006/relationships/hyperlink" Target="https://drive.google.com/uc?export=download&amp;id=16T5-QEruCKvzkE63beIpEV-_wlYDVGTu" TargetMode="External"/><Relationship Id="rId1923" Type="http://schemas.openxmlformats.org/officeDocument/2006/relationships/hyperlink" Target="https://drive.google.com/uc?export=download&amp;id=1lNmTiMsYGtPcrIoYDRL_EFNEozHIAr7A" TargetMode="External"/><Relationship Id="rId1924" Type="http://schemas.openxmlformats.org/officeDocument/2006/relationships/hyperlink" Target="https://drive.google.com/uc?export=download&amp;id=1OhCLpo4AUDZmduDa91zE9vAAuyL_CXrs" TargetMode="External"/><Relationship Id="rId1925" Type="http://schemas.openxmlformats.org/officeDocument/2006/relationships/hyperlink" Target="https://drive.google.com/uc?export=download&amp;id=1kdxJYfPqsgQTNufG2YaH2bf9FZV0CmJ0" TargetMode="External"/><Relationship Id="rId1926" Type="http://schemas.openxmlformats.org/officeDocument/2006/relationships/hyperlink" Target="https://drive.google.com/uc?export=download&amp;id=1hDyglfDgdrfVfuiU1D7ZI7R1pHT_7q8z" TargetMode="External"/><Relationship Id="rId1927" Type="http://schemas.openxmlformats.org/officeDocument/2006/relationships/hyperlink" Target="https://drive.google.com/uc?export=download&amp;id=1XBA8rWpLksAr6RjhMApwDCQzV1EsziGJ" TargetMode="External"/><Relationship Id="rId1928" Type="http://schemas.openxmlformats.org/officeDocument/2006/relationships/hyperlink" Target="https://drive.google.com/uc?export=download&amp;id=1zS7GCdTK_40QyNsPD3D4pKWHKPWh_357" TargetMode="External"/><Relationship Id="rId1929" Type="http://schemas.openxmlformats.org/officeDocument/2006/relationships/hyperlink" Target="https://drive.google.com/uc?export=download&amp;id=1kBTjhqyLNYQ0mqAa_A4s5t8Y_F6cz1ky" TargetMode="External"/><Relationship Id="rId1950" Type="http://schemas.openxmlformats.org/officeDocument/2006/relationships/hyperlink" Target="https://drive.google.com/uc?export=download&amp;id=156oQALCM3_Goiizfe19_Y__j6Rr7CS6V" TargetMode="External"/><Relationship Id="rId1951" Type="http://schemas.openxmlformats.org/officeDocument/2006/relationships/hyperlink" Target="https://drive.google.com/uc?export=download&amp;id=1j_0J8rBz8pOQWeq9HQ9plp9iNp12DJQ1" TargetMode="External"/><Relationship Id="rId1952" Type="http://schemas.openxmlformats.org/officeDocument/2006/relationships/hyperlink" Target="https://drive.google.com/uc?export=download&amp;id=1mHLxYW_Ska0XA9KoVnrrdyuBeW6EyI8b" TargetMode="External"/><Relationship Id="rId1953" Type="http://schemas.openxmlformats.org/officeDocument/2006/relationships/hyperlink" Target="https://drive.google.com/uc?export=download&amp;id=1UtYi-icU7h_3sRA6y1Ibk9JkYHf6PDPq" TargetMode="External"/><Relationship Id="rId1954" Type="http://schemas.openxmlformats.org/officeDocument/2006/relationships/hyperlink" Target="https://drive.google.com/uc?export=download&amp;id=1r3YUUg6xYGjVn5A-VCoGQJ-cYS2WoBDO" TargetMode="External"/><Relationship Id="rId1955" Type="http://schemas.openxmlformats.org/officeDocument/2006/relationships/hyperlink" Target="https://drive.google.com/uc?export=download&amp;id=1rHUCEE-SMkHvJ6_PHQXgfW4S1eLJN_FP" TargetMode="External"/><Relationship Id="rId1956" Type="http://schemas.openxmlformats.org/officeDocument/2006/relationships/hyperlink" Target="https://drive.google.com/uc?export=download&amp;id=1oxvsM-wgHVcPZAwzA-ZgViu6crsSEH0v" TargetMode="External"/><Relationship Id="rId1957" Type="http://schemas.openxmlformats.org/officeDocument/2006/relationships/hyperlink" Target="https://drive.google.com/uc?export=download&amp;id=1FbZVZARlHZ0wNjWjMho9UCzl5sa3Q9IY" TargetMode="External"/><Relationship Id="rId1958" Type="http://schemas.openxmlformats.org/officeDocument/2006/relationships/hyperlink" Target="https://drive.google.com/uc?export=download&amp;id=1kgpVzMuFCvFEmEYfmhpucCWUcHg2J44e" TargetMode="External"/><Relationship Id="rId1959" Type="http://schemas.openxmlformats.org/officeDocument/2006/relationships/hyperlink" Target="https://drive.google.com/uc?export=download&amp;id=1EGHvFaGEeMmNxwJCc807eUmwVjknZ5n-" TargetMode="External"/><Relationship Id="rId1940" Type="http://schemas.openxmlformats.org/officeDocument/2006/relationships/hyperlink" Target="https://drive.google.com/uc?export=download&amp;id=1ZVEEyBq2rDdOgoPQLyBxi2aQzEiUFnq2" TargetMode="External"/><Relationship Id="rId1941" Type="http://schemas.openxmlformats.org/officeDocument/2006/relationships/hyperlink" Target="https://drive.google.com/uc?export=download&amp;id=11MV8kapmVsTCutIZjFPvQw5FKSp-rob6" TargetMode="External"/><Relationship Id="rId1942" Type="http://schemas.openxmlformats.org/officeDocument/2006/relationships/hyperlink" Target="https://drive.google.com/uc?export=download&amp;id=1JHwF1sDVV6H6TyOUD3LXtuhCd8pwyIBP" TargetMode="External"/><Relationship Id="rId1943" Type="http://schemas.openxmlformats.org/officeDocument/2006/relationships/hyperlink" Target="https://drive.google.com/uc?export=download&amp;id=1sEIEPl-SNGa46ZmqIQxEkBKdyBOwgcfO" TargetMode="External"/><Relationship Id="rId1944" Type="http://schemas.openxmlformats.org/officeDocument/2006/relationships/hyperlink" Target="https://drive.google.com/uc?export=download&amp;id=1Bqtm_KoitaDzX-EBTk0QwvwQCW_jzVC9" TargetMode="External"/><Relationship Id="rId1945" Type="http://schemas.openxmlformats.org/officeDocument/2006/relationships/hyperlink" Target="https://drive.google.com/uc?export=download&amp;id=1C8WNx8camysA1TSSRWg-fCcyJQtnGJgL" TargetMode="External"/><Relationship Id="rId1946" Type="http://schemas.openxmlformats.org/officeDocument/2006/relationships/hyperlink" Target="https://drive.google.com/uc?export=download&amp;id=1aEeOvinoQ0IE-FWM54xAVm-ClUXnXE-h" TargetMode="External"/><Relationship Id="rId1947" Type="http://schemas.openxmlformats.org/officeDocument/2006/relationships/hyperlink" Target="https://drive.google.com/uc?export=download&amp;id=1xW4wXtyrRbseq6HSEQWZ3dsayZcZ51T4" TargetMode="External"/><Relationship Id="rId1948" Type="http://schemas.openxmlformats.org/officeDocument/2006/relationships/hyperlink" Target="https://drive.google.com/uc?export=download&amp;id=1F0mn_jxbaPvCT6xCw8OL6x1v_xptJsXP" TargetMode="External"/><Relationship Id="rId1949" Type="http://schemas.openxmlformats.org/officeDocument/2006/relationships/hyperlink" Target="https://drive.google.com/uc?export=download&amp;id=1soHqO-GdD7Qr4R1OaejK114fUDZkUgr6" TargetMode="External"/><Relationship Id="rId1576" Type="http://schemas.openxmlformats.org/officeDocument/2006/relationships/hyperlink" Target="https://drive.google.com/uc?export=download&amp;id=1-riGrj3t8_Td8dPmoPnjgtykERMrR_Pv" TargetMode="External"/><Relationship Id="rId1577" Type="http://schemas.openxmlformats.org/officeDocument/2006/relationships/hyperlink" Target="https://drive.google.com/uc?export=download&amp;id=1bOe4128FatN7qj3-dIfKfkZiCfUUfRiK" TargetMode="External"/><Relationship Id="rId1578" Type="http://schemas.openxmlformats.org/officeDocument/2006/relationships/hyperlink" Target="https://drive.google.com/uc?export=download&amp;id=1WnrXwCPfaMmYd1QgqeMmZv27HgRh0hR1" TargetMode="External"/><Relationship Id="rId1579" Type="http://schemas.openxmlformats.org/officeDocument/2006/relationships/hyperlink" Target="https://drive.google.com/uc?export=download&amp;id=1YzkCChhbJRpu2cqLAJvp56F_E9qw025U" TargetMode="External"/><Relationship Id="rId509" Type="http://schemas.openxmlformats.org/officeDocument/2006/relationships/hyperlink" Target="https://drive.google.com/uc?export=download&amp;id=1oJD8Ma37Gh_i_uXSnmxt0ihm_WV88g7j" TargetMode="External"/><Relationship Id="rId508" Type="http://schemas.openxmlformats.org/officeDocument/2006/relationships/hyperlink" Target="https://drive.google.com/uc?export=download&amp;id=1Aw1xDy3VceifnmAXn1sR6t_iy1_p5A5S" TargetMode="External"/><Relationship Id="rId503" Type="http://schemas.openxmlformats.org/officeDocument/2006/relationships/hyperlink" Target="https://drive.google.com/uc?export=download&amp;id=1n_ICSz-JOrurZQUFUqX6sS-5L5B9f5RK" TargetMode="External"/><Relationship Id="rId987" Type="http://schemas.openxmlformats.org/officeDocument/2006/relationships/hyperlink" Target="https://drive.google.com/uc?export=download&amp;id=1LgTjQfGPen0RTqCFtM5EODzQ3fJRkk9Z" TargetMode="External"/><Relationship Id="rId502" Type="http://schemas.openxmlformats.org/officeDocument/2006/relationships/hyperlink" Target="https://drive.google.com/uc?export=download&amp;id=1mZqx787KXYU6cXPY-NmGx-2QlvTfBm6R" TargetMode="External"/><Relationship Id="rId986" Type="http://schemas.openxmlformats.org/officeDocument/2006/relationships/hyperlink" Target="https://drive.google.com/uc?export=download&amp;id=1Ot41RyskgESEhvVPzr-5LcS7pug7-MyS" TargetMode="External"/><Relationship Id="rId501" Type="http://schemas.openxmlformats.org/officeDocument/2006/relationships/hyperlink" Target="https://drive.google.com/uc?export=download&amp;id=1Kco2W4BFTzl6NjqvJ0eQ64qfM1J9KrB7" TargetMode="External"/><Relationship Id="rId985" Type="http://schemas.openxmlformats.org/officeDocument/2006/relationships/hyperlink" Target="https://drive.google.com/uc?export=download&amp;id=1BJZtGKqSmSrpeO1SM4qoBczLj1bP2FqP" TargetMode="External"/><Relationship Id="rId500" Type="http://schemas.openxmlformats.org/officeDocument/2006/relationships/hyperlink" Target="https://drive.google.com/uc?export=download&amp;id=10ESUw8X1USyL6Ao1Z5dq0rDy6rSMbdmi" TargetMode="External"/><Relationship Id="rId984" Type="http://schemas.openxmlformats.org/officeDocument/2006/relationships/hyperlink" Target="https://drive.google.com/uc?export=download&amp;id=1Wx_HGCiuHUhMVC9pR0__DrCe8i_hG38M" TargetMode="External"/><Relationship Id="rId507" Type="http://schemas.openxmlformats.org/officeDocument/2006/relationships/hyperlink" Target="https://drive.google.com/uc?export=download&amp;id=1lAWOO3mIwUca2AFXAWivFNuRvPx_Vk6m" TargetMode="External"/><Relationship Id="rId506" Type="http://schemas.openxmlformats.org/officeDocument/2006/relationships/hyperlink" Target="https://drive.google.com/uc?export=download&amp;id=1X-K75_gIzA-h4WI4RXkYAcqf_Z06HxFB" TargetMode="External"/><Relationship Id="rId505" Type="http://schemas.openxmlformats.org/officeDocument/2006/relationships/hyperlink" Target="https://drive.google.com/uc?export=download&amp;id=1MORPczTOyoQca14TNtxuPq_QAkURppa7" TargetMode="External"/><Relationship Id="rId989" Type="http://schemas.openxmlformats.org/officeDocument/2006/relationships/hyperlink" Target="https://drive.google.com/uc?export=download&amp;id=17PO09MTM-HEuP2ngB0zeaV7vLoWl8Kz7" TargetMode="External"/><Relationship Id="rId504" Type="http://schemas.openxmlformats.org/officeDocument/2006/relationships/hyperlink" Target="https://drive.google.com/uc?export=download&amp;id=1De4dHbmk-CEhMXlUBCXtJb9NeQ0D0xSq" TargetMode="External"/><Relationship Id="rId988" Type="http://schemas.openxmlformats.org/officeDocument/2006/relationships/hyperlink" Target="https://drive.google.com/uc?export=download&amp;id=1oYgY01eMI2IT18DtA4HKfcViSl95LRNL" TargetMode="External"/><Relationship Id="rId1570" Type="http://schemas.openxmlformats.org/officeDocument/2006/relationships/hyperlink" Target="https://drive.google.com/uc?export=download&amp;id=17VbKzHSIR2FI2El_j5O56izJ-ik68X_O" TargetMode="External"/><Relationship Id="rId1571" Type="http://schemas.openxmlformats.org/officeDocument/2006/relationships/hyperlink" Target="https://drive.google.com/uc?export=download&amp;id=1WxDXu6Or4wv6Ni2HRh-uyB3cSiVTwY_D" TargetMode="External"/><Relationship Id="rId983" Type="http://schemas.openxmlformats.org/officeDocument/2006/relationships/hyperlink" Target="https://drive.google.com/uc?export=download&amp;id=1zTq5185KwBtE9QXUjvkukinUzZFDfeyi" TargetMode="External"/><Relationship Id="rId1572" Type="http://schemas.openxmlformats.org/officeDocument/2006/relationships/hyperlink" Target="https://drive.google.com/uc?export=download&amp;id=1lkm38P5AYEGoqxyl5P5MWoW6o-gL7hGu" TargetMode="External"/><Relationship Id="rId982" Type="http://schemas.openxmlformats.org/officeDocument/2006/relationships/hyperlink" Target="https://drive.google.com/uc?export=download&amp;id=1AuZqMVAedEnbTDzu92yOpkDM7qXIug93" TargetMode="External"/><Relationship Id="rId1573" Type="http://schemas.openxmlformats.org/officeDocument/2006/relationships/hyperlink" Target="https://drive.google.com/uc?export=download&amp;id=1rtyJAk6mExKM8J-b4-E4PkhgZl-H2EEK" TargetMode="External"/><Relationship Id="rId981" Type="http://schemas.openxmlformats.org/officeDocument/2006/relationships/hyperlink" Target="https://drive.google.com/uc?export=download&amp;id=1cbywIlHzN8S959svDi5mUx9Z-0yvraUb" TargetMode="External"/><Relationship Id="rId1574" Type="http://schemas.openxmlformats.org/officeDocument/2006/relationships/hyperlink" Target="https://drive.google.com/uc?export=download&amp;id=1T2lmEHzUg32umWCIiZyJw5UTIfmLNJuW" TargetMode="External"/><Relationship Id="rId980" Type="http://schemas.openxmlformats.org/officeDocument/2006/relationships/hyperlink" Target="https://drive.google.com/uc?export=download&amp;id=1JuZ0kRP7zLKz8iAwv5tpuih08jJVx1hh" TargetMode="External"/><Relationship Id="rId1575" Type="http://schemas.openxmlformats.org/officeDocument/2006/relationships/hyperlink" Target="https://drive.google.com/uc?export=download&amp;id=1Y6aHuz_oWeaDvN0mp5H7iEJWQwJq2KRx" TargetMode="External"/><Relationship Id="rId1565" Type="http://schemas.openxmlformats.org/officeDocument/2006/relationships/hyperlink" Target="https://drive.google.com/uc?export=download&amp;id=1_pba0n47uJhnX9cbP5O5rPqGc9oOKTnz" TargetMode="External"/><Relationship Id="rId1566" Type="http://schemas.openxmlformats.org/officeDocument/2006/relationships/hyperlink" Target="https://drive.google.com/uc?export=download&amp;id=1Pkicm0ckGZNVGGLOda69o0QVqOCYLcEg" TargetMode="External"/><Relationship Id="rId1567" Type="http://schemas.openxmlformats.org/officeDocument/2006/relationships/hyperlink" Target="https://drive.google.com/uc?export=download&amp;id=1Z5q61a4gNCGxRGlKeekyyaqSB5U2IrW_" TargetMode="External"/><Relationship Id="rId1568" Type="http://schemas.openxmlformats.org/officeDocument/2006/relationships/hyperlink" Target="https://drive.google.com/uc?export=download&amp;id=1h6Rsm3voEO7DTrquAkIV_T1GX7x9DCvj" TargetMode="External"/><Relationship Id="rId1569" Type="http://schemas.openxmlformats.org/officeDocument/2006/relationships/hyperlink" Target="https://drive.google.com/uc?export=download&amp;id=1u9KSy9YsVrdbeSh6ngvnH2v8MkETI8nZ" TargetMode="External"/><Relationship Id="rId976" Type="http://schemas.openxmlformats.org/officeDocument/2006/relationships/hyperlink" Target="https://drive.google.com/uc?export=download&amp;id=1JSKB4pxe2r0vDk6pG5u2oKvuEcP_QIec" TargetMode="External"/><Relationship Id="rId975" Type="http://schemas.openxmlformats.org/officeDocument/2006/relationships/hyperlink" Target="https://drive.google.com/uc?export=download&amp;id=1zjq5sbWKZMBG6_eUO_GvrvtgXfAOf2mU" TargetMode="External"/><Relationship Id="rId974" Type="http://schemas.openxmlformats.org/officeDocument/2006/relationships/hyperlink" Target="https://drive.google.com/uc?export=download&amp;id=13IL3Rkurdf3cC6PmLdEesU7OXD85P_7A" TargetMode="External"/><Relationship Id="rId973" Type="http://schemas.openxmlformats.org/officeDocument/2006/relationships/hyperlink" Target="https://drive.google.com/uc?export=download&amp;id=1eBn-fNYM5dAGxXU0jjGkqDWrMwFYipGv" TargetMode="External"/><Relationship Id="rId979" Type="http://schemas.openxmlformats.org/officeDocument/2006/relationships/hyperlink" Target="https://drive.google.com/uc?export=download&amp;id=1qnHL9yc933e9BNZpTXYYpqPhVBEHXcSY" TargetMode="External"/><Relationship Id="rId978" Type="http://schemas.openxmlformats.org/officeDocument/2006/relationships/hyperlink" Target="https://drive.google.com/uc?export=download&amp;id=1o74K896ZeNyVvTZLQANi9kFywwruqblS" TargetMode="External"/><Relationship Id="rId977" Type="http://schemas.openxmlformats.org/officeDocument/2006/relationships/hyperlink" Target="https://drive.google.com/uc?export=download&amp;id=1SQGJWVtyAaM8NmS_oN8ICNs24_bhZwI7" TargetMode="External"/><Relationship Id="rId1560" Type="http://schemas.openxmlformats.org/officeDocument/2006/relationships/hyperlink" Target="https://drive.google.com/uc?export=download&amp;id=1cn7BZGIFwOdRJCmeaoN8jkQLGT8n2FVK" TargetMode="External"/><Relationship Id="rId972" Type="http://schemas.openxmlformats.org/officeDocument/2006/relationships/hyperlink" Target="https://drive.google.com/uc?export=download&amp;id=15QnXY9c4Hzw4bwlQ0NK6wU4JT9Hv0Ywz" TargetMode="External"/><Relationship Id="rId1561" Type="http://schemas.openxmlformats.org/officeDocument/2006/relationships/hyperlink" Target="https://drive.google.com/uc?export=download&amp;id=1aIgnDiSLeRj0pUtKdNKU8e4r8YXMNTjh" TargetMode="External"/><Relationship Id="rId971" Type="http://schemas.openxmlformats.org/officeDocument/2006/relationships/hyperlink" Target="https://drive.google.com/uc?export=download&amp;id=13cFeHnvercZkv9e18kyBZuuYijHMAGMX" TargetMode="External"/><Relationship Id="rId1562" Type="http://schemas.openxmlformats.org/officeDocument/2006/relationships/hyperlink" Target="https://drive.google.com/uc?export=download&amp;id=1ik1Zmii19gWYtaoYGkHKarned17Vf5zn" TargetMode="External"/><Relationship Id="rId970" Type="http://schemas.openxmlformats.org/officeDocument/2006/relationships/hyperlink" Target="https://drive.google.com/uc?export=download&amp;id=167A64n4Ryp0qyXoNDJTIMouUarZo4NDP" TargetMode="External"/><Relationship Id="rId1563" Type="http://schemas.openxmlformats.org/officeDocument/2006/relationships/hyperlink" Target="https://drive.google.com/uc?export=download&amp;id=1IMKAMb5K_a7yUQi2LB5HaKlIVR20MKhw" TargetMode="External"/><Relationship Id="rId1564" Type="http://schemas.openxmlformats.org/officeDocument/2006/relationships/hyperlink" Target="https://drive.google.com/uc?export=download&amp;id=1X7wSDSyTWYnUX_USu8lWyT30j598y_EP" TargetMode="External"/><Relationship Id="rId1114" Type="http://schemas.openxmlformats.org/officeDocument/2006/relationships/hyperlink" Target="https://drive.google.com/uc?export=download&amp;id=11_G6yON4mL61ZNhhTsxlaicb-ga3aLzf" TargetMode="External"/><Relationship Id="rId1598" Type="http://schemas.openxmlformats.org/officeDocument/2006/relationships/hyperlink" Target="https://drive.google.com/uc?export=download&amp;id=1OViya4XZTMWZbihSGvA-ehQBPZJzsy3p" TargetMode="External"/><Relationship Id="rId1115" Type="http://schemas.openxmlformats.org/officeDocument/2006/relationships/hyperlink" Target="https://drive.google.com/uc?export=download&amp;id=1oXAOpEfi40WtcWzGImHGfiUEAYjj8wpq" TargetMode="External"/><Relationship Id="rId1599" Type="http://schemas.openxmlformats.org/officeDocument/2006/relationships/hyperlink" Target="https://drive.google.com/uc?export=download&amp;id=1Hga-MMQYIzCU9IZk_N-Z-qdbcC3ECPfx" TargetMode="External"/><Relationship Id="rId1116" Type="http://schemas.openxmlformats.org/officeDocument/2006/relationships/hyperlink" Target="https://drive.google.com/uc?export=download&amp;id=103baqHXWa8TneBKQ7AnASNYKS_ybIfFc" TargetMode="External"/><Relationship Id="rId1117" Type="http://schemas.openxmlformats.org/officeDocument/2006/relationships/hyperlink" Target="https://drive.google.com/uc?export=download&amp;id=1IxRq0RYvfgF77usvXsAUr3is2ZIccr3L" TargetMode="External"/><Relationship Id="rId1118" Type="http://schemas.openxmlformats.org/officeDocument/2006/relationships/hyperlink" Target="https://drive.google.com/uc?export=download&amp;id=1eFNKbTKJC63DwLhwE41A1G_oZVd8LZ-N" TargetMode="External"/><Relationship Id="rId1119" Type="http://schemas.openxmlformats.org/officeDocument/2006/relationships/hyperlink" Target="https://drive.google.com/uc?export=download&amp;id=1QOGytVMBax9SkY3EXubaeBQqlsSUxXto" TargetMode="External"/><Relationship Id="rId525" Type="http://schemas.openxmlformats.org/officeDocument/2006/relationships/hyperlink" Target="https://drive.google.com/uc?export=download&amp;id=1cxwimVr8Ak-aot6IlHlW4kQTD0056ADS" TargetMode="External"/><Relationship Id="rId524" Type="http://schemas.openxmlformats.org/officeDocument/2006/relationships/hyperlink" Target="https://drive.google.com/uc?export=download&amp;id=1-X1Lf2iYy7bQZ8WJCuB4OVbkCEwIw3N2" TargetMode="External"/><Relationship Id="rId523" Type="http://schemas.openxmlformats.org/officeDocument/2006/relationships/hyperlink" Target="https://drive.google.com/uc?export=download&amp;id=1777IjbPdt97aNhmcSen1H_wDKrPTWF9o" TargetMode="External"/><Relationship Id="rId522" Type="http://schemas.openxmlformats.org/officeDocument/2006/relationships/hyperlink" Target="https://drive.google.com/uc?export=download&amp;id=1S1wpkRQRVn0IyFXlJ1T2eRtjAENLFuLE" TargetMode="External"/><Relationship Id="rId529" Type="http://schemas.openxmlformats.org/officeDocument/2006/relationships/hyperlink" Target="https://drive.google.com/uc?export=download&amp;id=1-uiRFKTQXdP92ke-zT2nvNHyJRoCSx8G" TargetMode="External"/><Relationship Id="rId528" Type="http://schemas.openxmlformats.org/officeDocument/2006/relationships/hyperlink" Target="https://drive.google.com/uc?export=download&amp;id=1Yasjpn8TrCmqsayH7VcOwE3CDck8BSSE" TargetMode="External"/><Relationship Id="rId527" Type="http://schemas.openxmlformats.org/officeDocument/2006/relationships/hyperlink" Target="https://drive.google.com/uc?export=download&amp;id=1LjR9oUetpc0MFBK-GgCQJ5y6Gq57hp3x" TargetMode="External"/><Relationship Id="rId526" Type="http://schemas.openxmlformats.org/officeDocument/2006/relationships/hyperlink" Target="https://drive.google.com/uc?export=download&amp;id=19tJp5zvTEFPwClgRx7hXgPLlhEV8WpVp" TargetMode="External"/><Relationship Id="rId1590" Type="http://schemas.openxmlformats.org/officeDocument/2006/relationships/hyperlink" Target="https://drive.google.com/uc?export=download&amp;id=1mEeATz-fHhQ_gcPsurtkcpDBf9fyxcOO" TargetMode="External"/><Relationship Id="rId1591" Type="http://schemas.openxmlformats.org/officeDocument/2006/relationships/hyperlink" Target="https://drive.google.com/uc?export=download&amp;id=1Zy0DnXGCQsa1XgrtdPm0QLiX2bFnbI2d" TargetMode="External"/><Relationship Id="rId1592" Type="http://schemas.openxmlformats.org/officeDocument/2006/relationships/hyperlink" Target="https://drive.google.com/uc?export=download&amp;id=1x7SRjSzJGCPnRX-Yp07FPDCtWWa3vSDO" TargetMode="External"/><Relationship Id="rId1593" Type="http://schemas.openxmlformats.org/officeDocument/2006/relationships/hyperlink" Target="https://drive.google.com/uc?export=download&amp;id=1Y6noCbqkkkWD6IgpVH7xdkLTL_chfder" TargetMode="External"/><Relationship Id="rId521" Type="http://schemas.openxmlformats.org/officeDocument/2006/relationships/hyperlink" Target="https://drive.google.com/uc?export=download&amp;id=1m9uMS8RAuKRnQeKSu364SWXDT0hZ8i3-" TargetMode="External"/><Relationship Id="rId1110" Type="http://schemas.openxmlformats.org/officeDocument/2006/relationships/hyperlink" Target="https://drive.google.com/uc?export=download&amp;id=17l8ARz82MIjZtGFcS-VYF-jD3vID-JAZ" TargetMode="External"/><Relationship Id="rId1594" Type="http://schemas.openxmlformats.org/officeDocument/2006/relationships/hyperlink" Target="https://drive.google.com/uc?export=download&amp;id=1Shug68NOlicGfbVGC0U2kYVTsgpq7GF7" TargetMode="External"/><Relationship Id="rId520" Type="http://schemas.openxmlformats.org/officeDocument/2006/relationships/hyperlink" Target="https://drive.google.com/uc?export=download&amp;id=1g60jLNUbbh7B09fh6HiiEW8W9irtqX7w" TargetMode="External"/><Relationship Id="rId1111" Type="http://schemas.openxmlformats.org/officeDocument/2006/relationships/hyperlink" Target="https://drive.google.com/uc?export=download&amp;id=129dYHFnuxZcXdsHkWI2d1guSUzflComJ" TargetMode="External"/><Relationship Id="rId1595" Type="http://schemas.openxmlformats.org/officeDocument/2006/relationships/hyperlink" Target="https://drive.google.com/uc?export=download&amp;id=1HTlWqeCQEtO8L6OJa66hoJFPkJp27XgT" TargetMode="External"/><Relationship Id="rId1112" Type="http://schemas.openxmlformats.org/officeDocument/2006/relationships/hyperlink" Target="https://drive.google.com/uc?export=download&amp;id=1MLmywVqZFunWmGdJB4XBdX8lozwPGb1L" TargetMode="External"/><Relationship Id="rId1596" Type="http://schemas.openxmlformats.org/officeDocument/2006/relationships/hyperlink" Target="https://drive.google.com/uc?export=download&amp;id=1R21CdeKrtzv8R-Cp-iNDmghsSLyCOQTD" TargetMode="External"/><Relationship Id="rId1113" Type="http://schemas.openxmlformats.org/officeDocument/2006/relationships/hyperlink" Target="https://drive.google.com/uc?export=download&amp;id=120jsLoJCnJ3n2QdxEgWiavke7RclFolQ" TargetMode="External"/><Relationship Id="rId1597" Type="http://schemas.openxmlformats.org/officeDocument/2006/relationships/hyperlink" Target="https://drive.google.com/uc?export=download&amp;id=1Mj_QPhB1yMtKnxkoAgZFHhiMmbkPciZp" TargetMode="External"/><Relationship Id="rId1103" Type="http://schemas.openxmlformats.org/officeDocument/2006/relationships/hyperlink" Target="https://drive.google.com/uc?export=download&amp;id=1rT0ZbiIO_FKOcCOoNOfvG0R6ksJyLK-z" TargetMode="External"/><Relationship Id="rId1587" Type="http://schemas.openxmlformats.org/officeDocument/2006/relationships/hyperlink" Target="https://drive.google.com/uc?export=download&amp;id=19gijF2j4Gn7bqtlSo-DdzXLABcf8HzyS" TargetMode="External"/><Relationship Id="rId1104" Type="http://schemas.openxmlformats.org/officeDocument/2006/relationships/hyperlink" Target="https://drive.google.com/uc?export=download&amp;id=1xNYN7u0cNMxWIy8AbT_9f_jo_iOyKqtj" TargetMode="External"/><Relationship Id="rId1588" Type="http://schemas.openxmlformats.org/officeDocument/2006/relationships/hyperlink" Target="https://drive.google.com/uc?export=download&amp;id=1CB6KAqWcn6MBMVNpK9vW3HtJFzSXNG58" TargetMode="External"/><Relationship Id="rId1105" Type="http://schemas.openxmlformats.org/officeDocument/2006/relationships/hyperlink" Target="https://drive.google.com/uc?export=download&amp;id=1eop8RP2Uv2eTNEX2INsHKvdFrhL00OI_" TargetMode="External"/><Relationship Id="rId1589" Type="http://schemas.openxmlformats.org/officeDocument/2006/relationships/hyperlink" Target="https://drive.google.com/uc?export=download&amp;id=1twhtVHhhi4QnZieNOqXw58rAorGM0zH4" TargetMode="External"/><Relationship Id="rId1106" Type="http://schemas.openxmlformats.org/officeDocument/2006/relationships/hyperlink" Target="https://drive.google.com/uc?export=download&amp;id=1QlneHHhTmZJICalLLUgTCVH0APqXHbVv" TargetMode="External"/><Relationship Id="rId1107" Type="http://schemas.openxmlformats.org/officeDocument/2006/relationships/hyperlink" Target="https://drive.google.com/uc?export=download&amp;id=1Kk3EKif_mRrJSzCeYEQC8yS2-vLdOQJD" TargetMode="External"/><Relationship Id="rId1108" Type="http://schemas.openxmlformats.org/officeDocument/2006/relationships/hyperlink" Target="https://drive.google.com/uc?export=download&amp;id=1bAc8Qsbnxg9H9A0LfkOq8mQceYLvfJmV" TargetMode="External"/><Relationship Id="rId1109" Type="http://schemas.openxmlformats.org/officeDocument/2006/relationships/hyperlink" Target="https://drive.google.com/uc?export=download&amp;id=1d4j9uWgFzQcxZiit5Zox6jNnqA6bluC_" TargetMode="External"/><Relationship Id="rId519" Type="http://schemas.openxmlformats.org/officeDocument/2006/relationships/hyperlink" Target="https://drive.google.com/uc?export=download&amp;id=1qeFT1vgeg_03QiyYKY_6mfXXMOrJ7ADC" TargetMode="External"/><Relationship Id="rId514" Type="http://schemas.openxmlformats.org/officeDocument/2006/relationships/hyperlink" Target="https://drive.google.com/uc?export=download&amp;id=1HTGE2xm1Qq86vkPCDA3EKLIOPOoX4-XN" TargetMode="External"/><Relationship Id="rId998" Type="http://schemas.openxmlformats.org/officeDocument/2006/relationships/hyperlink" Target="https://drive.google.com/uc?export=download&amp;id=17DSYqsbQYQN6BHyGS5fXtn_VAVPxye3q" TargetMode="External"/><Relationship Id="rId513" Type="http://schemas.openxmlformats.org/officeDocument/2006/relationships/hyperlink" Target="https://drive.google.com/uc?export=download&amp;id=1OofjipiibMqF_MKGmi2fobhYRiOW40EP" TargetMode="External"/><Relationship Id="rId997" Type="http://schemas.openxmlformats.org/officeDocument/2006/relationships/hyperlink" Target="https://drive.google.com/uc?export=download&amp;id=1dDZ3GgtT5-Vs6hDWPmOgGVda7MyGfU04" TargetMode="External"/><Relationship Id="rId512" Type="http://schemas.openxmlformats.org/officeDocument/2006/relationships/hyperlink" Target="https://drive.google.com/uc?export=download&amp;id=1UEq3mRNZVfMepuqSBDM4dEKsGoGR5xgP" TargetMode="External"/><Relationship Id="rId996" Type="http://schemas.openxmlformats.org/officeDocument/2006/relationships/hyperlink" Target="https://drive.google.com/uc?export=download&amp;id=1Ican02udD8Alcrg6POh1Iqtd0OccQAoD" TargetMode="External"/><Relationship Id="rId511" Type="http://schemas.openxmlformats.org/officeDocument/2006/relationships/hyperlink" Target="https://drive.google.com/uc?export=download&amp;id=1br0SsK_fvlTVN559qJ-mM--t3BiawuuV" TargetMode="External"/><Relationship Id="rId995" Type="http://schemas.openxmlformats.org/officeDocument/2006/relationships/hyperlink" Target="https://drive.google.com/uc?export=download&amp;id=1KMD4lz3xD4DVZNDtlbpN8tOD82CwwFK3" TargetMode="External"/><Relationship Id="rId518" Type="http://schemas.openxmlformats.org/officeDocument/2006/relationships/hyperlink" Target="https://drive.google.com/uc?export=download&amp;id=12kQM_M6JEcoD-7L93Lii-opCJ_4q1-Ou" TargetMode="External"/><Relationship Id="rId517" Type="http://schemas.openxmlformats.org/officeDocument/2006/relationships/hyperlink" Target="https://drive.google.com/uc?export=download&amp;id=1kr_WDzD6pJNWJiG5GQreLTzF00wx6ueD" TargetMode="External"/><Relationship Id="rId516" Type="http://schemas.openxmlformats.org/officeDocument/2006/relationships/hyperlink" Target="https://drive.google.com/uc?export=download&amp;id=1cdVvoEgzDgrIGCGeQlNe2hukxSau8ima" TargetMode="External"/><Relationship Id="rId515" Type="http://schemas.openxmlformats.org/officeDocument/2006/relationships/hyperlink" Target="https://drive.google.com/uc?export=download&amp;id=1MafcMQNvbp_hg1QukS_rr2efLQMAvMuW" TargetMode="External"/><Relationship Id="rId999" Type="http://schemas.openxmlformats.org/officeDocument/2006/relationships/hyperlink" Target="https://drive.google.com/uc?export=download&amp;id=1nUCJDHzorvbDZzIpPoaceG5w_PgXnnxC" TargetMode="External"/><Relationship Id="rId990" Type="http://schemas.openxmlformats.org/officeDocument/2006/relationships/hyperlink" Target="https://drive.google.com/uc?export=download&amp;id=1ur5mC1T6rzAGfZEQoQHR3E7R5hqwAiYw" TargetMode="External"/><Relationship Id="rId1580" Type="http://schemas.openxmlformats.org/officeDocument/2006/relationships/hyperlink" Target="https://drive.google.com/uc?export=download&amp;id=1A3K3aw2LctYg9R69x0QvtnFq_gg-pNj8" TargetMode="External"/><Relationship Id="rId1581" Type="http://schemas.openxmlformats.org/officeDocument/2006/relationships/hyperlink" Target="https://drive.google.com/uc?export=download&amp;id=18UAfIG8YaOdoMWKiaOFo8CxtQzwhyYDj" TargetMode="External"/><Relationship Id="rId1582" Type="http://schemas.openxmlformats.org/officeDocument/2006/relationships/hyperlink" Target="https://drive.google.com/uc?export=download&amp;id=16fBTB3m_jeJo5nx7q3aZUXpynUFIW0RL" TargetMode="External"/><Relationship Id="rId510" Type="http://schemas.openxmlformats.org/officeDocument/2006/relationships/hyperlink" Target="https://drive.google.com/uc?export=download&amp;id=1D-FdHQCl5zsvj1BGq-mevklPDLN3e8wI" TargetMode="External"/><Relationship Id="rId994" Type="http://schemas.openxmlformats.org/officeDocument/2006/relationships/hyperlink" Target="https://drive.google.com/uc?export=download&amp;id=1wDe2OnrZdJZZFdzDgrU_sxrPAnQWeLWS" TargetMode="External"/><Relationship Id="rId1583" Type="http://schemas.openxmlformats.org/officeDocument/2006/relationships/hyperlink" Target="https://drive.google.com/uc?export=download&amp;id=1O-iQ7o4oCP8W8iQ56ptvt_F7fdEfhKua" TargetMode="External"/><Relationship Id="rId993" Type="http://schemas.openxmlformats.org/officeDocument/2006/relationships/hyperlink" Target="https://drive.google.com/uc?export=download&amp;id=1OY5BBrrc6pmFORY-0lKFx-EtClL5-wlx" TargetMode="External"/><Relationship Id="rId1100" Type="http://schemas.openxmlformats.org/officeDocument/2006/relationships/hyperlink" Target="https://drive.google.com/uc?export=download&amp;id=1ihAf8ylYnyRKvaVJ1Q_-ISOxjNtgmYmS" TargetMode="External"/><Relationship Id="rId1584" Type="http://schemas.openxmlformats.org/officeDocument/2006/relationships/hyperlink" Target="https://drive.google.com/uc?export=download&amp;id=1Y_VV7zH63YdvpSAp1UZkO29asiTf-elT" TargetMode="External"/><Relationship Id="rId992" Type="http://schemas.openxmlformats.org/officeDocument/2006/relationships/hyperlink" Target="https://drive.google.com/uc?export=download&amp;id=12p4SGk1asBRQH9f7HitEcM6rda2YlXau" TargetMode="External"/><Relationship Id="rId1101" Type="http://schemas.openxmlformats.org/officeDocument/2006/relationships/hyperlink" Target="https://drive.google.com/uc?export=download&amp;id=1SmV4dTz6jQu81qhKnnf9P8IgBjOIKojW" TargetMode="External"/><Relationship Id="rId1585" Type="http://schemas.openxmlformats.org/officeDocument/2006/relationships/hyperlink" Target="https://drive.google.com/uc?export=download&amp;id=190e3rSjpBLs4eeJj9ILC0H8dUi-F2S6I" TargetMode="External"/><Relationship Id="rId991" Type="http://schemas.openxmlformats.org/officeDocument/2006/relationships/hyperlink" Target="https://drive.google.com/uc?export=download&amp;id=1gec_Tj70kD8mdoy9Lu-SlYDlQNbSqhUE" TargetMode="External"/><Relationship Id="rId1102" Type="http://schemas.openxmlformats.org/officeDocument/2006/relationships/hyperlink" Target="https://drive.google.com/uc?export=download&amp;id=1AC4sVbjppk-udZBsjdhtN6e4pTimn-P3" TargetMode="External"/><Relationship Id="rId1586" Type="http://schemas.openxmlformats.org/officeDocument/2006/relationships/hyperlink" Target="https://drive.google.com/uc?export=download&amp;id=1Ibq_FJMx8_SNF0OdgiHZLYprqQp2pOXy" TargetMode="External"/><Relationship Id="rId1532" Type="http://schemas.openxmlformats.org/officeDocument/2006/relationships/hyperlink" Target="https://drive.google.com/uc?export=download&amp;id=16DkDPedBtavPv1zRjEnmxFZtaFbrkT4q" TargetMode="External"/><Relationship Id="rId1533" Type="http://schemas.openxmlformats.org/officeDocument/2006/relationships/hyperlink" Target="https://drive.google.com/uc?export=download&amp;id=1uGoeN0cuWkbh6V2zZPBNiZEqgp3dSz1i" TargetMode="External"/><Relationship Id="rId1534" Type="http://schemas.openxmlformats.org/officeDocument/2006/relationships/hyperlink" Target="https://drive.google.com/uc?export=download&amp;id=1TkP_NuqbFrM2hF48UjgFvOkgEREN32YO" TargetMode="External"/><Relationship Id="rId1535" Type="http://schemas.openxmlformats.org/officeDocument/2006/relationships/hyperlink" Target="https://drive.google.com/uc?export=download&amp;id=19yBPteEAOt3gl9oq1mSJopmKlI4Wtelq" TargetMode="External"/><Relationship Id="rId1536" Type="http://schemas.openxmlformats.org/officeDocument/2006/relationships/hyperlink" Target="https://drive.google.com/uc?export=download&amp;id=1ByWZ9vvyATmw1veSgDvMOyVbuJU6x8kL" TargetMode="External"/><Relationship Id="rId1537" Type="http://schemas.openxmlformats.org/officeDocument/2006/relationships/hyperlink" Target="https://drive.google.com/uc?export=download&amp;id=1gKJwlAWpXmEU-bA_OdlHPLOrk9JG-7L6" TargetMode="External"/><Relationship Id="rId1538" Type="http://schemas.openxmlformats.org/officeDocument/2006/relationships/hyperlink" Target="https://drive.google.com/uc?export=download&amp;id=1EihQucJZOYyBVK54S2ls_NqC_c1oEU5t" TargetMode="External"/><Relationship Id="rId1539" Type="http://schemas.openxmlformats.org/officeDocument/2006/relationships/hyperlink" Target="https://drive.google.com/uc?export=download&amp;id=1hC4ZsNvex5uuwFo-K5GtY19T0lLciGlA" TargetMode="External"/><Relationship Id="rId949" Type="http://schemas.openxmlformats.org/officeDocument/2006/relationships/hyperlink" Target="https://drive.google.com/uc?export=download&amp;id=1kRhct0WAsNvPjAUQYjLkPAuBicvbCBI9" TargetMode="External"/><Relationship Id="rId948" Type="http://schemas.openxmlformats.org/officeDocument/2006/relationships/hyperlink" Target="https://drive.google.com/uc?export=download&amp;id=1xpmwWO2Jy8eNudR0xUC6Gka9XXVXnVKR" TargetMode="External"/><Relationship Id="rId943" Type="http://schemas.openxmlformats.org/officeDocument/2006/relationships/hyperlink" Target="https://drive.google.com/uc?export=download&amp;id=1T8YYdr81xOLd-w_Xvt7jrA7U8EkvODAO" TargetMode="External"/><Relationship Id="rId942" Type="http://schemas.openxmlformats.org/officeDocument/2006/relationships/hyperlink" Target="https://drive.google.com/uc?export=download&amp;id=1RxO6279XqthZyMCT826OiFqmSCe0dHeD" TargetMode="External"/><Relationship Id="rId941" Type="http://schemas.openxmlformats.org/officeDocument/2006/relationships/hyperlink" Target="https://drive.google.com/uc?export=download&amp;id=1nMrepg2i7-HZaZ4TrkkBWzn1q0KwP2HV" TargetMode="External"/><Relationship Id="rId940" Type="http://schemas.openxmlformats.org/officeDocument/2006/relationships/hyperlink" Target="https://drive.google.com/uc?export=download&amp;id=1WpZ3eIxxoUbCGkbZrUYfhMicfwvXSuda" TargetMode="External"/><Relationship Id="rId947" Type="http://schemas.openxmlformats.org/officeDocument/2006/relationships/hyperlink" Target="https://drive.google.com/uc?export=download&amp;id=10prYIw8ebnh4VQii3_Svqj_jbZLZbNZ0" TargetMode="External"/><Relationship Id="rId946" Type="http://schemas.openxmlformats.org/officeDocument/2006/relationships/hyperlink" Target="https://drive.google.com/uc?export=download&amp;id=1Tu8WW13G0XoBFfJejCE5QEnhaHFSfN-E" TargetMode="External"/><Relationship Id="rId945" Type="http://schemas.openxmlformats.org/officeDocument/2006/relationships/hyperlink" Target="https://drive.google.com/uc?export=download&amp;id=1Wq_Tw9xGUQ3M8gFIDWTlSeb5ChhB9wFh" TargetMode="External"/><Relationship Id="rId944" Type="http://schemas.openxmlformats.org/officeDocument/2006/relationships/hyperlink" Target="https://drive.google.com/uc?export=download&amp;id=14yXTYvacS-1CpqyKDzl3N1QmsPpMa0_o" TargetMode="External"/><Relationship Id="rId1530" Type="http://schemas.openxmlformats.org/officeDocument/2006/relationships/hyperlink" Target="https://drive.google.com/uc?export=download&amp;id=1LhswZidsHXqgp2vVEI474w9XkFGTz9vM" TargetMode="External"/><Relationship Id="rId1531" Type="http://schemas.openxmlformats.org/officeDocument/2006/relationships/hyperlink" Target="https://drive.google.com/uc?export=download&amp;id=1OTZ-MwHZ-h2LJGAZ8rS-fpaO_f0p3jAu" TargetMode="External"/><Relationship Id="rId1521" Type="http://schemas.openxmlformats.org/officeDocument/2006/relationships/hyperlink" Target="https://drive.google.com/uc?export=download&amp;id=1GuArk584wQS3EoMsrCaXXwIqsKytvI0y" TargetMode="External"/><Relationship Id="rId1522" Type="http://schemas.openxmlformats.org/officeDocument/2006/relationships/hyperlink" Target="https://drive.google.com/uc?export=download&amp;id=1xjxqnalWcIhwK6ynI5lKFdwA4iob-xkC" TargetMode="External"/><Relationship Id="rId1523" Type="http://schemas.openxmlformats.org/officeDocument/2006/relationships/hyperlink" Target="https://drive.google.com/uc?export=download&amp;id=1IsrMQx0qqJz-leMbD6xs4P8OqzR8RfAH" TargetMode="External"/><Relationship Id="rId1524" Type="http://schemas.openxmlformats.org/officeDocument/2006/relationships/hyperlink" Target="https://drive.google.com/uc?export=download&amp;id=1vznzhjjo6OA6ZIr1hwDlToScTV1TjdK6" TargetMode="External"/><Relationship Id="rId1525" Type="http://schemas.openxmlformats.org/officeDocument/2006/relationships/hyperlink" Target="https://drive.google.com/uc?export=download&amp;id=12Mqxz_A-cFzAhf_hnmX8u7ZxFOUfcUqf" TargetMode="External"/><Relationship Id="rId1526" Type="http://schemas.openxmlformats.org/officeDocument/2006/relationships/hyperlink" Target="https://drive.google.com/uc?export=download&amp;id=1Vfz51LIB1bcgTVdss0WkHTOX9700lI72" TargetMode="External"/><Relationship Id="rId1527" Type="http://schemas.openxmlformats.org/officeDocument/2006/relationships/hyperlink" Target="https://drive.google.com/uc?export=download&amp;id=1uTvT_Huhi6mLpWMir0B1DeDwkDyr_UqR" TargetMode="External"/><Relationship Id="rId1528" Type="http://schemas.openxmlformats.org/officeDocument/2006/relationships/hyperlink" Target="https://drive.google.com/uc?export=download&amp;id=1QE-P7sjsC5L2dLH0LxzzOa5QLhVOpChI" TargetMode="External"/><Relationship Id="rId1529" Type="http://schemas.openxmlformats.org/officeDocument/2006/relationships/hyperlink" Target="https://drive.google.com/uc?export=download&amp;id=1xnjGbo-N2P4rKbUs4VY_rGILYD9IGpLH" TargetMode="External"/><Relationship Id="rId939" Type="http://schemas.openxmlformats.org/officeDocument/2006/relationships/hyperlink" Target="https://drive.google.com/uc?export=download&amp;id=10GLZHWYvAQSxYDLreRn8Cs5MmSnAatFa" TargetMode="External"/><Relationship Id="rId938" Type="http://schemas.openxmlformats.org/officeDocument/2006/relationships/hyperlink" Target="https://drive.google.com/uc?export=download&amp;id=18jTyuuqvSgveYj8lzH6cWXLoWkYfjdnU" TargetMode="External"/><Relationship Id="rId937" Type="http://schemas.openxmlformats.org/officeDocument/2006/relationships/hyperlink" Target="https://drive.google.com/uc?export=download&amp;id=1dcF6rzUa6paIKH5wXrrizRwL4L_g-jtA" TargetMode="External"/><Relationship Id="rId932" Type="http://schemas.openxmlformats.org/officeDocument/2006/relationships/hyperlink" Target="https://drive.google.com/uc?export=download&amp;id=1bpDFnYIlDs3xvyN10SAMBitYTgULJpft" TargetMode="External"/><Relationship Id="rId931" Type="http://schemas.openxmlformats.org/officeDocument/2006/relationships/hyperlink" Target="https://drive.google.com/uc?export=download&amp;id=1Xj8Ddz_kWPveBS9YftSwMMQ24y6GNAkx" TargetMode="External"/><Relationship Id="rId930" Type="http://schemas.openxmlformats.org/officeDocument/2006/relationships/hyperlink" Target="https://drive.google.com/uc?export=download&amp;id=1pkejDS8pYKkFmxyAqnz0n64HfJ7b26fy" TargetMode="External"/><Relationship Id="rId936" Type="http://schemas.openxmlformats.org/officeDocument/2006/relationships/hyperlink" Target="https://drive.google.com/uc?export=download&amp;id=1_pewj2rrmXPLKpOYLDgy4hhoXaj1qXEg" TargetMode="External"/><Relationship Id="rId935" Type="http://schemas.openxmlformats.org/officeDocument/2006/relationships/hyperlink" Target="https://drive.google.com/uc?export=download&amp;id=1G4g5xsy05HO-KrijtOg95ZFRSXIzPENj" TargetMode="External"/><Relationship Id="rId934" Type="http://schemas.openxmlformats.org/officeDocument/2006/relationships/hyperlink" Target="https://drive.google.com/uc?export=download&amp;id=1R32QYNjogTAxnzc_fGL28SKB0XaWTmtF" TargetMode="External"/><Relationship Id="rId933" Type="http://schemas.openxmlformats.org/officeDocument/2006/relationships/hyperlink" Target="https://drive.google.com/uc?export=download&amp;id=1G9Qmw5TqbGABAf_emsABs5PLuDGMLECk" TargetMode="External"/><Relationship Id="rId1520" Type="http://schemas.openxmlformats.org/officeDocument/2006/relationships/hyperlink" Target="https://drive.google.com/uc?export=download&amp;id=1PTx-pPCJwqj52bUMHwVZq4Tg3gHKExVN" TargetMode="External"/><Relationship Id="rId1554" Type="http://schemas.openxmlformats.org/officeDocument/2006/relationships/hyperlink" Target="https://drive.google.com/uc?export=download&amp;id=1D3FpGjfAWqLBgCLipxVvI2IZhVYlVrYe" TargetMode="External"/><Relationship Id="rId1555" Type="http://schemas.openxmlformats.org/officeDocument/2006/relationships/hyperlink" Target="https://drive.google.com/uc?export=download&amp;id=1wIxNd3VNKFOuy5W-JglK_Y8qCmv1R7i9" TargetMode="External"/><Relationship Id="rId1556" Type="http://schemas.openxmlformats.org/officeDocument/2006/relationships/hyperlink" Target="https://drive.google.com/uc?export=download&amp;id=1OCmlmFHlbx6mMYp-jBdBC7NpkUhg5tos" TargetMode="External"/><Relationship Id="rId1557" Type="http://schemas.openxmlformats.org/officeDocument/2006/relationships/hyperlink" Target="https://drive.google.com/uc?export=download&amp;id=1NinvG7KTn7-piOvPoLWB_EvsxNQ6_sKe" TargetMode="External"/><Relationship Id="rId1558" Type="http://schemas.openxmlformats.org/officeDocument/2006/relationships/hyperlink" Target="https://drive.google.com/uc?export=download&amp;id=1r_p3E2oFLWRYpZfEoQG63FPrXi4FiW0t" TargetMode="External"/><Relationship Id="rId1559" Type="http://schemas.openxmlformats.org/officeDocument/2006/relationships/hyperlink" Target="https://drive.google.com/uc?export=download&amp;id=178nlzvrs5CkfqZ95_77uClzL_ZnsXldC" TargetMode="External"/><Relationship Id="rId965" Type="http://schemas.openxmlformats.org/officeDocument/2006/relationships/hyperlink" Target="https://drive.google.com/uc?export=download&amp;id=1wq9vJYISCf3byDuHXVU_n_YBJ3K9FZu5" TargetMode="External"/><Relationship Id="rId964" Type="http://schemas.openxmlformats.org/officeDocument/2006/relationships/hyperlink" Target="https://drive.google.com/uc?export=download&amp;id=1l7YrSJ_4IPcLxk7HxmMPiZnspO6vNGMm" TargetMode="External"/><Relationship Id="rId963" Type="http://schemas.openxmlformats.org/officeDocument/2006/relationships/hyperlink" Target="https://drive.google.com/uc?export=download&amp;id=16hbOiFj1KCo5lBw2u56ljrW3588z28m1" TargetMode="External"/><Relationship Id="rId962" Type="http://schemas.openxmlformats.org/officeDocument/2006/relationships/hyperlink" Target="https://drive.google.com/uc?export=download&amp;id=1fdN7DebIFtv6A7nTvvKaUFRdCPpU5Xq9" TargetMode="External"/><Relationship Id="rId969" Type="http://schemas.openxmlformats.org/officeDocument/2006/relationships/hyperlink" Target="https://drive.google.com/uc?export=download&amp;id=13bm8zGdCvzxD6wmiEpQAbZKbXuHtNzI6" TargetMode="External"/><Relationship Id="rId968" Type="http://schemas.openxmlformats.org/officeDocument/2006/relationships/hyperlink" Target="https://drive.google.com/uc?export=download&amp;id=1rVRf7cvzIP2Ae5TeQH6I0dleg7c4-661" TargetMode="External"/><Relationship Id="rId967" Type="http://schemas.openxmlformats.org/officeDocument/2006/relationships/hyperlink" Target="https://drive.google.com/uc?export=download&amp;id=1nX9raf9K27JJ17gbhl_0mx0ns0CmG4Il" TargetMode="External"/><Relationship Id="rId966" Type="http://schemas.openxmlformats.org/officeDocument/2006/relationships/hyperlink" Target="https://drive.google.com/uc?export=download&amp;id=1ycWfQA_pSXZkExBYGx6amTznX1deTdTJ" TargetMode="External"/><Relationship Id="rId961" Type="http://schemas.openxmlformats.org/officeDocument/2006/relationships/hyperlink" Target="https://drive.google.com/uc?export=download&amp;id=1shsRrjYRx4-rK5Fg7tjVfNDDZrfbrA3n" TargetMode="External"/><Relationship Id="rId1550" Type="http://schemas.openxmlformats.org/officeDocument/2006/relationships/hyperlink" Target="https://drive.google.com/uc?export=download&amp;id=1AUwQ9sWk0ITBkEae3q3yzaQGbOZocoHf" TargetMode="External"/><Relationship Id="rId960" Type="http://schemas.openxmlformats.org/officeDocument/2006/relationships/hyperlink" Target="https://drive.google.com/uc?export=download&amp;id=1oO7F2lZLd2jGBJrKixMASdrrYAU_XnXO" TargetMode="External"/><Relationship Id="rId1551" Type="http://schemas.openxmlformats.org/officeDocument/2006/relationships/hyperlink" Target="https://drive.google.com/uc?export=download&amp;id=1Ej7BejkqRUMHx9g1yxBsMY-hj6fEpKto" TargetMode="External"/><Relationship Id="rId1552" Type="http://schemas.openxmlformats.org/officeDocument/2006/relationships/hyperlink" Target="https://drive.google.com/uc?export=download&amp;id=1Zlq9jXQEVRnj6nLy6BlbmmbzfSzpNsqK" TargetMode="External"/><Relationship Id="rId1553" Type="http://schemas.openxmlformats.org/officeDocument/2006/relationships/hyperlink" Target="https://drive.google.com/uc?export=download&amp;id=1HfA-8otaSqYdhntuuC2lF3KmMEX-s2ja" TargetMode="External"/><Relationship Id="rId1543" Type="http://schemas.openxmlformats.org/officeDocument/2006/relationships/hyperlink" Target="https://drive.google.com/uc?export=download&amp;id=1zZl9lFQ0UjAkxyWOFaUJbqun9-FZwhuw" TargetMode="External"/><Relationship Id="rId1544" Type="http://schemas.openxmlformats.org/officeDocument/2006/relationships/hyperlink" Target="https://drive.google.com/uc?export=download&amp;id=10qT4v-O2pZu5RN6yeBNUa30jPojCgUbE" TargetMode="External"/><Relationship Id="rId1545" Type="http://schemas.openxmlformats.org/officeDocument/2006/relationships/hyperlink" Target="https://drive.google.com/uc?export=download&amp;id=1B-KXDyZS1dR1zBV5L52itDYGQ1xljRGN" TargetMode="External"/><Relationship Id="rId1546" Type="http://schemas.openxmlformats.org/officeDocument/2006/relationships/hyperlink" Target="https://drive.google.com/uc?export=download&amp;id=1u2CZK-Q90x-0760tw0eP_5r-P-dCTqZU" TargetMode="External"/><Relationship Id="rId1547" Type="http://schemas.openxmlformats.org/officeDocument/2006/relationships/hyperlink" Target="https://drive.google.com/uc?export=download&amp;id=1q5YSEIe2U70F5T_HZ_eOhZb-j5qiWs3F" TargetMode="External"/><Relationship Id="rId1548" Type="http://schemas.openxmlformats.org/officeDocument/2006/relationships/hyperlink" Target="https://drive.google.com/uc?export=download&amp;id=1loyxmqC8-5qUQgh2X8-Ict7-eBA_dAFn" TargetMode="External"/><Relationship Id="rId1549" Type="http://schemas.openxmlformats.org/officeDocument/2006/relationships/hyperlink" Target="https://drive.google.com/uc?export=download&amp;id=18STO11qP7g4kms6lASCdv_D1YUmULEAr" TargetMode="External"/><Relationship Id="rId959" Type="http://schemas.openxmlformats.org/officeDocument/2006/relationships/hyperlink" Target="https://drive.google.com/uc?export=download&amp;id=1y8CrST-VpHHRYifcgj-uBgfvcFAP2j5t" TargetMode="External"/><Relationship Id="rId954" Type="http://schemas.openxmlformats.org/officeDocument/2006/relationships/hyperlink" Target="https://drive.google.com/uc?export=download&amp;id=1Oxm5O9xwIJ9PlSV32DgnUXAb6YHxhsUU" TargetMode="External"/><Relationship Id="rId953" Type="http://schemas.openxmlformats.org/officeDocument/2006/relationships/hyperlink" Target="https://drive.google.com/uc?export=download&amp;id=18MXHdCu_tgm9QG4ecg0dp4UC95vML9pu" TargetMode="External"/><Relationship Id="rId952" Type="http://schemas.openxmlformats.org/officeDocument/2006/relationships/hyperlink" Target="https://drive.google.com/uc?export=download&amp;id=1qs54mPFMCEczNYG63y6Ohop-WXOJpRV4" TargetMode="External"/><Relationship Id="rId951" Type="http://schemas.openxmlformats.org/officeDocument/2006/relationships/hyperlink" Target="https://drive.google.com/uc?export=download&amp;id=1tQTkvRzHePBSlweloKXY-Sz3dX17mOaq" TargetMode="External"/><Relationship Id="rId958" Type="http://schemas.openxmlformats.org/officeDocument/2006/relationships/hyperlink" Target="https://drive.google.com/uc?export=download&amp;id=1tnhVW_BKMN0aRevTxSJ7cX80FCz1ay_u" TargetMode="External"/><Relationship Id="rId957" Type="http://schemas.openxmlformats.org/officeDocument/2006/relationships/hyperlink" Target="https://drive.google.com/uc?export=download&amp;id=1n2Iy6lL8tT4PwTT2jxEe1DAEzcwhQacc" TargetMode="External"/><Relationship Id="rId956" Type="http://schemas.openxmlformats.org/officeDocument/2006/relationships/hyperlink" Target="https://drive.google.com/uc?export=download&amp;id=1_LYVWLleMKwp4R-0fyVTcIcZi-H_qaEf" TargetMode="External"/><Relationship Id="rId955" Type="http://schemas.openxmlformats.org/officeDocument/2006/relationships/hyperlink" Target="https://drive.google.com/uc?export=download&amp;id=1FEySkzRXFNB71V42P1s2tDM3i1DktNu3" TargetMode="External"/><Relationship Id="rId950" Type="http://schemas.openxmlformats.org/officeDocument/2006/relationships/hyperlink" Target="https://drive.google.com/uc?export=download&amp;id=10pzRPd1DILdtX-smpMbEgifIBuhrxTB4" TargetMode="External"/><Relationship Id="rId1540" Type="http://schemas.openxmlformats.org/officeDocument/2006/relationships/hyperlink" Target="https://drive.google.com/uc?export=download&amp;id=1ivXKNim0RERfXni6turwp76FjEVJSAoa" TargetMode="External"/><Relationship Id="rId1541" Type="http://schemas.openxmlformats.org/officeDocument/2006/relationships/hyperlink" Target="https://drive.google.com/uc?export=download&amp;id=1maKvNUAfh_Ei6ftafLQYSMVUD2r57rQn" TargetMode="External"/><Relationship Id="rId1542" Type="http://schemas.openxmlformats.org/officeDocument/2006/relationships/hyperlink" Target="https://drive.google.com/uc?export=download&amp;id=1GRZPI3rQBkvLDR9zM__evSEnv96tsG3z" TargetMode="External"/><Relationship Id="rId590" Type="http://schemas.openxmlformats.org/officeDocument/2006/relationships/hyperlink" Target="https://drive.google.com/uc?export=download&amp;id=1F_v0YS_oA3D3XGaB5aeVu7WpsQ__ndlQ" TargetMode="External"/><Relationship Id="rId107" Type="http://schemas.openxmlformats.org/officeDocument/2006/relationships/hyperlink" Target="https://drive.google.com/uc?export=download&amp;id=1JqSASfQLTeSMbXWVjIP1267TYqfwX44T" TargetMode="External"/><Relationship Id="rId106" Type="http://schemas.openxmlformats.org/officeDocument/2006/relationships/hyperlink" Target="https://drive.google.com/uc?export=download&amp;id=1P6e1JS5OQ3YM9LfslEXFk_Y0gV90AWio" TargetMode="External"/><Relationship Id="rId105" Type="http://schemas.openxmlformats.org/officeDocument/2006/relationships/hyperlink" Target="https://drive.google.com/uc?export=download&amp;id=1rZm5rDpVEsh2i70ZFTn6a6N712C4QamN" TargetMode="External"/><Relationship Id="rId589" Type="http://schemas.openxmlformats.org/officeDocument/2006/relationships/hyperlink" Target="https://drive.google.com/uc?export=download&amp;id=1h85nwCylBuNMBK9bAa2PSNTPSOymJd6C" TargetMode="External"/><Relationship Id="rId104" Type="http://schemas.openxmlformats.org/officeDocument/2006/relationships/hyperlink" Target="https://drive.google.com/uc?export=download&amp;id=1oHsWyr0t2DeVAfx77AOGoYAuEbQMUUj6" TargetMode="External"/><Relationship Id="rId588" Type="http://schemas.openxmlformats.org/officeDocument/2006/relationships/hyperlink" Target="https://drive.google.com/uc?export=download&amp;id=1BzAvRT9MOaldmNjuWE_UGE9KKNXTolqN" TargetMode="External"/><Relationship Id="rId109" Type="http://schemas.openxmlformats.org/officeDocument/2006/relationships/hyperlink" Target="https://drive.google.com/uc?export=download&amp;id=1HCACVaKwv48Gfh226OdoqaNib6YYD9IY" TargetMode="External"/><Relationship Id="rId1170" Type="http://schemas.openxmlformats.org/officeDocument/2006/relationships/hyperlink" Target="https://drive.google.com/uc?export=download&amp;id=17GyfXQBAo_CWWQv0x7Hcc5vmpiIV25Ul" TargetMode="External"/><Relationship Id="rId108" Type="http://schemas.openxmlformats.org/officeDocument/2006/relationships/hyperlink" Target="https://drive.google.com/uc?export=download&amp;id=1NQwEAqtEudLCfnsnPQF4ENye-ytzap4H" TargetMode="External"/><Relationship Id="rId1171" Type="http://schemas.openxmlformats.org/officeDocument/2006/relationships/hyperlink" Target="https://drive.google.com/uc?export=download&amp;id=1tXsTTFxFvRFQ0GICgTo_k0MZOUnsOYL-" TargetMode="External"/><Relationship Id="rId583" Type="http://schemas.openxmlformats.org/officeDocument/2006/relationships/hyperlink" Target="https://drive.google.com/uc?export=download&amp;id=1gQ-91brhWHZ4av34gETrVKVJxJZXsigf" TargetMode="External"/><Relationship Id="rId1172" Type="http://schemas.openxmlformats.org/officeDocument/2006/relationships/hyperlink" Target="https://drive.google.com/uc?export=download&amp;id=17EtQNR06gMEW28AoKKHl_CwXHnIkBsKT" TargetMode="External"/><Relationship Id="rId582" Type="http://schemas.openxmlformats.org/officeDocument/2006/relationships/hyperlink" Target="https://drive.google.com/uc?export=download&amp;id=1eUBmhSuSc57B2vCfkbSkOQWnONLti9XD" TargetMode="External"/><Relationship Id="rId1173" Type="http://schemas.openxmlformats.org/officeDocument/2006/relationships/hyperlink" Target="https://drive.google.com/uc?export=download&amp;id=1t5NWsHxjLQBfBpWxOdUEoSShi8kAF-ZP" TargetMode="External"/><Relationship Id="rId581" Type="http://schemas.openxmlformats.org/officeDocument/2006/relationships/hyperlink" Target="https://drive.google.com/uc?export=download&amp;id=1jhnXSIG9Clt2unXsRn0p7PxTld6TepVI" TargetMode="External"/><Relationship Id="rId1174" Type="http://schemas.openxmlformats.org/officeDocument/2006/relationships/hyperlink" Target="https://drive.google.com/uc?export=download&amp;id=1otjivSScKEMtsv6ehatkc6-HJEdmvYMt" TargetMode="External"/><Relationship Id="rId580" Type="http://schemas.openxmlformats.org/officeDocument/2006/relationships/hyperlink" Target="https://drive.google.com/uc?export=download&amp;id=1f7O59XRsxDgb0Oq8eCKEjfDuV-Br6GMQ" TargetMode="External"/><Relationship Id="rId1175" Type="http://schemas.openxmlformats.org/officeDocument/2006/relationships/hyperlink" Target="https://drive.google.com/uc?export=download&amp;id=1XArCtoQCzotGQNCYJicPMQKehaOObzlA" TargetMode="External"/><Relationship Id="rId103" Type="http://schemas.openxmlformats.org/officeDocument/2006/relationships/hyperlink" Target="https://drive.google.com/uc?export=download&amp;id=1PdRuNRsTBFlUUXbyDh0u2FFOImguvPi3" TargetMode="External"/><Relationship Id="rId587" Type="http://schemas.openxmlformats.org/officeDocument/2006/relationships/hyperlink" Target="https://drive.google.com/uc?export=download&amp;id=1rluY5ffn2yt63mrRitU9bQG04OAfFD9k" TargetMode="External"/><Relationship Id="rId1176" Type="http://schemas.openxmlformats.org/officeDocument/2006/relationships/hyperlink" Target="https://drive.google.com/uc?export=download&amp;id=1GugHGZ1VsoNyHDDRICF-EY1DFINwREiD" TargetMode="External"/><Relationship Id="rId102" Type="http://schemas.openxmlformats.org/officeDocument/2006/relationships/hyperlink" Target="https://drive.google.com/uc?export=download&amp;id=1zHhgww5ill2ZFXDrBBpwfpsJSrx0M2AL" TargetMode="External"/><Relationship Id="rId586" Type="http://schemas.openxmlformats.org/officeDocument/2006/relationships/hyperlink" Target="https://drive.google.com/uc?export=download&amp;id=1myepji4ZQFX-t3UYAc3h3i9ZybzWpz3y" TargetMode="External"/><Relationship Id="rId1177" Type="http://schemas.openxmlformats.org/officeDocument/2006/relationships/hyperlink" Target="https://drive.google.com/uc?export=download&amp;id=1OB4Tx5XYGMXe_o3UnKiRhdMnUWcuhSq6" TargetMode="External"/><Relationship Id="rId101" Type="http://schemas.openxmlformats.org/officeDocument/2006/relationships/hyperlink" Target="https://drive.google.com/uc?export=download&amp;id=1h7U0aGNYUW08-WmoQe75X9rewgqYq8SR" TargetMode="External"/><Relationship Id="rId585" Type="http://schemas.openxmlformats.org/officeDocument/2006/relationships/hyperlink" Target="https://drive.google.com/uc?export=download&amp;id=1r_W-08UmlOJMVdC7TMSt-cnzvAOUl_6y" TargetMode="External"/><Relationship Id="rId1178" Type="http://schemas.openxmlformats.org/officeDocument/2006/relationships/hyperlink" Target="https://drive.google.com/uc?export=download&amp;id=1XEzIgZxMpndE88d9fG30_ycDhE3L9a_Q" TargetMode="External"/><Relationship Id="rId100" Type="http://schemas.openxmlformats.org/officeDocument/2006/relationships/hyperlink" Target="https://drive.google.com/uc?export=download&amp;id=1i-m0RFZfpVb5FprwL0p3VT8a36eA0ta2" TargetMode="External"/><Relationship Id="rId584" Type="http://schemas.openxmlformats.org/officeDocument/2006/relationships/hyperlink" Target="https://drive.google.com/uc?export=download&amp;id=1Ust-SzUIn0LHMosj0C_L9FldJ8hI_gWB" TargetMode="External"/><Relationship Id="rId1179" Type="http://schemas.openxmlformats.org/officeDocument/2006/relationships/hyperlink" Target="https://drive.google.com/uc?export=download&amp;id=1mDoiXWB4uUzVk77m1Y741lPcsCCqjH3-" TargetMode="External"/><Relationship Id="rId1169" Type="http://schemas.openxmlformats.org/officeDocument/2006/relationships/hyperlink" Target="https://drive.google.com/uc?export=download&amp;id=1HbKVAQEHxCIVZg7Fr0_nBk8avfIZhEzz" TargetMode="External"/><Relationship Id="rId579" Type="http://schemas.openxmlformats.org/officeDocument/2006/relationships/hyperlink" Target="https://drive.google.com/uc?export=download&amp;id=1MoirnAU9TWtAUKh5GRWwLV3F-cCdqS4E" TargetMode="External"/><Relationship Id="rId578" Type="http://schemas.openxmlformats.org/officeDocument/2006/relationships/hyperlink" Target="https://drive.google.com/uc?export=download&amp;id=1gyzMPDrORMCNREctENJBJafsGR3A756m" TargetMode="External"/><Relationship Id="rId577" Type="http://schemas.openxmlformats.org/officeDocument/2006/relationships/hyperlink" Target="https://drive.google.com/uc?export=download&amp;id=1GyQ1aCLzljnixa1JKn9hRS3k7WxVPQn3" TargetMode="External"/><Relationship Id="rId1160" Type="http://schemas.openxmlformats.org/officeDocument/2006/relationships/hyperlink" Target="https://drive.google.com/uc?export=download&amp;id=1lMl7o8kmqIBTbh-ZRB0AgbBM3SiXX7ZN" TargetMode="External"/><Relationship Id="rId572" Type="http://schemas.openxmlformats.org/officeDocument/2006/relationships/hyperlink" Target="https://drive.google.com/uc?export=download&amp;id=1eY-AGqfYsNbCvC_n1MCDXzv2rGg9PM9V" TargetMode="External"/><Relationship Id="rId1161" Type="http://schemas.openxmlformats.org/officeDocument/2006/relationships/hyperlink" Target="https://drive.google.com/uc?export=download&amp;id=14YEOgGifInSQiAM9BdSYdmAtfNLo4IIM" TargetMode="External"/><Relationship Id="rId571" Type="http://schemas.openxmlformats.org/officeDocument/2006/relationships/hyperlink" Target="https://drive.google.com/uc?export=download&amp;id=1XkbLeDQd9HMX3oovoDhJWrb1cOdUiogH" TargetMode="External"/><Relationship Id="rId1162" Type="http://schemas.openxmlformats.org/officeDocument/2006/relationships/hyperlink" Target="https://drive.google.com/uc?export=download&amp;id=1ZKchDOFfNgh4Ivtc2naq4FhHQ5yp2R1h" TargetMode="External"/><Relationship Id="rId570" Type="http://schemas.openxmlformats.org/officeDocument/2006/relationships/hyperlink" Target="https://drive.google.com/uc?export=download&amp;id=1cxSA5JF-z4NkdQBm7cW_A3QfLmMf_SlG" TargetMode="External"/><Relationship Id="rId1163" Type="http://schemas.openxmlformats.org/officeDocument/2006/relationships/hyperlink" Target="https://drive.google.com/uc?export=download&amp;id=1r-Toanu0Jq0q1xDIaySBfGQP3R23olZm" TargetMode="External"/><Relationship Id="rId1164" Type="http://schemas.openxmlformats.org/officeDocument/2006/relationships/hyperlink" Target="https://drive.google.com/uc?export=download&amp;id=1Rz20HpJ5oYF9L1VCzOLgUCyJeIN4Fayu" TargetMode="External"/><Relationship Id="rId576" Type="http://schemas.openxmlformats.org/officeDocument/2006/relationships/hyperlink" Target="https://drive.google.com/uc?export=download&amp;id=1Tmuufmi1lNrb55plbHdzQ-Bh1MzHTTZA" TargetMode="External"/><Relationship Id="rId1165" Type="http://schemas.openxmlformats.org/officeDocument/2006/relationships/hyperlink" Target="https://drive.google.com/uc?export=download&amp;id=1uRG-gnlqHyo_9CvOqJpKyQLu3znS4TPK" TargetMode="External"/><Relationship Id="rId575" Type="http://schemas.openxmlformats.org/officeDocument/2006/relationships/hyperlink" Target="https://drive.google.com/uc?export=download&amp;id=1-PvUZYYq_FqeGVMbCfpi1CqaNChpnEoW" TargetMode="External"/><Relationship Id="rId1166" Type="http://schemas.openxmlformats.org/officeDocument/2006/relationships/hyperlink" Target="https://drive.google.com/uc?export=download&amp;id=1g_AQZ5SCuwWmQw7rNUxvSKXFlibJ3_-U" TargetMode="External"/><Relationship Id="rId574" Type="http://schemas.openxmlformats.org/officeDocument/2006/relationships/hyperlink" Target="https://drive.google.com/uc?export=download&amp;id=1a1xlVlTA1UpICt7VgB1Eb8eCQ5J-cswg" TargetMode="External"/><Relationship Id="rId1167" Type="http://schemas.openxmlformats.org/officeDocument/2006/relationships/hyperlink" Target="https://drive.google.com/uc?export=download&amp;id=1MC1UTGPNWJ5ruAwEa8x0d91wnZZRAf2X" TargetMode="External"/><Relationship Id="rId573" Type="http://schemas.openxmlformats.org/officeDocument/2006/relationships/hyperlink" Target="https://drive.google.com/uc?export=download&amp;id=12t4VSx8qwIjVqpfUJ1dQj7zlc4YU3F70" TargetMode="External"/><Relationship Id="rId1168" Type="http://schemas.openxmlformats.org/officeDocument/2006/relationships/hyperlink" Target="https://drive.google.com/uc?export=download&amp;id=1hyCOYyBVNRQy5RfYFpnaczPCmYohxC3D" TargetMode="External"/><Relationship Id="rId129" Type="http://schemas.openxmlformats.org/officeDocument/2006/relationships/hyperlink" Target="https://drive.google.com/uc?export=download&amp;id=12_D8YerQ9a_0GCuJljwSYFa2UcRxNsQ4" TargetMode="External"/><Relationship Id="rId128" Type="http://schemas.openxmlformats.org/officeDocument/2006/relationships/hyperlink" Target="https://drive.google.com/uc?export=download&amp;id=1bsHo3xO4hoB_82mIxOGWk_B09APKtEJG" TargetMode="External"/><Relationship Id="rId127" Type="http://schemas.openxmlformats.org/officeDocument/2006/relationships/hyperlink" Target="https://drive.google.com/uc?export=download&amp;id=1mDWpunngJVcldfTrtPt8SrqiQT68-2mc" TargetMode="External"/><Relationship Id="rId126" Type="http://schemas.openxmlformats.org/officeDocument/2006/relationships/hyperlink" Target="https://drive.google.com/uc?export=download&amp;id=1aV0w6Sp7aKsaQ5W7x2vkWYGkJ9jg0oOQ" TargetMode="External"/><Relationship Id="rId1190" Type="http://schemas.openxmlformats.org/officeDocument/2006/relationships/hyperlink" Target="https://drive.google.com/uc?export=download&amp;id=1J_eBIS5_VI72DlaRmiYEIPWjsA9adyNb" TargetMode="External"/><Relationship Id="rId1191" Type="http://schemas.openxmlformats.org/officeDocument/2006/relationships/hyperlink" Target="https://drive.google.com/uc?export=download&amp;id=1q0abl-X0rteu2SL8LRZxIOTySCuLdkwz" TargetMode="External"/><Relationship Id="rId1192" Type="http://schemas.openxmlformats.org/officeDocument/2006/relationships/hyperlink" Target="https://drive.google.com/uc?export=download&amp;id=1PN5VlCA99xHHArie8WwujFRAgWsnbP13" TargetMode="External"/><Relationship Id="rId1193" Type="http://schemas.openxmlformats.org/officeDocument/2006/relationships/hyperlink" Target="https://drive.google.com/uc?export=download&amp;id=1o9lQkw-OvhvZImKMUXhxNKy_0_ZgJ_Rd" TargetMode="External"/><Relationship Id="rId121" Type="http://schemas.openxmlformats.org/officeDocument/2006/relationships/hyperlink" Target="https://drive.google.com/uc?export=download&amp;id=19aWAbNsQIO9gm_eLDBBducYIGHczwbt-" TargetMode="External"/><Relationship Id="rId1194" Type="http://schemas.openxmlformats.org/officeDocument/2006/relationships/hyperlink" Target="https://drive.google.com/uc?export=download&amp;id=18tzJr4lF7xJ9vfEBRGMA3NpTJzElbna5" TargetMode="External"/><Relationship Id="rId120" Type="http://schemas.openxmlformats.org/officeDocument/2006/relationships/hyperlink" Target="https://drive.google.com/uc?export=download&amp;id=1ccn-2UDhTrag87eD9xE8z0G8hik4MGmz" TargetMode="External"/><Relationship Id="rId1195" Type="http://schemas.openxmlformats.org/officeDocument/2006/relationships/hyperlink" Target="https://drive.google.com/uc?export=download&amp;id=19no0iuafsgCa20EUQCVlKGFrO6MfCVr8" TargetMode="External"/><Relationship Id="rId1196" Type="http://schemas.openxmlformats.org/officeDocument/2006/relationships/hyperlink" Target="https://drive.google.com/uc?export=download&amp;id=1-1MY2qDiu-YJiY2w4rSp0062vyvMV6TP" TargetMode="External"/><Relationship Id="rId1197" Type="http://schemas.openxmlformats.org/officeDocument/2006/relationships/hyperlink" Target="https://drive.google.com/uc?export=download&amp;id=1oE1EieMRH8c8H26SI0x1hIhZWFjmMdbz" TargetMode="External"/><Relationship Id="rId125" Type="http://schemas.openxmlformats.org/officeDocument/2006/relationships/hyperlink" Target="https://drive.google.com/uc?export=download&amp;id=1XObB9tF62AL6w7uXPIZCaSDrQb0kVeJw" TargetMode="External"/><Relationship Id="rId1198" Type="http://schemas.openxmlformats.org/officeDocument/2006/relationships/hyperlink" Target="https://drive.google.com/uc?export=download&amp;id=1TkGiX570EyT1IczGSoRTTbgzwr3jouxB" TargetMode="External"/><Relationship Id="rId124" Type="http://schemas.openxmlformats.org/officeDocument/2006/relationships/hyperlink" Target="https://drive.google.com/uc?export=download&amp;id=14sG444tGSUgQCYOfkAhopDJvwD9o230y" TargetMode="External"/><Relationship Id="rId1199" Type="http://schemas.openxmlformats.org/officeDocument/2006/relationships/hyperlink" Target="https://drive.google.com/uc?export=download&amp;id=1ywuSP6FwxLogqkNdqvAt4OJR1Y1cBkKX" TargetMode="External"/><Relationship Id="rId123" Type="http://schemas.openxmlformats.org/officeDocument/2006/relationships/hyperlink" Target="https://drive.google.com/uc?export=download&amp;id=1q5_9qPxo2xalpXLwX6GmtwrxVIN7-2si" TargetMode="External"/><Relationship Id="rId122" Type="http://schemas.openxmlformats.org/officeDocument/2006/relationships/hyperlink" Target="https://drive.google.com/uc?export=download&amp;id=1j5M-ww8YaZxouGHm3eLiAYhpqWqE0-DC" TargetMode="External"/><Relationship Id="rId118" Type="http://schemas.openxmlformats.org/officeDocument/2006/relationships/hyperlink" Target="https://drive.google.com/uc?export=download&amp;id=1hNdmjF-bK50M-QNwwxkwBOZYENxZQbv5" TargetMode="External"/><Relationship Id="rId117" Type="http://schemas.openxmlformats.org/officeDocument/2006/relationships/hyperlink" Target="https://drive.google.com/uc?export=download&amp;id=1CVZ5ivM2a_95PvEITgt1LuVGIVSYvm_M" TargetMode="External"/><Relationship Id="rId116" Type="http://schemas.openxmlformats.org/officeDocument/2006/relationships/hyperlink" Target="https://drive.google.com/uc?export=download&amp;id=17PSefGNerl68mlbqMpr5f_WfOsHW6Kbj" TargetMode="External"/><Relationship Id="rId115" Type="http://schemas.openxmlformats.org/officeDocument/2006/relationships/hyperlink" Target="https://drive.google.com/uc?export=download&amp;id=1v3c-cs3MWrDTlAcx5cslhYth9Mr0h8IS" TargetMode="External"/><Relationship Id="rId599" Type="http://schemas.openxmlformats.org/officeDocument/2006/relationships/hyperlink" Target="https://drive.google.com/uc?export=download&amp;id=1TkUOwZClXspdz41eT67I_gOT9ziMDRCm" TargetMode="External"/><Relationship Id="rId1180" Type="http://schemas.openxmlformats.org/officeDocument/2006/relationships/hyperlink" Target="https://drive.google.com/uc?export=download&amp;id=1-PI2CBPKYMIwuWnNQWYCWrrvmRGMsN8R" TargetMode="External"/><Relationship Id="rId1181" Type="http://schemas.openxmlformats.org/officeDocument/2006/relationships/hyperlink" Target="https://drive.google.com/uc?export=download&amp;id=1pTxFbdq32kekgmjMo1cZm-goHeMm3SiD" TargetMode="External"/><Relationship Id="rId119" Type="http://schemas.openxmlformats.org/officeDocument/2006/relationships/hyperlink" Target="https://drive.google.com/uc?export=download&amp;id=1Q52VUF__DP-woE0rNwvyCmuVM6yr0AUA" TargetMode="External"/><Relationship Id="rId1182" Type="http://schemas.openxmlformats.org/officeDocument/2006/relationships/hyperlink" Target="https://drive.google.com/uc?export=download&amp;id=1pLDm6lnodh0evHGXyeJL8w_odsrpzTyu" TargetMode="External"/><Relationship Id="rId110" Type="http://schemas.openxmlformats.org/officeDocument/2006/relationships/hyperlink" Target="https://drive.google.com/uc?export=download&amp;id=1aML4vVMAJa7q_4xZoYzEqX1UN1Jqjhd8" TargetMode="External"/><Relationship Id="rId594" Type="http://schemas.openxmlformats.org/officeDocument/2006/relationships/hyperlink" Target="https://drive.google.com/uc?export=download&amp;id=1moau4zF6KaKoPKjaidv7Tz3_NfdI6oEg" TargetMode="External"/><Relationship Id="rId1183" Type="http://schemas.openxmlformats.org/officeDocument/2006/relationships/hyperlink" Target="https://drive.google.com/uc?export=download&amp;id=1uhe8hFoQIi8PsY5NLBZVLCqDglYf3-Es" TargetMode="External"/><Relationship Id="rId593" Type="http://schemas.openxmlformats.org/officeDocument/2006/relationships/hyperlink" Target="https://drive.google.com/uc?export=download&amp;id=1wn22viWGQYlZ4FmqxNto273-XIQFcVKL" TargetMode="External"/><Relationship Id="rId1184" Type="http://schemas.openxmlformats.org/officeDocument/2006/relationships/hyperlink" Target="https://drive.google.com/uc?export=download&amp;id=1-kjogBS1kQVmtPI_ZEgBa7dGev5KSXnR" TargetMode="External"/><Relationship Id="rId592" Type="http://schemas.openxmlformats.org/officeDocument/2006/relationships/hyperlink" Target="https://drive.google.com/uc?export=download&amp;id=1e_ksYE7aSU5GxQTtwOCFV1e9ACrPQ05D" TargetMode="External"/><Relationship Id="rId1185" Type="http://schemas.openxmlformats.org/officeDocument/2006/relationships/hyperlink" Target="https://drive.google.com/uc?export=download&amp;id=1zZFBgxuUb69lPZVxmQlCwY8fnVgHouXg" TargetMode="External"/><Relationship Id="rId591" Type="http://schemas.openxmlformats.org/officeDocument/2006/relationships/hyperlink" Target="https://drive.google.com/uc?export=download&amp;id=1vf7KQa7nrZnjI7OpjvfZCTXhm0E1I9t_" TargetMode="External"/><Relationship Id="rId1186" Type="http://schemas.openxmlformats.org/officeDocument/2006/relationships/hyperlink" Target="https://drive.google.com/uc?export=download&amp;id=1MLx6H3w47I7vcfldNvqB-XZcnG7iZAjp" TargetMode="External"/><Relationship Id="rId114" Type="http://schemas.openxmlformats.org/officeDocument/2006/relationships/hyperlink" Target="https://drive.google.com/uc?export=download&amp;id=1I6fVCrUUff9X0p8yaroyRHLPd10jhZD3" TargetMode="External"/><Relationship Id="rId598" Type="http://schemas.openxmlformats.org/officeDocument/2006/relationships/hyperlink" Target="https://drive.google.com/uc?export=download&amp;id=1Nb6zlhPvwKmrdFl9hz-TDKVb9hl7y3kr" TargetMode="External"/><Relationship Id="rId1187" Type="http://schemas.openxmlformats.org/officeDocument/2006/relationships/hyperlink" Target="https://drive.google.com/uc?export=download&amp;id=1bmNcDA1S6VSkBpRoQMG3LIZgjXVzB_2v" TargetMode="External"/><Relationship Id="rId113" Type="http://schemas.openxmlformats.org/officeDocument/2006/relationships/hyperlink" Target="https://drive.google.com/uc?export=download&amp;id=1wM9vmTBdM69bEXo4Q85_SOslO_pssyQK" TargetMode="External"/><Relationship Id="rId597" Type="http://schemas.openxmlformats.org/officeDocument/2006/relationships/hyperlink" Target="https://drive.google.com/uc?export=download&amp;id=1d9uAPGKZu2lecY4wOecDTSKnAd4thE07" TargetMode="External"/><Relationship Id="rId1188" Type="http://schemas.openxmlformats.org/officeDocument/2006/relationships/hyperlink" Target="https://drive.google.com/uc?export=download&amp;id=1wlcWypQ3zwP2DIZJKVtssRhMkssIjUMX" TargetMode="External"/><Relationship Id="rId112" Type="http://schemas.openxmlformats.org/officeDocument/2006/relationships/hyperlink" Target="https://drive.google.com/uc?export=download&amp;id=1nIgpyC6b-U9wqp_WkSi9GFZdzaROlmOb" TargetMode="External"/><Relationship Id="rId596" Type="http://schemas.openxmlformats.org/officeDocument/2006/relationships/hyperlink" Target="https://drive.google.com/uc?export=download&amp;id=1GTS9QGsG1AnE0Khh40MazgJ9y9dvwJR2" TargetMode="External"/><Relationship Id="rId1189" Type="http://schemas.openxmlformats.org/officeDocument/2006/relationships/hyperlink" Target="https://drive.google.com/uc?export=download&amp;id=1mwrAA76wJk_JlUuzmsi1PZLQqMVbY82L" TargetMode="External"/><Relationship Id="rId111" Type="http://schemas.openxmlformats.org/officeDocument/2006/relationships/hyperlink" Target="https://drive.google.com/uc?export=download&amp;id=1ue301ylgr8KxSwd8c7-NH5imCcQQ3kc8" TargetMode="External"/><Relationship Id="rId595" Type="http://schemas.openxmlformats.org/officeDocument/2006/relationships/hyperlink" Target="https://drive.google.com/uc?export=download&amp;id=1Z0Y08x6H9Uc7LV37bDp-8o-guvhwYP-3" TargetMode="External"/><Relationship Id="rId1136" Type="http://schemas.openxmlformats.org/officeDocument/2006/relationships/hyperlink" Target="https://drive.google.com/uc?export=download&amp;id=1n9y2v31WEIIcnCXTbHMkDP_qufiyyOzV" TargetMode="External"/><Relationship Id="rId1137" Type="http://schemas.openxmlformats.org/officeDocument/2006/relationships/hyperlink" Target="https://drive.google.com/uc?export=download&amp;id=1BKfF-PxXzPBVrU4-ViZpnDV2W7YlJrih" TargetMode="External"/><Relationship Id="rId1138" Type="http://schemas.openxmlformats.org/officeDocument/2006/relationships/hyperlink" Target="https://drive.google.com/uc?export=download&amp;id=1zCAgMKy-aL3bTiAMb5hqNCdPjiRgTz7b" TargetMode="External"/><Relationship Id="rId1139" Type="http://schemas.openxmlformats.org/officeDocument/2006/relationships/hyperlink" Target="https://drive.google.com/uc?export=download&amp;id=10_Q9Yiy8oCuEoN-gOD5a3BPvKVOI2BC7" TargetMode="External"/><Relationship Id="rId547" Type="http://schemas.openxmlformats.org/officeDocument/2006/relationships/hyperlink" Target="https://drive.google.com/uc?export=download&amp;id=1q-8kJ_o-7oy6WgFAl4jnw-GvmzTz6s-S" TargetMode="External"/><Relationship Id="rId546" Type="http://schemas.openxmlformats.org/officeDocument/2006/relationships/hyperlink" Target="https://drive.google.com/uc?export=download&amp;id=1QZyeuGJG3aTedZXVVoh5YW9HwCFEscOr" TargetMode="External"/><Relationship Id="rId545" Type="http://schemas.openxmlformats.org/officeDocument/2006/relationships/hyperlink" Target="https://drive.google.com/uc?export=download&amp;id=1pIh97706b6EeVDhTbLkQbcWIFqwBEuII" TargetMode="External"/><Relationship Id="rId544" Type="http://schemas.openxmlformats.org/officeDocument/2006/relationships/hyperlink" Target="https://drive.google.com/uc?export=download&amp;id=1fPKNUB7eDNJxUl9UcuqB6njFe9h7dvxa" TargetMode="External"/><Relationship Id="rId549" Type="http://schemas.openxmlformats.org/officeDocument/2006/relationships/hyperlink" Target="https://drive.google.com/uc?export=download&amp;id=1UC2N3f1E9A0fMT8fUTXuNRQuEvk9Ujf0" TargetMode="External"/><Relationship Id="rId548" Type="http://schemas.openxmlformats.org/officeDocument/2006/relationships/hyperlink" Target="https://drive.google.com/uc?export=download&amp;id=1lO5579CFkQZNqCv_F7tP5n3gGmQJXTQD" TargetMode="External"/><Relationship Id="rId1130" Type="http://schemas.openxmlformats.org/officeDocument/2006/relationships/hyperlink" Target="https://drive.google.com/uc?export=download&amp;id=16p782YB6KKt0_GiZNORfJvHfiecLHhAy" TargetMode="External"/><Relationship Id="rId1131" Type="http://schemas.openxmlformats.org/officeDocument/2006/relationships/hyperlink" Target="https://drive.google.com/uc?export=download&amp;id=10jUlBGYqBBJ9fNqAKaVekMXHlJBP5hzo" TargetMode="External"/><Relationship Id="rId543" Type="http://schemas.openxmlformats.org/officeDocument/2006/relationships/hyperlink" Target="https://drive.google.com/uc?export=download&amp;id=1jz8S-thry9yATXzBLKtPCDA-O9fp5Yh9" TargetMode="External"/><Relationship Id="rId1132" Type="http://schemas.openxmlformats.org/officeDocument/2006/relationships/hyperlink" Target="https://drive.google.com/uc?export=download&amp;id=1x5llhr6GObGsFhsRZ7FHTRUVgkwRaekP" TargetMode="External"/><Relationship Id="rId542" Type="http://schemas.openxmlformats.org/officeDocument/2006/relationships/hyperlink" Target="https://drive.google.com/uc?export=download&amp;id=1KgCDKTBlaRZRxUNEOUCCUQD46RKovqaQ" TargetMode="External"/><Relationship Id="rId1133" Type="http://schemas.openxmlformats.org/officeDocument/2006/relationships/hyperlink" Target="https://drive.google.com/uc?export=download&amp;id=1RJ75A5A43h90VuRdYYaOl_QNEG0BlQse" TargetMode="External"/><Relationship Id="rId541" Type="http://schemas.openxmlformats.org/officeDocument/2006/relationships/hyperlink" Target="https://drive.google.com/uc?export=download&amp;id=1feC770eRXEKv7jTeW0rjFv8P5kZ31YQG" TargetMode="External"/><Relationship Id="rId1134" Type="http://schemas.openxmlformats.org/officeDocument/2006/relationships/hyperlink" Target="https://drive.google.com/uc?export=download&amp;id=1ZF0Xz-LkDPqABZyCiTnqiHkaF2r0oIZ2" TargetMode="External"/><Relationship Id="rId540" Type="http://schemas.openxmlformats.org/officeDocument/2006/relationships/hyperlink" Target="https://drive.google.com/uc?export=download&amp;id=1YDuX3pFoYgyXFnb6GDKNOkjfvlI4v-L5" TargetMode="External"/><Relationship Id="rId1135" Type="http://schemas.openxmlformats.org/officeDocument/2006/relationships/hyperlink" Target="https://drive.google.com/uc?export=download&amp;id=1Uo0F_8pz-b9Y5WjDhYCuaovfG-VhK77V" TargetMode="External"/><Relationship Id="rId1125" Type="http://schemas.openxmlformats.org/officeDocument/2006/relationships/hyperlink" Target="https://drive.google.com/uc?export=download&amp;id=1uaTph2yD_n8o93qkGOtXdoNkkC6Z5jiG" TargetMode="External"/><Relationship Id="rId1126" Type="http://schemas.openxmlformats.org/officeDocument/2006/relationships/hyperlink" Target="https://drive.google.com/uc?export=download&amp;id=15TY9kEvQiHg8cha4F7tGI91EBq6qtJeA" TargetMode="External"/><Relationship Id="rId1127" Type="http://schemas.openxmlformats.org/officeDocument/2006/relationships/hyperlink" Target="https://drive.google.com/uc?export=download&amp;id=10tUMsDkt-XH1OZgrBC_ICUe6GL2ODkze" TargetMode="External"/><Relationship Id="rId1128" Type="http://schemas.openxmlformats.org/officeDocument/2006/relationships/hyperlink" Target="https://drive.google.com/uc?export=download&amp;id=1QbvVm3Zt-lWnJLMROGgmIJvIcoqDbu2n" TargetMode="External"/><Relationship Id="rId1129" Type="http://schemas.openxmlformats.org/officeDocument/2006/relationships/hyperlink" Target="https://drive.google.com/uc?export=download&amp;id=1CxmWISARgojPyNUC2cVZxBVDubR1kSSD" TargetMode="External"/><Relationship Id="rId536" Type="http://schemas.openxmlformats.org/officeDocument/2006/relationships/hyperlink" Target="https://drive.google.com/uc?export=download&amp;id=1ZN86qPn1Q0U3eEs_1LItBn0iWbGkixBA" TargetMode="External"/><Relationship Id="rId535" Type="http://schemas.openxmlformats.org/officeDocument/2006/relationships/hyperlink" Target="https://drive.google.com/uc?export=download&amp;id=1EME7DU8o4cfv6uXdGTY1MXobHOMtWfCc" TargetMode="External"/><Relationship Id="rId534" Type="http://schemas.openxmlformats.org/officeDocument/2006/relationships/hyperlink" Target="https://drive.google.com/uc?export=download&amp;id=1FVnyXRrAbIv3gNmXUDdiXA2-ikvJvc7u" TargetMode="External"/><Relationship Id="rId533" Type="http://schemas.openxmlformats.org/officeDocument/2006/relationships/hyperlink" Target="https://drive.google.com/uc?export=download&amp;id=1ErvNTSW3n5A3YcqcjgxMiaMRPLpEKxCV" TargetMode="External"/><Relationship Id="rId539" Type="http://schemas.openxmlformats.org/officeDocument/2006/relationships/hyperlink" Target="https://drive.google.com/uc?export=download&amp;id=1AVeeKpeIsdN_wH3LogRx8w48x7PlhBgz" TargetMode="External"/><Relationship Id="rId538" Type="http://schemas.openxmlformats.org/officeDocument/2006/relationships/hyperlink" Target="https://drive.google.com/uc?export=download&amp;id=1ekcuaxnvJgTx4C6S8FNxe8fKfdPgSAtt" TargetMode="External"/><Relationship Id="rId537" Type="http://schemas.openxmlformats.org/officeDocument/2006/relationships/hyperlink" Target="https://drive.google.com/uc?export=download&amp;id=1kSxthAgR5J6_KCkx5TDdCO4aaRD9YJ4c" TargetMode="External"/><Relationship Id="rId1120" Type="http://schemas.openxmlformats.org/officeDocument/2006/relationships/hyperlink" Target="https://drive.google.com/uc?export=download&amp;id=1qsfepujY7bLRhMoK1COV-tsbLVrAVbxd" TargetMode="External"/><Relationship Id="rId532" Type="http://schemas.openxmlformats.org/officeDocument/2006/relationships/hyperlink" Target="https://drive.google.com/uc?export=download&amp;id=1lMd-HqX6KFrX3oKF3F4uBfCf-sQQE9m0" TargetMode="External"/><Relationship Id="rId1121" Type="http://schemas.openxmlformats.org/officeDocument/2006/relationships/hyperlink" Target="https://drive.google.com/uc?export=download&amp;id=1Fps4oZi2o723MoOx_TcCyLv2TXAb9owz" TargetMode="External"/><Relationship Id="rId531" Type="http://schemas.openxmlformats.org/officeDocument/2006/relationships/hyperlink" Target="https://drive.google.com/uc?export=download&amp;id=16k0a4FWn1fKyXUiYrJ_Q7oGmL5Unng3N" TargetMode="External"/><Relationship Id="rId1122" Type="http://schemas.openxmlformats.org/officeDocument/2006/relationships/hyperlink" Target="https://drive.google.com/uc?export=download&amp;id=1J2RUxME8OE4NL4CCIBDkSWqBB2oOOicH" TargetMode="External"/><Relationship Id="rId530" Type="http://schemas.openxmlformats.org/officeDocument/2006/relationships/hyperlink" Target="https://drive.google.com/uc?export=download&amp;id=1G5BXP0PlT2oLKc1V8xy1t_vpqe7RhOtu" TargetMode="External"/><Relationship Id="rId1123" Type="http://schemas.openxmlformats.org/officeDocument/2006/relationships/hyperlink" Target="https://drive.google.com/uc?export=download&amp;id=18fHHFa2sX8e_CW0CXxyoMWKjR-0MQCgm" TargetMode="External"/><Relationship Id="rId1124" Type="http://schemas.openxmlformats.org/officeDocument/2006/relationships/hyperlink" Target="https://drive.google.com/uc?export=download&amp;id=1dIZAwCsYmJWTCVEzl-sRGaze5v-eoakD" TargetMode="External"/><Relationship Id="rId1158" Type="http://schemas.openxmlformats.org/officeDocument/2006/relationships/hyperlink" Target="https://drive.google.com/uc?export=download&amp;id=1XvDqyLCIbMGddZwgRn3U7ZZptIu0V8Qw" TargetMode="External"/><Relationship Id="rId1159" Type="http://schemas.openxmlformats.org/officeDocument/2006/relationships/hyperlink" Target="https://drive.google.com/uc?export=download&amp;id=1zu1cIIqfdralHYRNl673JP8XH5eVYmEg" TargetMode="External"/><Relationship Id="rId569" Type="http://schemas.openxmlformats.org/officeDocument/2006/relationships/hyperlink" Target="https://drive.google.com/uc?export=download&amp;id=1u_E0pXa8vkMZ8KqIKKsGygkMojBQMuhk" TargetMode="External"/><Relationship Id="rId568" Type="http://schemas.openxmlformats.org/officeDocument/2006/relationships/hyperlink" Target="https://drive.google.com/uc?export=download&amp;id=15Gm-zWApPaXnBgNqCf7-D3zBi7QKTR4F" TargetMode="External"/><Relationship Id="rId567" Type="http://schemas.openxmlformats.org/officeDocument/2006/relationships/hyperlink" Target="https://drive.google.com/uc?export=download&amp;id=1fc-FvcY6ve08cZ1TTMYOrBAPMqKJN3H2" TargetMode="External"/><Relationship Id="rId566" Type="http://schemas.openxmlformats.org/officeDocument/2006/relationships/hyperlink" Target="https://drive.google.com/uc?export=download&amp;id=1YTc4fFcGiXzxHSlV_clWLDRHGQbG3FhS" TargetMode="External"/><Relationship Id="rId561" Type="http://schemas.openxmlformats.org/officeDocument/2006/relationships/hyperlink" Target="https://drive.google.com/uc?export=download&amp;id=1FpEboCAl1CVrV_0RL50rwcNjPv_WEtxt" TargetMode="External"/><Relationship Id="rId1150" Type="http://schemas.openxmlformats.org/officeDocument/2006/relationships/hyperlink" Target="https://drive.google.com/uc?export=download&amp;id=1B1aKwCOKITYB5eacHk5gZFg9d2_PLuoq" TargetMode="External"/><Relationship Id="rId560" Type="http://schemas.openxmlformats.org/officeDocument/2006/relationships/hyperlink" Target="https://drive.google.com/uc?export=download&amp;id=1U1z36MU6j_M3r_ohRQbIIEhYTjeSqPgl" TargetMode="External"/><Relationship Id="rId1151" Type="http://schemas.openxmlformats.org/officeDocument/2006/relationships/hyperlink" Target="https://drive.google.com/uc?export=download&amp;id=1ltI49C0KtaKhVKsJ6csARFzdjfdxZr44" TargetMode="External"/><Relationship Id="rId1152" Type="http://schemas.openxmlformats.org/officeDocument/2006/relationships/hyperlink" Target="https://drive.google.com/uc?export=download&amp;id=1PeBc42AJSiOu8GKhGIC95kPp8lU_aTPb" TargetMode="External"/><Relationship Id="rId1153" Type="http://schemas.openxmlformats.org/officeDocument/2006/relationships/hyperlink" Target="https://drive.google.com/uc?export=download&amp;id=1XlahEndAjZgzfjpa6YNOyc8F1YImUgez" TargetMode="External"/><Relationship Id="rId565" Type="http://schemas.openxmlformats.org/officeDocument/2006/relationships/hyperlink" Target="https://drive.google.com/uc?export=download&amp;id=1C6ct2daSiclRJJxUaPgFepgiRI0w9-c3" TargetMode="External"/><Relationship Id="rId1154" Type="http://schemas.openxmlformats.org/officeDocument/2006/relationships/hyperlink" Target="https://drive.google.com/uc?export=download&amp;id=1_fQbjVRtgaARsU0z0kjKf-Z3sAUbfx6v" TargetMode="External"/><Relationship Id="rId564" Type="http://schemas.openxmlformats.org/officeDocument/2006/relationships/hyperlink" Target="https://drive.google.com/uc?export=download&amp;id=1UVvs4GE-ClMnTVz7PPXDM8VpCQjEEh6a" TargetMode="External"/><Relationship Id="rId1155" Type="http://schemas.openxmlformats.org/officeDocument/2006/relationships/hyperlink" Target="https://drive.google.com/uc?export=download&amp;id=1Xt-xBb7jegVHVAVtUZ_BK4rpbG3QrX1r" TargetMode="External"/><Relationship Id="rId563" Type="http://schemas.openxmlformats.org/officeDocument/2006/relationships/hyperlink" Target="https://drive.google.com/uc?export=download&amp;id=1wKwDNJRjQ7UNMCYOxCFPiqlcIiZmWihU" TargetMode="External"/><Relationship Id="rId1156" Type="http://schemas.openxmlformats.org/officeDocument/2006/relationships/hyperlink" Target="https://drive.google.com/uc?export=download&amp;id=1JrrrDS5O1AyFDLRu4mVHuDp7HfoVQ22U" TargetMode="External"/><Relationship Id="rId562" Type="http://schemas.openxmlformats.org/officeDocument/2006/relationships/hyperlink" Target="https://drive.google.com/uc?export=download&amp;id=1HALnQW6rVe-QGJF56fRZgw6Agt0TTHwP" TargetMode="External"/><Relationship Id="rId1157" Type="http://schemas.openxmlformats.org/officeDocument/2006/relationships/hyperlink" Target="https://drive.google.com/uc?export=download&amp;id=1v-IPKMVwuhZYWhwxm7xD9nK5UB5VUlBJ" TargetMode="External"/><Relationship Id="rId1147" Type="http://schemas.openxmlformats.org/officeDocument/2006/relationships/hyperlink" Target="https://drive.google.com/uc?export=download&amp;id=1T2nSalTHI2wpZPMJv_9NySXNeyb9icvO" TargetMode="External"/><Relationship Id="rId1148" Type="http://schemas.openxmlformats.org/officeDocument/2006/relationships/hyperlink" Target="https://drive.google.com/uc?export=download&amp;id=1Q5vdRbFLX7_HLqFF3W-flHBN_a_RO1Xu" TargetMode="External"/><Relationship Id="rId1149" Type="http://schemas.openxmlformats.org/officeDocument/2006/relationships/hyperlink" Target="https://drive.google.com/uc?export=download&amp;id=1DPiPv8_e6s2XmVBHFGUE7WIixS42m2vF" TargetMode="External"/><Relationship Id="rId558" Type="http://schemas.openxmlformats.org/officeDocument/2006/relationships/hyperlink" Target="https://drive.google.com/uc?export=download&amp;id=1-97A0XhKQY6bQJNb16_kqzvoumduXOIc" TargetMode="External"/><Relationship Id="rId557" Type="http://schemas.openxmlformats.org/officeDocument/2006/relationships/hyperlink" Target="https://drive.google.com/uc?export=download&amp;id=1Cmeb6D2kyGq8dQYTs-8pW4EsC-eUrIdp" TargetMode="External"/><Relationship Id="rId556" Type="http://schemas.openxmlformats.org/officeDocument/2006/relationships/hyperlink" Target="https://drive.google.com/uc?export=download&amp;id=1Qb5wjFnRqT2WueWGuUE81xMlSnCkwKWE" TargetMode="External"/><Relationship Id="rId555" Type="http://schemas.openxmlformats.org/officeDocument/2006/relationships/hyperlink" Target="https://drive.google.com/uc?export=download&amp;id=1yMBf9xU9TlERlPPi0cYDTTwPkZRZQmBK" TargetMode="External"/><Relationship Id="rId559" Type="http://schemas.openxmlformats.org/officeDocument/2006/relationships/hyperlink" Target="https://drive.google.com/uc?export=download&amp;id=1TUiwNEDTHiTc09phL72fL_ZnR5dHRdKh" TargetMode="External"/><Relationship Id="rId550" Type="http://schemas.openxmlformats.org/officeDocument/2006/relationships/hyperlink" Target="https://drive.google.com/uc?export=download&amp;id=1QEyCMaTMnzFOo1YXf9GqcAfSrIcSY0FQ" TargetMode="External"/><Relationship Id="rId1140" Type="http://schemas.openxmlformats.org/officeDocument/2006/relationships/hyperlink" Target="https://drive.google.com/uc?export=download&amp;id=1rYby4HfsqzmhebQCojIiExdt5HJJDlAd" TargetMode="External"/><Relationship Id="rId1141" Type="http://schemas.openxmlformats.org/officeDocument/2006/relationships/hyperlink" Target="https://drive.google.com/uc?export=download&amp;id=1nMp8T1_aGdTEvGXnbI9ixHstRNtM4IGk" TargetMode="External"/><Relationship Id="rId1142" Type="http://schemas.openxmlformats.org/officeDocument/2006/relationships/hyperlink" Target="https://drive.google.com/uc?export=download&amp;id=1pHtJvv-UCYp1ElD84osLlXD2YdIswFzb" TargetMode="External"/><Relationship Id="rId554" Type="http://schemas.openxmlformats.org/officeDocument/2006/relationships/hyperlink" Target="https://drive.google.com/uc?export=download&amp;id=1ueVqcn2ecuCcMqdF36Luqq0wk5H_Zd-I" TargetMode="External"/><Relationship Id="rId1143" Type="http://schemas.openxmlformats.org/officeDocument/2006/relationships/hyperlink" Target="https://drive.google.com/uc?export=download&amp;id=1WBwwAZv7qZzhKpjGdfsU67oKhtOc4wkM" TargetMode="External"/><Relationship Id="rId553" Type="http://schemas.openxmlformats.org/officeDocument/2006/relationships/hyperlink" Target="https://drive.google.com/uc?export=download&amp;id=1X8JXS3c7h8jCOVxucmHrBnYJA8zQ-zBJ" TargetMode="External"/><Relationship Id="rId1144" Type="http://schemas.openxmlformats.org/officeDocument/2006/relationships/hyperlink" Target="https://drive.google.com/uc?export=download&amp;id=1VcSu4PU1kVgJZ8soOcrIijHe6Ysqgc60" TargetMode="External"/><Relationship Id="rId552" Type="http://schemas.openxmlformats.org/officeDocument/2006/relationships/hyperlink" Target="https://drive.google.com/uc?export=download&amp;id=1MV8sy-qHed1sJMBTXFXVxrPnibKXVjKO" TargetMode="External"/><Relationship Id="rId1145" Type="http://schemas.openxmlformats.org/officeDocument/2006/relationships/hyperlink" Target="https://drive.google.com/uc?export=download&amp;id=145wt8q8UmbG6HpmvgqtWa7MXbMgRTDW9" TargetMode="External"/><Relationship Id="rId551" Type="http://schemas.openxmlformats.org/officeDocument/2006/relationships/hyperlink" Target="https://drive.google.com/uc?export=download&amp;id=1Ig71sLcz28Jvx6WPbYsovKjs1miyK0-A" TargetMode="External"/><Relationship Id="rId1146" Type="http://schemas.openxmlformats.org/officeDocument/2006/relationships/hyperlink" Target="https://drive.google.com/uc?export=download&amp;id=1BGtewfcmuVS2t1SjujVdyqYUUfLoqzCg" TargetMode="External"/><Relationship Id="rId495" Type="http://schemas.openxmlformats.org/officeDocument/2006/relationships/hyperlink" Target="https://drive.google.com/uc?export=download&amp;id=1JUuDTI8dnrDhx9rmPkzm3GQ9BOLcCZXI" TargetMode="External"/><Relationship Id="rId494" Type="http://schemas.openxmlformats.org/officeDocument/2006/relationships/hyperlink" Target="https://drive.google.com/uc?export=download&amp;id=1lPJJ-SWb-ikN731o38tpsTn110lpGyG8" TargetMode="External"/><Relationship Id="rId493" Type="http://schemas.openxmlformats.org/officeDocument/2006/relationships/hyperlink" Target="https://drive.google.com/uc?export=download&amp;id=1elbITEd70EFVmrbIS5SfrILIVPnmsf9y" TargetMode="External"/><Relationship Id="rId492" Type="http://schemas.openxmlformats.org/officeDocument/2006/relationships/hyperlink" Target="https://drive.google.com/uc?export=download&amp;id=16IJ47arLHnSWZDOJ1ZxRURL_2uhsNJeF" TargetMode="External"/><Relationship Id="rId499" Type="http://schemas.openxmlformats.org/officeDocument/2006/relationships/hyperlink" Target="https://drive.google.com/uc?export=download&amp;id=1ebAuXm3RRjAdA-q0Il3u-gZDQ2BuehK5" TargetMode="External"/><Relationship Id="rId498" Type="http://schemas.openxmlformats.org/officeDocument/2006/relationships/hyperlink" Target="https://drive.google.com/uc?export=download&amp;id=11kih7G8gAHsr4yZnotMs5RyA7WGyytVT" TargetMode="External"/><Relationship Id="rId497" Type="http://schemas.openxmlformats.org/officeDocument/2006/relationships/hyperlink" Target="https://drive.google.com/uc?export=download&amp;id=1EFZA53_BQvdIEMiDWMD_mWVLNMZjVVL5" TargetMode="External"/><Relationship Id="rId496" Type="http://schemas.openxmlformats.org/officeDocument/2006/relationships/hyperlink" Target="https://drive.google.com/uc?export=download&amp;id=1TVTp2D_uZujKmaKaOc0cHc2QzT73eOl_" TargetMode="External"/><Relationship Id="rId1610" Type="http://schemas.openxmlformats.org/officeDocument/2006/relationships/hyperlink" Target="https://drive.google.com/uc?export=download&amp;id=1PJ4eydQofR8ElZkXlfsArXHbByh7jpUo" TargetMode="External"/><Relationship Id="rId1611" Type="http://schemas.openxmlformats.org/officeDocument/2006/relationships/hyperlink" Target="https://drive.google.com/uc?export=download&amp;id=1U3H4fuHOoNaKsWP-68LO0oSqdTrif3_b" TargetMode="External"/><Relationship Id="rId1612" Type="http://schemas.openxmlformats.org/officeDocument/2006/relationships/hyperlink" Target="https://drive.google.com/uc?export=download&amp;id=1Xi0zqMQLy5ztKfL6WteTcc0ISQ_2hAdz" TargetMode="External"/><Relationship Id="rId1613" Type="http://schemas.openxmlformats.org/officeDocument/2006/relationships/hyperlink" Target="https://drive.google.com/uc?export=download&amp;id=15K_tHbdp91tYVxiv9Qk4M6890Ir6605W" TargetMode="External"/><Relationship Id="rId1614" Type="http://schemas.openxmlformats.org/officeDocument/2006/relationships/hyperlink" Target="https://drive.google.com/uc?export=download&amp;id=13yV1U4pydPjdp1cNXT_PblGtf4nP54G2" TargetMode="External"/><Relationship Id="rId1615" Type="http://schemas.openxmlformats.org/officeDocument/2006/relationships/hyperlink" Target="https://drive.google.com/uc?export=download&amp;id=1-YnjNP-RJyW6TMGxlVEi3IQ3K_oxVD_p" TargetMode="External"/><Relationship Id="rId1616" Type="http://schemas.openxmlformats.org/officeDocument/2006/relationships/hyperlink" Target="https://drive.google.com/uc?export=download&amp;id=11tc9890_PSSC_upMnSMBKwQmfyMb6ukW" TargetMode="External"/><Relationship Id="rId907" Type="http://schemas.openxmlformats.org/officeDocument/2006/relationships/hyperlink" Target="https://drive.google.com/uc?export=download&amp;id=1qvFkdK9dsh-Q0y6QTCvq7e6izrKpSEiK" TargetMode="External"/><Relationship Id="rId1617" Type="http://schemas.openxmlformats.org/officeDocument/2006/relationships/hyperlink" Target="https://drive.google.com/uc?export=download&amp;id=1f-HDUn6PsRMdcpMzaBV0DNyLK9qsZSzR" TargetMode="External"/><Relationship Id="rId906" Type="http://schemas.openxmlformats.org/officeDocument/2006/relationships/hyperlink" Target="https://drive.google.com/uc?export=download&amp;id=1la02EpkxEB_-ooFwaAqr83HohePUEJlk" TargetMode="External"/><Relationship Id="rId1618" Type="http://schemas.openxmlformats.org/officeDocument/2006/relationships/hyperlink" Target="https://drive.google.com/uc?export=download&amp;id=1ZkYGZuyz2PgSF_30X1KZ7X1HYyutwQYM" TargetMode="External"/><Relationship Id="rId905" Type="http://schemas.openxmlformats.org/officeDocument/2006/relationships/hyperlink" Target="https://drive.google.com/uc?export=download&amp;id=1omCQiZo6gTijbCZ-sAv2lCLJOh_PPUPl" TargetMode="External"/><Relationship Id="rId1619" Type="http://schemas.openxmlformats.org/officeDocument/2006/relationships/hyperlink" Target="https://drive.google.com/uc?export=download&amp;id=1y45l4o8AULtqeF8-f7pz4tBPcfVFN7gl" TargetMode="External"/><Relationship Id="rId904" Type="http://schemas.openxmlformats.org/officeDocument/2006/relationships/hyperlink" Target="https://drive.google.com/uc?export=download&amp;id=1k8iJNGphpGzUxRv7XgLfeZDnNrfvGFme" TargetMode="External"/><Relationship Id="rId909" Type="http://schemas.openxmlformats.org/officeDocument/2006/relationships/hyperlink" Target="https://drive.google.com/uc?export=download&amp;id=1hkUNAvaiNUYjvOSu5usDzIdhwEtWUEJb" TargetMode="External"/><Relationship Id="rId908" Type="http://schemas.openxmlformats.org/officeDocument/2006/relationships/hyperlink" Target="https://drive.google.com/uc?export=download&amp;id=11ue-lYHJ8DiB6XzIvg4PiBharH9TNzmc" TargetMode="External"/><Relationship Id="rId903" Type="http://schemas.openxmlformats.org/officeDocument/2006/relationships/hyperlink" Target="https://drive.google.com/uc?export=download&amp;id=10iweJyVyAAUcZtb0rLGwBzxq-MjaaIfw" TargetMode="External"/><Relationship Id="rId902" Type="http://schemas.openxmlformats.org/officeDocument/2006/relationships/hyperlink" Target="https://drive.google.com/uc?export=download&amp;id=1eQ2JMLR_sFkoNe_76ib6MLRx7EmGeqY_" TargetMode="External"/><Relationship Id="rId901" Type="http://schemas.openxmlformats.org/officeDocument/2006/relationships/hyperlink" Target="https://drive.google.com/uc?export=download&amp;id=1RBv5wAz__D-OCBofWd4UWDM3ewnVn2WN" TargetMode="External"/><Relationship Id="rId900" Type="http://schemas.openxmlformats.org/officeDocument/2006/relationships/hyperlink" Target="https://drive.google.com/uc?export=download&amp;id=1E13ueNB_kbgWqQkdX2MnMH9Ae5KmHZwi" TargetMode="External"/><Relationship Id="rId1600" Type="http://schemas.openxmlformats.org/officeDocument/2006/relationships/hyperlink" Target="https://drive.google.com/uc?export=download&amp;id=1pTgwEP2XAuLc5FqRg7iu1zWZg-ic3pp6" TargetMode="External"/><Relationship Id="rId1601" Type="http://schemas.openxmlformats.org/officeDocument/2006/relationships/hyperlink" Target="https://drive.google.com/uc?export=download&amp;id=1vFGHZNgsH_-ENZG-gdAA6yeGTP-IP-L-" TargetMode="External"/><Relationship Id="rId1602" Type="http://schemas.openxmlformats.org/officeDocument/2006/relationships/hyperlink" Target="https://drive.google.com/uc?export=download&amp;id=1zojKDecrCLCT8kvF9Jkfo19_PFf7Kc4k" TargetMode="External"/><Relationship Id="rId1603" Type="http://schemas.openxmlformats.org/officeDocument/2006/relationships/hyperlink" Target="https://drive.google.com/uc?export=download&amp;id=1nvj0laK-T3KZTwHOopNmOIbJ-gJt14Lt" TargetMode="External"/><Relationship Id="rId1604" Type="http://schemas.openxmlformats.org/officeDocument/2006/relationships/hyperlink" Target="https://drive.google.com/uc?export=download&amp;id=1n_cYfLcEvyFUhSE-_FVK_hPKCSLPI5Cc" TargetMode="External"/><Relationship Id="rId1605" Type="http://schemas.openxmlformats.org/officeDocument/2006/relationships/hyperlink" Target="https://drive.google.com/uc?export=download&amp;id=1Ai6wZPSyDqackLx-tr8tU9bRW4J87rOP" TargetMode="External"/><Relationship Id="rId1606" Type="http://schemas.openxmlformats.org/officeDocument/2006/relationships/hyperlink" Target="https://drive.google.com/uc?export=download&amp;id=169byniFp_tXTn6xvlo-e_eSW7Ax_lcJn" TargetMode="External"/><Relationship Id="rId1607" Type="http://schemas.openxmlformats.org/officeDocument/2006/relationships/hyperlink" Target="https://drive.google.com/uc?export=download&amp;id=1PpVCjlxQRpjyZ8PPJMMOL1W7V_GsrMZM" TargetMode="External"/><Relationship Id="rId1608" Type="http://schemas.openxmlformats.org/officeDocument/2006/relationships/hyperlink" Target="https://drive.google.com/uc?export=download&amp;id=1eAJ4bd0fhUa4kwdgeUGur4AIByxiwvr1" TargetMode="External"/><Relationship Id="rId1609" Type="http://schemas.openxmlformats.org/officeDocument/2006/relationships/hyperlink" Target="https://drive.google.com/uc?export=download&amp;id=1J4pXYvq6xL7QLQDPwOSL5MfFFDmG6dJv" TargetMode="External"/><Relationship Id="rId1631" Type="http://schemas.openxmlformats.org/officeDocument/2006/relationships/hyperlink" Target="https://drive.google.com/uc?export=download&amp;id=1v5OAZzF_dne0fZMSk7W4dKiFE7ippgWf" TargetMode="External"/><Relationship Id="rId1632" Type="http://schemas.openxmlformats.org/officeDocument/2006/relationships/hyperlink" Target="https://drive.google.com/uc?export=download&amp;id=1CkuglcPT9LxPNUJ1e6zT0mRJEVkkvmTa" TargetMode="External"/><Relationship Id="rId1633" Type="http://schemas.openxmlformats.org/officeDocument/2006/relationships/hyperlink" Target="https://drive.google.com/uc?export=download&amp;id=1cEeLVqCBmn1jFqwp6Gjw6tvMwo3tTwM5" TargetMode="External"/><Relationship Id="rId1634" Type="http://schemas.openxmlformats.org/officeDocument/2006/relationships/hyperlink" Target="https://drive.google.com/uc?export=download&amp;id=1tFE6klnyjH3a3d0cYr9aKCilsU9Q_Ylb" TargetMode="External"/><Relationship Id="rId1635" Type="http://schemas.openxmlformats.org/officeDocument/2006/relationships/hyperlink" Target="https://drive.google.com/uc?export=download&amp;id=1KpAetQHe_OYOie2W_UloZGcUUFKMeY0o" TargetMode="External"/><Relationship Id="rId1636" Type="http://schemas.openxmlformats.org/officeDocument/2006/relationships/hyperlink" Target="https://drive.google.com/uc?export=download&amp;id=1TUaBPH-IquFhqBSJQIY2KiMXG4yjcvdf" TargetMode="External"/><Relationship Id="rId1637" Type="http://schemas.openxmlformats.org/officeDocument/2006/relationships/hyperlink" Target="https://drive.google.com/uc?export=download&amp;id=1s8U06l8Mq2aoiBNf-HMQxnZhh5aFCjir" TargetMode="External"/><Relationship Id="rId1638" Type="http://schemas.openxmlformats.org/officeDocument/2006/relationships/hyperlink" Target="https://drive.google.com/uc?export=download&amp;id=1KcGzBeOpbYLpdfPoeuHrdBbV-OiPceaT" TargetMode="External"/><Relationship Id="rId929" Type="http://schemas.openxmlformats.org/officeDocument/2006/relationships/hyperlink" Target="https://drive.google.com/uc?export=download&amp;id=130rejG3SMYnIZIpMWC7PLZD9APHc4hJo" TargetMode="External"/><Relationship Id="rId1639" Type="http://schemas.openxmlformats.org/officeDocument/2006/relationships/hyperlink" Target="https://drive.google.com/uc?export=download&amp;id=1AXnaK8BQ8yfg7SK17hN15wBhYLMIXJYN" TargetMode="External"/><Relationship Id="rId928" Type="http://schemas.openxmlformats.org/officeDocument/2006/relationships/hyperlink" Target="https://drive.google.com/uc?export=download&amp;id=1rMYaRuIdIw3S7j5C__wyVD1G08FSkWuZ" TargetMode="External"/><Relationship Id="rId927" Type="http://schemas.openxmlformats.org/officeDocument/2006/relationships/hyperlink" Target="https://drive.google.com/uc?export=download&amp;id=11-DCSKZaL2zDZABP1K07B5-tRMV0WsJg" TargetMode="External"/><Relationship Id="rId926" Type="http://schemas.openxmlformats.org/officeDocument/2006/relationships/hyperlink" Target="https://drive.google.com/uc?export=download&amp;id=1zzE6kJAnNexucf5yQCiv3X7hPssniUiy" TargetMode="External"/><Relationship Id="rId921" Type="http://schemas.openxmlformats.org/officeDocument/2006/relationships/hyperlink" Target="https://drive.google.com/uc?export=download&amp;id=1THanfs5m-NAnAcDBDGusmDcihW_MRPap" TargetMode="External"/><Relationship Id="rId920" Type="http://schemas.openxmlformats.org/officeDocument/2006/relationships/hyperlink" Target="https://drive.google.com/uc?export=download&amp;id=1Wa0yBKpigaSf82gUfqm6dMshpZ-vkN__" TargetMode="External"/><Relationship Id="rId925" Type="http://schemas.openxmlformats.org/officeDocument/2006/relationships/hyperlink" Target="https://drive.google.com/uc?export=download&amp;id=1LNma4q-64hzHJyBZZHngFumtyKdLGkB5" TargetMode="External"/><Relationship Id="rId924" Type="http://schemas.openxmlformats.org/officeDocument/2006/relationships/hyperlink" Target="https://drive.google.com/uc?export=download&amp;id=1I9D9ZDBBkHPbL-FSaGKlsQEQvEBWhUKU" TargetMode="External"/><Relationship Id="rId923" Type="http://schemas.openxmlformats.org/officeDocument/2006/relationships/hyperlink" Target="https://drive.google.com/uc?export=download&amp;id=1krc9ZnDrE38AUcyGS_Ga5XoOD3_ia4Fe" TargetMode="External"/><Relationship Id="rId922" Type="http://schemas.openxmlformats.org/officeDocument/2006/relationships/hyperlink" Target="https://drive.google.com/uc?export=download&amp;id=1lCLS2_SQm6pHTHvNOhwlDrBalIN6AzhU" TargetMode="External"/><Relationship Id="rId1630" Type="http://schemas.openxmlformats.org/officeDocument/2006/relationships/hyperlink" Target="https://drive.google.com/uc?export=download&amp;id=1OiXB4WqggrLCZjbjGX6js27PUmlvsEf7" TargetMode="External"/><Relationship Id="rId1620" Type="http://schemas.openxmlformats.org/officeDocument/2006/relationships/hyperlink" Target="https://drive.google.com/uc?export=download&amp;id=1YBpZg4vBFb7tNNgC9HJte0nMSkzP-ApP" TargetMode="External"/><Relationship Id="rId1621" Type="http://schemas.openxmlformats.org/officeDocument/2006/relationships/hyperlink" Target="https://drive.google.com/uc?export=download&amp;id=1t7GnW8qxsiVQEDOlcIov6RuCGLXQOFQa" TargetMode="External"/><Relationship Id="rId1622" Type="http://schemas.openxmlformats.org/officeDocument/2006/relationships/hyperlink" Target="https://drive.google.com/uc?export=download&amp;id=1s8q0_nCecvDiW5dOHTj_bn6X7ZqTB-A7" TargetMode="External"/><Relationship Id="rId1623" Type="http://schemas.openxmlformats.org/officeDocument/2006/relationships/hyperlink" Target="https://drive.google.com/uc?export=download&amp;id=1AaicB1KSR_beNgpNlgBMHFR4xiPrNW8g" TargetMode="External"/><Relationship Id="rId1624" Type="http://schemas.openxmlformats.org/officeDocument/2006/relationships/hyperlink" Target="https://drive.google.com/uc?export=download&amp;id=1GWtDFvRREpoeNioTudh49F5YGgub0Bom" TargetMode="External"/><Relationship Id="rId1625" Type="http://schemas.openxmlformats.org/officeDocument/2006/relationships/hyperlink" Target="https://drive.google.com/uc?export=download&amp;id=1qGU87sh_tFUXNG5-M7IUikX6fLRssr7v" TargetMode="External"/><Relationship Id="rId1626" Type="http://schemas.openxmlformats.org/officeDocument/2006/relationships/hyperlink" Target="https://drive.google.com/uc?export=download&amp;id=1y-5ytIBWuPq_l0WZ23ZtObKBHjNp1ZXD" TargetMode="External"/><Relationship Id="rId1627" Type="http://schemas.openxmlformats.org/officeDocument/2006/relationships/hyperlink" Target="https://drive.google.com/uc?export=download&amp;id=1rmIeFhdmL6d_x1XqpgJXDSJjjCfKXqtt" TargetMode="External"/><Relationship Id="rId918" Type="http://schemas.openxmlformats.org/officeDocument/2006/relationships/hyperlink" Target="https://drive.google.com/uc?export=download&amp;id=1Uw4M9W-K--_qcFrL4vH8wN-xI69-6DXx" TargetMode="External"/><Relationship Id="rId1628" Type="http://schemas.openxmlformats.org/officeDocument/2006/relationships/hyperlink" Target="https://drive.google.com/uc?export=download&amp;id=1gLfw1HQKFx4bl2N831nlHdSoglzXigBY" TargetMode="External"/><Relationship Id="rId917" Type="http://schemas.openxmlformats.org/officeDocument/2006/relationships/hyperlink" Target="https://drive.google.com/uc?export=download&amp;id=13NaUqWHQ--piN7ej8Ka-y1BKAC1MtiKt" TargetMode="External"/><Relationship Id="rId1629" Type="http://schemas.openxmlformats.org/officeDocument/2006/relationships/hyperlink" Target="https://drive.google.com/uc?export=download&amp;id=1u8L6ua7sH8B0ajXDwjK7xluZ0z_tkebb" TargetMode="External"/><Relationship Id="rId916" Type="http://schemas.openxmlformats.org/officeDocument/2006/relationships/hyperlink" Target="https://drive.google.com/uc?export=download&amp;id=1DEr1HsBDVw3n8VEPsPW13vVB9Z_QzHZq" TargetMode="External"/><Relationship Id="rId915" Type="http://schemas.openxmlformats.org/officeDocument/2006/relationships/hyperlink" Target="https://drive.google.com/uc?export=download&amp;id=1Ee9E-5D4iG-MOgn7DXkmXHfEMFu81K77" TargetMode="External"/><Relationship Id="rId919" Type="http://schemas.openxmlformats.org/officeDocument/2006/relationships/hyperlink" Target="https://drive.google.com/uc?export=download&amp;id=1p2UVKQsQfwydFPtGYH-h7JHmN4uKO_Rh" TargetMode="External"/><Relationship Id="rId910" Type="http://schemas.openxmlformats.org/officeDocument/2006/relationships/hyperlink" Target="https://drive.google.com/uc?export=download&amp;id=1Kel_gfl9b-XM2L6O2LBCNm2kZ80AOZaa" TargetMode="External"/><Relationship Id="rId914" Type="http://schemas.openxmlformats.org/officeDocument/2006/relationships/hyperlink" Target="https://drive.google.com/uc?export=download&amp;id=1pYBA41CQnRIhjGHVo6Jzcb5jiT6wFrq7" TargetMode="External"/><Relationship Id="rId913" Type="http://schemas.openxmlformats.org/officeDocument/2006/relationships/hyperlink" Target="https://drive.google.com/uc?export=download&amp;id=1GCeymqj3581vIjjAXFn9YlbK4y86jUgd" TargetMode="External"/><Relationship Id="rId912" Type="http://schemas.openxmlformats.org/officeDocument/2006/relationships/hyperlink" Target="https://drive.google.com/uc?export=download&amp;id=19KM5nVxC9GpuyNHxevKjVtVVyimQaAnt" TargetMode="External"/><Relationship Id="rId911" Type="http://schemas.openxmlformats.org/officeDocument/2006/relationships/hyperlink" Target="https://drive.google.com/uc?export=download&amp;id=1thnckqv7mPCgYq7M_JAbYnH1rbkJqm5i" TargetMode="External"/><Relationship Id="rId1213" Type="http://schemas.openxmlformats.org/officeDocument/2006/relationships/hyperlink" Target="https://drive.google.com/uc?export=download&amp;id=1MlTcMb1wRajk6yZj57UPiXVWZ58eHnKd" TargetMode="External"/><Relationship Id="rId1697" Type="http://schemas.openxmlformats.org/officeDocument/2006/relationships/hyperlink" Target="https://drive.google.com/uc?export=download&amp;id=1HeDL_fQO-QZBhkQ8EdfTZLBHIhlGnLFN" TargetMode="External"/><Relationship Id="rId1214" Type="http://schemas.openxmlformats.org/officeDocument/2006/relationships/hyperlink" Target="https://drive.google.com/uc?export=download&amp;id=19S2wWGVaLoX0nZutul68qr1peMz4tqkr" TargetMode="External"/><Relationship Id="rId1698" Type="http://schemas.openxmlformats.org/officeDocument/2006/relationships/hyperlink" Target="https://drive.google.com/uc?export=download&amp;id=1bJp3Kl6whwN9Y1Ti8n1ynGuNjUVMNgz5" TargetMode="External"/><Relationship Id="rId1215" Type="http://schemas.openxmlformats.org/officeDocument/2006/relationships/hyperlink" Target="https://drive.google.com/uc?export=download&amp;id=1wu7oZSkFdCctXGLeiCf0QpM_LobWZNNR" TargetMode="External"/><Relationship Id="rId1699" Type="http://schemas.openxmlformats.org/officeDocument/2006/relationships/hyperlink" Target="https://drive.google.com/uc?export=download&amp;id=1u6rqk83YIxnw6idIjKTttYgHgNFsnCuV" TargetMode="External"/><Relationship Id="rId1216" Type="http://schemas.openxmlformats.org/officeDocument/2006/relationships/hyperlink" Target="https://drive.google.com/uc?export=download&amp;id=10huWYIBBcuGZe8lVxQO6RAZa6v3BgK70" TargetMode="External"/><Relationship Id="rId1217" Type="http://schemas.openxmlformats.org/officeDocument/2006/relationships/hyperlink" Target="https://drive.google.com/uc?export=download&amp;id=1en_3h_e4Xr-X2Mrn3QUVoAN6wzvJvqbv" TargetMode="External"/><Relationship Id="rId1218" Type="http://schemas.openxmlformats.org/officeDocument/2006/relationships/hyperlink" Target="https://drive.google.com/uc?export=download&amp;id=1-0YgiMoE8tsK3hIbG4NCq3cCavTG4rCn" TargetMode="External"/><Relationship Id="rId1219" Type="http://schemas.openxmlformats.org/officeDocument/2006/relationships/hyperlink" Target="https://drive.google.com/uc?export=download&amp;id=1rs-4wqVhyx_ejKRSm5UBxhkIO99inUJd" TargetMode="External"/><Relationship Id="rId866" Type="http://schemas.openxmlformats.org/officeDocument/2006/relationships/hyperlink" Target="https://drive.google.com/uc?export=download&amp;id=11oEXHmVel0oXqvhle4nQPs3EtQrhMnv4" TargetMode="External"/><Relationship Id="rId865" Type="http://schemas.openxmlformats.org/officeDocument/2006/relationships/hyperlink" Target="https://drive.google.com/uc?export=download&amp;id=1r6KKShtvgVK-Sua7s8z_tgb1Ze03xnYJ" TargetMode="External"/><Relationship Id="rId864" Type="http://schemas.openxmlformats.org/officeDocument/2006/relationships/hyperlink" Target="https://drive.google.com/uc?export=download&amp;id=1MIDXyRNFSCQKiGHWtMS6-cHsJYg9Y-LP" TargetMode="External"/><Relationship Id="rId863" Type="http://schemas.openxmlformats.org/officeDocument/2006/relationships/hyperlink" Target="https://drive.google.com/uc?export=download&amp;id=1zCddxmmu7xhcVDvJWyDNEkeiCSxNHB8H" TargetMode="External"/><Relationship Id="rId869" Type="http://schemas.openxmlformats.org/officeDocument/2006/relationships/hyperlink" Target="https://drive.google.com/uc?export=download&amp;id=1YSKKHIzfqensoY7LQ4ZPi7xkCcnZkI6a" TargetMode="External"/><Relationship Id="rId868" Type="http://schemas.openxmlformats.org/officeDocument/2006/relationships/hyperlink" Target="https://drive.google.com/uc?export=download&amp;id=1YhE0c2d5KX7VUMN1xPf6JVOVOeVY5pK6" TargetMode="External"/><Relationship Id="rId867" Type="http://schemas.openxmlformats.org/officeDocument/2006/relationships/hyperlink" Target="https://drive.google.com/uc?export=download&amp;id=1xmmw41R0YHKj8WdjVwWQynf3R6Pjk-vo" TargetMode="External"/><Relationship Id="rId1690" Type="http://schemas.openxmlformats.org/officeDocument/2006/relationships/hyperlink" Target="https://drive.google.com/uc?export=download&amp;id=1SOm4RcmM58zSAIWmc72JB4Xo-vJmJ7lp" TargetMode="External"/><Relationship Id="rId1691" Type="http://schemas.openxmlformats.org/officeDocument/2006/relationships/hyperlink" Target="https://drive.google.com/uc?export=download&amp;id=1wHxhC0mpGwg6I2HoE6ZiYSfNg80aoVyc" TargetMode="External"/><Relationship Id="rId1692" Type="http://schemas.openxmlformats.org/officeDocument/2006/relationships/hyperlink" Target="https://drive.google.com/uc?export=download&amp;id=16zcLaSE-OlKWTynh0QqftEpSkhr5YoB0" TargetMode="External"/><Relationship Id="rId862" Type="http://schemas.openxmlformats.org/officeDocument/2006/relationships/hyperlink" Target="https://drive.google.com/uc?export=download&amp;id=13KInfYRTxe-Pb5rW_vprxS-vDn1BNQZl" TargetMode="External"/><Relationship Id="rId1693" Type="http://schemas.openxmlformats.org/officeDocument/2006/relationships/hyperlink" Target="https://drive.google.com/uc?export=download&amp;id=13YPljNEYZcmmFsbknoc7YSmPOTSlhZHY" TargetMode="External"/><Relationship Id="rId861" Type="http://schemas.openxmlformats.org/officeDocument/2006/relationships/hyperlink" Target="https://drive.google.com/uc?export=download&amp;id=1hGNhjp2iU5CjECkQzSpa6E_NPrF9flai" TargetMode="External"/><Relationship Id="rId1210" Type="http://schemas.openxmlformats.org/officeDocument/2006/relationships/hyperlink" Target="https://drive.google.com/uc?export=download&amp;id=1YQ7gxtAMUt5QUT2DJXLLnBO_n3iF3nls" TargetMode="External"/><Relationship Id="rId1694" Type="http://schemas.openxmlformats.org/officeDocument/2006/relationships/hyperlink" Target="https://drive.google.com/uc?export=download&amp;id=1C_HToVtENDXkD-pr7bezfEmvzyrnaURt" TargetMode="External"/><Relationship Id="rId860" Type="http://schemas.openxmlformats.org/officeDocument/2006/relationships/hyperlink" Target="https://drive.google.com/uc?export=download&amp;id=1WJKQTUMz4xyurfOKgPb0izd5f0HAbjAP" TargetMode="External"/><Relationship Id="rId1211" Type="http://schemas.openxmlformats.org/officeDocument/2006/relationships/hyperlink" Target="https://drive.google.com/uc?export=download&amp;id=1QjYLcBTMR_09ZmUeShT9B3gyJKEHKsuF" TargetMode="External"/><Relationship Id="rId1695" Type="http://schemas.openxmlformats.org/officeDocument/2006/relationships/hyperlink" Target="https://drive.google.com/uc?export=download&amp;id=1xHZikVDEGJeXZxty6E2PmLiENkmjgqOa" TargetMode="External"/><Relationship Id="rId1212" Type="http://schemas.openxmlformats.org/officeDocument/2006/relationships/hyperlink" Target="https://drive.google.com/uc?export=download&amp;id=1_hLcHYRjI7MEQyMZQ2nHKQ77NdCQkd_Q" TargetMode="External"/><Relationship Id="rId1696" Type="http://schemas.openxmlformats.org/officeDocument/2006/relationships/hyperlink" Target="https://drive.google.com/uc?export=download&amp;id=13cZ-WY18ko9PcFdapEteCriJIDOHathL" TargetMode="External"/><Relationship Id="rId1202" Type="http://schemas.openxmlformats.org/officeDocument/2006/relationships/hyperlink" Target="https://drive.google.com/uc?export=download&amp;id=1s4S83VtDHNtXC9AdrgejR2NX-5QbIrD4" TargetMode="External"/><Relationship Id="rId1686" Type="http://schemas.openxmlformats.org/officeDocument/2006/relationships/hyperlink" Target="https://drive.google.com/uc?export=download&amp;id=1L5_HVAW2lpZUGS0QCSgArfVNFXPQCTgz" TargetMode="External"/><Relationship Id="rId1203" Type="http://schemas.openxmlformats.org/officeDocument/2006/relationships/hyperlink" Target="https://drive.google.com/uc?export=download&amp;id=1ljS5ulriRhoOJZtbJlzA-D2JhUCPOphc" TargetMode="External"/><Relationship Id="rId1687" Type="http://schemas.openxmlformats.org/officeDocument/2006/relationships/hyperlink" Target="https://drive.google.com/uc?export=download&amp;id=1GKcSzHwrgzJ9iZHMZPLtJACJL99CK2g9" TargetMode="External"/><Relationship Id="rId1204" Type="http://schemas.openxmlformats.org/officeDocument/2006/relationships/hyperlink" Target="https://drive.google.com/uc?export=download&amp;id=1abhbJbmyIDQNQenNacWrOJYvGz5jzxWo" TargetMode="External"/><Relationship Id="rId1688" Type="http://schemas.openxmlformats.org/officeDocument/2006/relationships/hyperlink" Target="https://drive.google.com/uc?export=download&amp;id=1B7XmpGKhb_I_P7FOWhCBn3Jo92GbdnTu" TargetMode="External"/><Relationship Id="rId1205" Type="http://schemas.openxmlformats.org/officeDocument/2006/relationships/hyperlink" Target="https://drive.google.com/uc?export=download&amp;id=1_yr2WYofdXC7I0Y9es6WKD3Z8-BuJVOk" TargetMode="External"/><Relationship Id="rId1689" Type="http://schemas.openxmlformats.org/officeDocument/2006/relationships/hyperlink" Target="https://drive.google.com/uc?export=download&amp;id=1L_Vrbpn8qQCqcM40MNFlzSwboOpHD34k" TargetMode="External"/><Relationship Id="rId1206" Type="http://schemas.openxmlformats.org/officeDocument/2006/relationships/hyperlink" Target="https://drive.google.com/uc?export=download&amp;id=1oi6ptLNlpjP0tugk5Y00ZNeUXpsYmQtF" TargetMode="External"/><Relationship Id="rId1207" Type="http://schemas.openxmlformats.org/officeDocument/2006/relationships/hyperlink" Target="https://drive.google.com/uc?export=download&amp;id=1vuD4wH9OWMQ5mfYkgoEk99VUYRevf6WO" TargetMode="External"/><Relationship Id="rId1208" Type="http://schemas.openxmlformats.org/officeDocument/2006/relationships/hyperlink" Target="https://drive.google.com/uc?export=download&amp;id=10ttCM_sMlGRQkba6L-SQCRe227VAnCpv" TargetMode="External"/><Relationship Id="rId1209" Type="http://schemas.openxmlformats.org/officeDocument/2006/relationships/hyperlink" Target="https://drive.google.com/uc?export=download&amp;id=1CcvDXy-HidS0xf2VIWbHZ-9sibd9lGei" TargetMode="External"/><Relationship Id="rId855" Type="http://schemas.openxmlformats.org/officeDocument/2006/relationships/hyperlink" Target="https://drive.google.com/uc?export=download&amp;id=1IIQFUBcavnKDvrvC9VhsCrW80KuTl5Jl" TargetMode="External"/><Relationship Id="rId854" Type="http://schemas.openxmlformats.org/officeDocument/2006/relationships/hyperlink" Target="https://drive.google.com/uc?export=download&amp;id=1IBpe001HP__5L9OhxMWUYNVLPIfZTd9h" TargetMode="External"/><Relationship Id="rId853" Type="http://schemas.openxmlformats.org/officeDocument/2006/relationships/hyperlink" Target="https://drive.google.com/uc?export=download&amp;id=1aGBryJOCcMmsv4Prm6co7VId9mOn93iM" TargetMode="External"/><Relationship Id="rId852" Type="http://schemas.openxmlformats.org/officeDocument/2006/relationships/hyperlink" Target="https://drive.google.com/uc?export=download&amp;id=17HHIoXCtlwghwCPG2myn42Au1AXpLd5L" TargetMode="External"/><Relationship Id="rId859" Type="http://schemas.openxmlformats.org/officeDocument/2006/relationships/hyperlink" Target="https://drive.google.com/uc?export=download&amp;id=1qgJ-fP95_fbJo3UhEU7g1ujvq8tOvrYC" TargetMode="External"/><Relationship Id="rId858" Type="http://schemas.openxmlformats.org/officeDocument/2006/relationships/hyperlink" Target="https://drive.google.com/uc?export=download&amp;id=1Kj4W0IJoU-j7V4vPaOk74NTsWV2pkAkI" TargetMode="External"/><Relationship Id="rId857" Type="http://schemas.openxmlformats.org/officeDocument/2006/relationships/hyperlink" Target="https://drive.google.com/uc?export=download&amp;id=1KKflbuG3_rZKeyh4AhzMGdQ_6FKXnjcy" TargetMode="External"/><Relationship Id="rId856" Type="http://schemas.openxmlformats.org/officeDocument/2006/relationships/hyperlink" Target="https://drive.google.com/uc?export=download&amp;id=1AKiC81FPdj2WWsC5NTDdayD0oo4D6qqY" TargetMode="External"/><Relationship Id="rId1680" Type="http://schemas.openxmlformats.org/officeDocument/2006/relationships/hyperlink" Target="https://drive.google.com/uc?export=download&amp;id=1geh45O1J7t6nMvP5GR3143pW3-6H9T57" TargetMode="External"/><Relationship Id="rId1681" Type="http://schemas.openxmlformats.org/officeDocument/2006/relationships/hyperlink" Target="https://drive.google.com/uc?export=download&amp;id=1VgW5zr6L8y_4CPopNXSDOwh4LJ0Pu1jB" TargetMode="External"/><Relationship Id="rId851" Type="http://schemas.openxmlformats.org/officeDocument/2006/relationships/hyperlink" Target="https://drive.google.com/uc?export=download&amp;id=1tAOGwhi5SF_FDj1wYCkBS93KOqmtN0eL" TargetMode="External"/><Relationship Id="rId1682" Type="http://schemas.openxmlformats.org/officeDocument/2006/relationships/hyperlink" Target="https://drive.google.com/uc?export=download&amp;id=1SB7oAwzbBZvuvu5nV41gAAOZ6Vwgn4op" TargetMode="External"/><Relationship Id="rId850" Type="http://schemas.openxmlformats.org/officeDocument/2006/relationships/hyperlink" Target="https://drive.google.com/uc?export=download&amp;id=1Aj2r1v6p9QJ018XGUCTkbJKZ0Nj-yl5y" TargetMode="External"/><Relationship Id="rId1683" Type="http://schemas.openxmlformats.org/officeDocument/2006/relationships/hyperlink" Target="https://drive.google.com/uc?export=download&amp;id=1sfAFCEeQZ4j5WE9qcQd3W9_9flEK_7Qf" TargetMode="External"/><Relationship Id="rId1200" Type="http://schemas.openxmlformats.org/officeDocument/2006/relationships/hyperlink" Target="https://drive.google.com/uc?export=download&amp;id=1cK_ukNc85isWOmgzADj41Rk2AbXWKHjX" TargetMode="External"/><Relationship Id="rId1684" Type="http://schemas.openxmlformats.org/officeDocument/2006/relationships/hyperlink" Target="https://drive.google.com/uc?export=download&amp;id=10IW6FVieMFa2zHLN0Evokd2B9xgdqqMe" TargetMode="External"/><Relationship Id="rId1201" Type="http://schemas.openxmlformats.org/officeDocument/2006/relationships/hyperlink" Target="https://drive.google.com/uc?export=download&amp;id=17hNNCrs5tiuoAqLpiwbUWxvofjS_MXNz" TargetMode="External"/><Relationship Id="rId1685" Type="http://schemas.openxmlformats.org/officeDocument/2006/relationships/hyperlink" Target="https://drive.google.com/uc?export=download&amp;id=1sBjVGveJkgSdxBa-Y8lqWDYqgv0puakg" TargetMode="External"/><Relationship Id="rId1235" Type="http://schemas.openxmlformats.org/officeDocument/2006/relationships/hyperlink" Target="https://drive.google.com/uc?export=download&amp;id=1l7tz1RGHYJRUgu0Ukqtg3K9yRzlSE30n" TargetMode="External"/><Relationship Id="rId1236" Type="http://schemas.openxmlformats.org/officeDocument/2006/relationships/hyperlink" Target="https://drive.google.com/uc?export=download&amp;id=1cOQxMsKtFpFFAt4ywGvwvYh_qQPodxIB" TargetMode="External"/><Relationship Id="rId1237" Type="http://schemas.openxmlformats.org/officeDocument/2006/relationships/hyperlink" Target="https://drive.google.com/uc?export=download&amp;id=1vobul71Et3_pgQuf89ur8EQnUMsuBAhG" TargetMode="External"/><Relationship Id="rId1238" Type="http://schemas.openxmlformats.org/officeDocument/2006/relationships/hyperlink" Target="https://drive.google.com/uc?export=download&amp;id=1YDkrl-iYbkRHuvcmJ_Ykt6iE4qEbnR-5" TargetMode="External"/><Relationship Id="rId1239" Type="http://schemas.openxmlformats.org/officeDocument/2006/relationships/hyperlink" Target="https://drive.google.com/uc?export=download&amp;id=11W38nWZGfizcwhOIXvg0DekIFtP1ll1_" TargetMode="External"/><Relationship Id="rId409" Type="http://schemas.openxmlformats.org/officeDocument/2006/relationships/hyperlink" Target="https://drive.google.com/uc?export=download&amp;id=12U8qepIM0wvrq8OoarwCSQ9nDKGSuC1b" TargetMode="External"/><Relationship Id="rId404" Type="http://schemas.openxmlformats.org/officeDocument/2006/relationships/hyperlink" Target="https://drive.google.com/uc?export=download&amp;id=1gAe4F9lrJXZko-DGRjSoG_zBlv5KvzeT" TargetMode="External"/><Relationship Id="rId888" Type="http://schemas.openxmlformats.org/officeDocument/2006/relationships/hyperlink" Target="https://drive.google.com/uc?export=download&amp;id=12ECMsA9UPbp1-7zJX2hNiJ_cVX4-vLfN" TargetMode="External"/><Relationship Id="rId403" Type="http://schemas.openxmlformats.org/officeDocument/2006/relationships/hyperlink" Target="https://drive.google.com/uc?export=download&amp;id=1vKLTq1ksB90_UjpLkVPwhvDuGwH4OsmS" TargetMode="External"/><Relationship Id="rId887" Type="http://schemas.openxmlformats.org/officeDocument/2006/relationships/hyperlink" Target="https://drive.google.com/uc?export=download&amp;id=1e7x2mCE8hZ14SRwc95K4YMK1GsQvm_bc" TargetMode="External"/><Relationship Id="rId402" Type="http://schemas.openxmlformats.org/officeDocument/2006/relationships/hyperlink" Target="https://drive.google.com/uc?export=download&amp;id=1Bg7A6R31sgarF1_vXHf33ELDfltFs1PR" TargetMode="External"/><Relationship Id="rId886" Type="http://schemas.openxmlformats.org/officeDocument/2006/relationships/hyperlink" Target="https://drive.google.com/uc?export=download&amp;id=1EH-QtFuyNTtbm0APSd03FnpNJcBlppbJ" TargetMode="External"/><Relationship Id="rId401" Type="http://schemas.openxmlformats.org/officeDocument/2006/relationships/hyperlink" Target="https://drive.google.com/uc?export=download&amp;id=1wyPhRGcwuf4hqQmjxMDtOK6zABjgZuiH" TargetMode="External"/><Relationship Id="rId885" Type="http://schemas.openxmlformats.org/officeDocument/2006/relationships/hyperlink" Target="https://drive.google.com/uc?export=download&amp;id=1p6uRKPYQT-sIcWgn6gzpbd4RM6o72szn" TargetMode="External"/><Relationship Id="rId408" Type="http://schemas.openxmlformats.org/officeDocument/2006/relationships/hyperlink" Target="https://drive.google.com/uc?export=download&amp;id=19xfdjzWB_cH4yzFGqxNNPiaYEGY-O5Q_" TargetMode="External"/><Relationship Id="rId407" Type="http://schemas.openxmlformats.org/officeDocument/2006/relationships/hyperlink" Target="https://drive.google.com/uc?export=download&amp;id=1-V5zaWSF5tBfwJZSF9txDL-c75v9dO4w" TargetMode="External"/><Relationship Id="rId406" Type="http://schemas.openxmlformats.org/officeDocument/2006/relationships/hyperlink" Target="https://drive.google.com/uc?export=download&amp;id=1nHDSnzdrKhbvJBg-F0Oi4YRQpwH3isvC" TargetMode="External"/><Relationship Id="rId405" Type="http://schemas.openxmlformats.org/officeDocument/2006/relationships/hyperlink" Target="https://drive.google.com/uc?export=download&amp;id=1zBEBwiwuk1kQUuWdr9I1Rx0_GU9unqo4" TargetMode="External"/><Relationship Id="rId889" Type="http://schemas.openxmlformats.org/officeDocument/2006/relationships/hyperlink" Target="https://drive.google.com/uc?export=download&amp;id=1b2wS1mJyMoF8ebQsybn3zXb4WfI6W8kr" TargetMode="External"/><Relationship Id="rId880" Type="http://schemas.openxmlformats.org/officeDocument/2006/relationships/hyperlink" Target="https://drive.google.com/uc?export=download&amp;id=1XNxEt7kNu6M94bEHw8u7hIQVjhLh4yG1" TargetMode="External"/><Relationship Id="rId1230" Type="http://schemas.openxmlformats.org/officeDocument/2006/relationships/hyperlink" Target="https://drive.google.com/uc?export=download&amp;id=1MhkkG-fZrMbbvXp74lBsz2zmbaROL0i9" TargetMode="External"/><Relationship Id="rId400" Type="http://schemas.openxmlformats.org/officeDocument/2006/relationships/hyperlink" Target="https://drive.google.com/uc?export=download&amp;id=1ykaUtzSDy5rZpKuiapJYNgQZoSO-B433" TargetMode="External"/><Relationship Id="rId884" Type="http://schemas.openxmlformats.org/officeDocument/2006/relationships/hyperlink" Target="https://drive.google.com/uc?export=download&amp;id=1uX4XkEmOtvOpiBadYAfN-Qz71rAG5CRf" TargetMode="External"/><Relationship Id="rId1231" Type="http://schemas.openxmlformats.org/officeDocument/2006/relationships/hyperlink" Target="https://drive.google.com/uc?export=download&amp;id=1hJCxN5FCG5YsferBcDD-Sdw0zrzAIB0K" TargetMode="External"/><Relationship Id="rId883" Type="http://schemas.openxmlformats.org/officeDocument/2006/relationships/hyperlink" Target="https://drive.google.com/uc?export=download&amp;id=1upH6VtuCMuH8BG-KOHZMlGPhJGSvE0XY" TargetMode="External"/><Relationship Id="rId1232" Type="http://schemas.openxmlformats.org/officeDocument/2006/relationships/hyperlink" Target="https://drive.google.com/uc?export=download&amp;id=1QoMQtNyfxi37Q0rLfB88EYKPck9j1uCX" TargetMode="External"/><Relationship Id="rId882" Type="http://schemas.openxmlformats.org/officeDocument/2006/relationships/hyperlink" Target="https://drive.google.com/uc?export=download&amp;id=1iDfrU64RDftsUUD8M-4Vn0JDiND2jraK" TargetMode="External"/><Relationship Id="rId1233" Type="http://schemas.openxmlformats.org/officeDocument/2006/relationships/hyperlink" Target="https://drive.google.com/uc?export=download&amp;id=1owjpG--5iKfjw5lasUMIoKvCAn9X-BBd" TargetMode="External"/><Relationship Id="rId881" Type="http://schemas.openxmlformats.org/officeDocument/2006/relationships/hyperlink" Target="https://drive.google.com/uc?export=download&amp;id=1IVUbLXI6aClcBQXL_8hGUoEMWAfaBL3C" TargetMode="External"/><Relationship Id="rId1234" Type="http://schemas.openxmlformats.org/officeDocument/2006/relationships/hyperlink" Target="https://drive.google.com/uc?export=download&amp;id=1EUZUa51duvYUNSz0sXLkGe6y1Bwty_6m" TargetMode="External"/><Relationship Id="rId1224" Type="http://schemas.openxmlformats.org/officeDocument/2006/relationships/hyperlink" Target="https://drive.google.com/uc?export=download&amp;id=1MmJglg3aVpJlvGInenGIAeHlBmx5O_-9" TargetMode="External"/><Relationship Id="rId1225" Type="http://schemas.openxmlformats.org/officeDocument/2006/relationships/hyperlink" Target="https://drive.google.com/uc?export=download&amp;id=1PxY5hSbmLTbVR4IvFyyr1mc6ywif3JSc" TargetMode="External"/><Relationship Id="rId1226" Type="http://schemas.openxmlformats.org/officeDocument/2006/relationships/hyperlink" Target="https://drive.google.com/uc?export=download&amp;id=1IrOSkSbM3WQJ_7emMA4rrUAE5ptLF6iU" TargetMode="External"/><Relationship Id="rId1227" Type="http://schemas.openxmlformats.org/officeDocument/2006/relationships/hyperlink" Target="https://drive.google.com/uc?export=download&amp;id=18x4LYEZYkTLWSxhR9vADoaTZziWEeqCj" TargetMode="External"/><Relationship Id="rId1228" Type="http://schemas.openxmlformats.org/officeDocument/2006/relationships/hyperlink" Target="https://drive.google.com/uc?export=download&amp;id=1tVRl8IzpvcqAHhNZ_iGGJrzQKFA4VNw9" TargetMode="External"/><Relationship Id="rId1229" Type="http://schemas.openxmlformats.org/officeDocument/2006/relationships/hyperlink" Target="https://drive.google.com/uc?export=download&amp;id=1hs3fwreO1PVNC7mNL7CY4R93bVq5XqQZ" TargetMode="External"/><Relationship Id="rId877" Type="http://schemas.openxmlformats.org/officeDocument/2006/relationships/hyperlink" Target="https://drive.google.com/uc?export=download&amp;id=107BWmnFxxZmd5nth1DdqCjUGyIOMf6Pn" TargetMode="External"/><Relationship Id="rId876" Type="http://schemas.openxmlformats.org/officeDocument/2006/relationships/hyperlink" Target="https://drive.google.com/uc?export=download&amp;id=1POJonxtM0XeMQ-EPj7NSuA8hh-mcEIjC" TargetMode="External"/><Relationship Id="rId875" Type="http://schemas.openxmlformats.org/officeDocument/2006/relationships/hyperlink" Target="https://drive.google.com/uc?export=download&amp;id=1z7B6EtavWu_2ZmfFVp6FB2zXon_ihm_A" TargetMode="External"/><Relationship Id="rId874" Type="http://schemas.openxmlformats.org/officeDocument/2006/relationships/hyperlink" Target="https://drive.google.com/uc?export=download&amp;id=1TE2qaTRAoh-colGNheVxHZHPj4xXaA7v" TargetMode="External"/><Relationship Id="rId879" Type="http://schemas.openxmlformats.org/officeDocument/2006/relationships/hyperlink" Target="https://drive.google.com/uc?export=download&amp;id=1CoOdsGGZiaR0cbhA8CWTkHzWiqh8yWC8" TargetMode="External"/><Relationship Id="rId878" Type="http://schemas.openxmlformats.org/officeDocument/2006/relationships/hyperlink" Target="https://drive.google.com/uc?export=download&amp;id=1E28ojStJWq_bpS3inwZR03Mak0fJGjAv" TargetMode="External"/><Relationship Id="rId873" Type="http://schemas.openxmlformats.org/officeDocument/2006/relationships/hyperlink" Target="https://drive.google.com/uc?export=download&amp;id=1zy1cEWxx52CDqG60GrSOunJpxi4s8bE5" TargetMode="External"/><Relationship Id="rId1220" Type="http://schemas.openxmlformats.org/officeDocument/2006/relationships/hyperlink" Target="https://drive.google.com/uc?export=download&amp;id=1Sb4q2j08jWRfA311XcrY6-Apx25mBnB9" TargetMode="External"/><Relationship Id="rId872" Type="http://schemas.openxmlformats.org/officeDocument/2006/relationships/hyperlink" Target="https://drive.google.com/uc?export=download&amp;id=1_F9G9Y5hJ44HBxa9Ysf5G648YeOHwTj-" TargetMode="External"/><Relationship Id="rId1221" Type="http://schemas.openxmlformats.org/officeDocument/2006/relationships/hyperlink" Target="https://drive.google.com/uc?export=download&amp;id=1kdxxpDVNkHEMsG9Y9rORwRPUNj7M9-5P" TargetMode="External"/><Relationship Id="rId871" Type="http://schemas.openxmlformats.org/officeDocument/2006/relationships/hyperlink" Target="https://drive.google.com/uc?export=download&amp;id=1fzRplvRS3Xw-TC0lNlA-nTQy_xhjm0UO" TargetMode="External"/><Relationship Id="rId1222" Type="http://schemas.openxmlformats.org/officeDocument/2006/relationships/hyperlink" Target="https://drive.google.com/uc?export=download&amp;id=1xWvloRgPjqNQWxSCUA4gTnJlYaZIZyx_" TargetMode="External"/><Relationship Id="rId870" Type="http://schemas.openxmlformats.org/officeDocument/2006/relationships/hyperlink" Target="https://drive.google.com/uc?export=download&amp;id=1KoH4eONnHWvldVKtnJAg4W-EB9sPisC-" TargetMode="External"/><Relationship Id="rId1223" Type="http://schemas.openxmlformats.org/officeDocument/2006/relationships/hyperlink" Target="https://drive.google.com/uc?export=download&amp;id=1f9_PnEXhjhU_4DYhq6fOPTS1RZIsDS7C" TargetMode="External"/><Relationship Id="rId1653" Type="http://schemas.openxmlformats.org/officeDocument/2006/relationships/hyperlink" Target="https://drive.google.com/uc?export=download&amp;id=1Ly1VHBA3PHtmSSYxCoSEB8EH0rLavv_2" TargetMode="External"/><Relationship Id="rId1654" Type="http://schemas.openxmlformats.org/officeDocument/2006/relationships/hyperlink" Target="https://drive.google.com/uc?export=download&amp;id=1_ByU0VFye4lwnzDAgds3hvLUQ5jBRi_6" TargetMode="External"/><Relationship Id="rId1655" Type="http://schemas.openxmlformats.org/officeDocument/2006/relationships/hyperlink" Target="https://drive.google.com/uc?export=download&amp;id=1IuIuuPt8k2tlXuKGG3xD7FZ1u54HmqMm" TargetMode="External"/><Relationship Id="rId1656" Type="http://schemas.openxmlformats.org/officeDocument/2006/relationships/hyperlink" Target="https://drive.google.com/uc?export=download&amp;id=168RauzYdk_Gqx67BVSM99Racv3nSoMjG" TargetMode="External"/><Relationship Id="rId1657" Type="http://schemas.openxmlformats.org/officeDocument/2006/relationships/hyperlink" Target="https://drive.google.com/uc?export=download&amp;id=1fuXPIbpRjM5AEiYPhUAKjd8R04zBIdsH" TargetMode="External"/><Relationship Id="rId1658" Type="http://schemas.openxmlformats.org/officeDocument/2006/relationships/hyperlink" Target="https://drive.google.com/uc?export=download&amp;id=1t4GczfOwM6Ki8X4f5RlrPIezQS4izpBw" TargetMode="External"/><Relationship Id="rId1659" Type="http://schemas.openxmlformats.org/officeDocument/2006/relationships/hyperlink" Target="https://drive.google.com/uc?export=download&amp;id=1jd4XWoLEZ_giTHwuN_YmDg3Jgo53_pRr" TargetMode="External"/><Relationship Id="rId829" Type="http://schemas.openxmlformats.org/officeDocument/2006/relationships/hyperlink" Target="https://drive.google.com/uc?export=download&amp;id=1QTJzIGmL6gqZIFVRxhqnuVmbGYvzdQQ5" TargetMode="External"/><Relationship Id="rId828" Type="http://schemas.openxmlformats.org/officeDocument/2006/relationships/hyperlink" Target="https://drive.google.com/uc?export=download&amp;id=1iAPxzP3Q9qiggSoigrRBpCFIIJapLFYy" TargetMode="External"/><Relationship Id="rId827" Type="http://schemas.openxmlformats.org/officeDocument/2006/relationships/hyperlink" Target="https://drive.google.com/uc?export=download&amp;id=1x8xRGiexiK6h6LGZDVJhxWd7G8jtqHpN" TargetMode="External"/><Relationship Id="rId822" Type="http://schemas.openxmlformats.org/officeDocument/2006/relationships/hyperlink" Target="https://drive.google.com/uc?export=download&amp;id=1X8sTTc-tPAgEa9v88fN1wXmunwCnvtBO" TargetMode="External"/><Relationship Id="rId821" Type="http://schemas.openxmlformats.org/officeDocument/2006/relationships/hyperlink" Target="https://drive.google.com/uc?export=download&amp;id=13m9zStD0h27wTrTJGUk7Xyek5iVkUkjI" TargetMode="External"/><Relationship Id="rId820" Type="http://schemas.openxmlformats.org/officeDocument/2006/relationships/hyperlink" Target="https://drive.google.com/uc?export=download&amp;id=1rmvRbO3LNdzbNA-VdJZNchE1nt1FPE4T" TargetMode="External"/><Relationship Id="rId826" Type="http://schemas.openxmlformats.org/officeDocument/2006/relationships/hyperlink" Target="https://drive.google.com/uc?export=download&amp;id=13wFL3nGlUSQF2ne_C5PK9WwDUitP_znj" TargetMode="External"/><Relationship Id="rId825" Type="http://schemas.openxmlformats.org/officeDocument/2006/relationships/hyperlink" Target="https://drive.google.com/uc?export=download&amp;id=1qhMXOC8REfwzNny1oPXPPe4pklvnp67f" TargetMode="External"/><Relationship Id="rId824" Type="http://schemas.openxmlformats.org/officeDocument/2006/relationships/hyperlink" Target="https://drive.google.com/uc?export=download&amp;id=1PZv2Nxa1_th1yLLgi7D8cEvaKUB4TPEv" TargetMode="External"/><Relationship Id="rId823" Type="http://schemas.openxmlformats.org/officeDocument/2006/relationships/hyperlink" Target="https://drive.google.com/uc?export=download&amp;id=1fARmIjjJBUUT0-JVBLJOSXXu5YGYZAaJ" TargetMode="External"/><Relationship Id="rId1650" Type="http://schemas.openxmlformats.org/officeDocument/2006/relationships/hyperlink" Target="https://drive.google.com/uc?export=download&amp;id=14MFVKeX-onbixuzRb9X719Kjkp1dpaFV" TargetMode="External"/><Relationship Id="rId1651" Type="http://schemas.openxmlformats.org/officeDocument/2006/relationships/hyperlink" Target="https://drive.google.com/uc?export=download&amp;id=1WY9QYSNkTLn-jypQDjkOtTT03Yx9AGdL" TargetMode="External"/><Relationship Id="rId1652" Type="http://schemas.openxmlformats.org/officeDocument/2006/relationships/hyperlink" Target="https://drive.google.com/uc?export=download&amp;id=1bzp7tCyiFyfO_N0UG4O-4hTMFx8Of1uj" TargetMode="External"/><Relationship Id="rId1642" Type="http://schemas.openxmlformats.org/officeDocument/2006/relationships/hyperlink" Target="https://drive.google.com/uc?export=download&amp;id=1LStMqb8Spb085JQd6Y2XgWHQYE3Nd5QQ" TargetMode="External"/><Relationship Id="rId1643" Type="http://schemas.openxmlformats.org/officeDocument/2006/relationships/hyperlink" Target="https://drive.google.com/uc?export=download&amp;id=1DAZrhoH1bpF8szZWpIPe-crO7xLo5Pkt" TargetMode="External"/><Relationship Id="rId1644" Type="http://schemas.openxmlformats.org/officeDocument/2006/relationships/hyperlink" Target="https://drive.google.com/uc?export=download&amp;id=174tAQ4TZQDOhhJX_kNnWSVShbGev19bO" TargetMode="External"/><Relationship Id="rId1645" Type="http://schemas.openxmlformats.org/officeDocument/2006/relationships/hyperlink" Target="https://drive.google.com/uc?export=download&amp;id=1iRYlWb-xwDBv-rFo8-hO9w47ooOvj4lV" TargetMode="External"/><Relationship Id="rId1646" Type="http://schemas.openxmlformats.org/officeDocument/2006/relationships/hyperlink" Target="https://drive.google.com/uc?export=download&amp;id=1y5imDjlIrFMHh84d4uV5Bds09EVqFzpU" TargetMode="External"/><Relationship Id="rId1647" Type="http://schemas.openxmlformats.org/officeDocument/2006/relationships/hyperlink" Target="https://drive.google.com/uc?export=download&amp;id=1cLbg1dufVcri3ltHNVqy6IcTXa4qAyTy" TargetMode="External"/><Relationship Id="rId1648" Type="http://schemas.openxmlformats.org/officeDocument/2006/relationships/hyperlink" Target="https://drive.google.com/uc?export=download&amp;id=1OvE6M4O_tM1cKRo2pBvVPYRxP9GT3cxT" TargetMode="External"/><Relationship Id="rId1649" Type="http://schemas.openxmlformats.org/officeDocument/2006/relationships/hyperlink" Target="https://drive.google.com/uc?export=download&amp;id=1ZN49QSc1JhxFi0MJ_hVeguIHAkKx4kpt" TargetMode="External"/><Relationship Id="rId819" Type="http://schemas.openxmlformats.org/officeDocument/2006/relationships/hyperlink" Target="https://drive.google.com/uc?export=download&amp;id=10bldBvz_Kfw7hqS1IacAgVMxvnsJeK0_" TargetMode="External"/><Relationship Id="rId818" Type="http://schemas.openxmlformats.org/officeDocument/2006/relationships/hyperlink" Target="https://drive.google.com/uc?export=download&amp;id=1e3rv0NcTBOXohgdNYwdC-1NboRhy5UEH" TargetMode="External"/><Relationship Id="rId817" Type="http://schemas.openxmlformats.org/officeDocument/2006/relationships/hyperlink" Target="https://drive.google.com/uc?export=download&amp;id=1DZOjPT87YlLjWpSNifl-ovVA27b-mUbv" TargetMode="External"/><Relationship Id="rId816" Type="http://schemas.openxmlformats.org/officeDocument/2006/relationships/hyperlink" Target="https://drive.google.com/uc?export=download&amp;id=1iKmupXUj-5BV9Bb5wQi9V08PIWdXcVOw" TargetMode="External"/><Relationship Id="rId811" Type="http://schemas.openxmlformats.org/officeDocument/2006/relationships/hyperlink" Target="https://drive.google.com/uc?export=download&amp;id=1Rik8onjYj--BpYGnONAPbxigBQ3Vfi_j" TargetMode="External"/><Relationship Id="rId810" Type="http://schemas.openxmlformats.org/officeDocument/2006/relationships/hyperlink" Target="https://drive.google.com/uc?export=download&amp;id=14HNxG5h1ar5JNnCtC3r4L7MRUN4UcbIb" TargetMode="External"/><Relationship Id="rId815" Type="http://schemas.openxmlformats.org/officeDocument/2006/relationships/hyperlink" Target="https://drive.google.com/uc?export=download&amp;id=17GOtMzVj1pWCvq8lxcqdB-hmAcG2z-zf" TargetMode="External"/><Relationship Id="rId814" Type="http://schemas.openxmlformats.org/officeDocument/2006/relationships/hyperlink" Target="https://drive.google.com/uc?export=download&amp;id=1dQKJefI8M6Nev-H5bNJ8UYGdCrrDh35_" TargetMode="External"/><Relationship Id="rId813" Type="http://schemas.openxmlformats.org/officeDocument/2006/relationships/hyperlink" Target="https://drive.google.com/uc?export=download&amp;id=1hvhNxXy4PGIuZpr6MPinfirvBhxn2SQT" TargetMode="External"/><Relationship Id="rId812" Type="http://schemas.openxmlformats.org/officeDocument/2006/relationships/hyperlink" Target="https://drive.google.com/uc?export=download&amp;id=12bTTN04wxv9LONsZQevJZFu4I5ePipRe" TargetMode="External"/><Relationship Id="rId1640" Type="http://schemas.openxmlformats.org/officeDocument/2006/relationships/hyperlink" Target="https://drive.google.com/uc?export=download&amp;id=1JUzX7QfH6iVOqa9mXjmhdc30gFmxDjhv" TargetMode="External"/><Relationship Id="rId1641" Type="http://schemas.openxmlformats.org/officeDocument/2006/relationships/hyperlink" Target="https://drive.google.com/uc?export=download&amp;id=13Yo4NEFj4vn7cyaTBHIQ-gU2hh4LDLKZ" TargetMode="External"/><Relationship Id="rId1675" Type="http://schemas.openxmlformats.org/officeDocument/2006/relationships/hyperlink" Target="https://drive.google.com/uc?export=download&amp;id=1Mn8rnCHPx6gHzClhlvgn-HZGjaT_44hq" TargetMode="External"/><Relationship Id="rId1676" Type="http://schemas.openxmlformats.org/officeDocument/2006/relationships/hyperlink" Target="https://drive.google.com/uc?export=download&amp;id=1UbSqSpMtiScp5584OQNHuS3WpS4G9mFZ" TargetMode="External"/><Relationship Id="rId1677" Type="http://schemas.openxmlformats.org/officeDocument/2006/relationships/hyperlink" Target="https://drive.google.com/uc?export=download&amp;id=1YDIUfp_0mcNe5oD17J8tQNfSiTFAgj25" TargetMode="External"/><Relationship Id="rId1678" Type="http://schemas.openxmlformats.org/officeDocument/2006/relationships/hyperlink" Target="https://drive.google.com/uc?export=download&amp;id=1rUsLlg90931LE_u4c8enDKReQOuBxn2P" TargetMode="External"/><Relationship Id="rId1679" Type="http://schemas.openxmlformats.org/officeDocument/2006/relationships/hyperlink" Target="https://drive.google.com/uc?export=download&amp;id=1a3E09PJTNFquIk--uXPeXGdWTb4dNy-0" TargetMode="External"/><Relationship Id="rId849" Type="http://schemas.openxmlformats.org/officeDocument/2006/relationships/hyperlink" Target="https://drive.google.com/uc?export=download&amp;id=1d_4KLi932JW6lQnIzLqsk9hnO5Z5u7AL" TargetMode="External"/><Relationship Id="rId844" Type="http://schemas.openxmlformats.org/officeDocument/2006/relationships/hyperlink" Target="https://drive.google.com/uc?export=download&amp;id=1yy8k-w3CKDnKJHzXFh2PYEpQZsZTJlYz" TargetMode="External"/><Relationship Id="rId843" Type="http://schemas.openxmlformats.org/officeDocument/2006/relationships/hyperlink" Target="https://drive.google.com/uc?export=download&amp;id=1fhWlziDMSLKB_IVzeXcRGjWVmgZEYnNd" TargetMode="External"/><Relationship Id="rId842" Type="http://schemas.openxmlformats.org/officeDocument/2006/relationships/hyperlink" Target="https://drive.google.com/uc?export=download&amp;id=1GHyJF15lBvv8SfUeM-japuHaJn-Ex_3a" TargetMode="External"/><Relationship Id="rId841" Type="http://schemas.openxmlformats.org/officeDocument/2006/relationships/hyperlink" Target="https://drive.google.com/uc?export=download&amp;id=12CBVPtRinjnpP8-tHo7_lOSCb5VeGh3h" TargetMode="External"/><Relationship Id="rId848" Type="http://schemas.openxmlformats.org/officeDocument/2006/relationships/hyperlink" Target="https://drive.google.com/uc?export=download&amp;id=1XI8Z-w2o1EA1GzItKRXY8VU5lZYTiA4s" TargetMode="External"/><Relationship Id="rId847" Type="http://schemas.openxmlformats.org/officeDocument/2006/relationships/hyperlink" Target="https://drive.google.com/uc?export=download&amp;id=1VdAvOabEGLKVbwJs1f6_Vncsa9vubqIq" TargetMode="External"/><Relationship Id="rId846" Type="http://schemas.openxmlformats.org/officeDocument/2006/relationships/hyperlink" Target="https://drive.google.com/uc?export=download&amp;id=1O9xK3E67DQkXlYrMZFRXHeCrSZo42aRs" TargetMode="External"/><Relationship Id="rId845" Type="http://schemas.openxmlformats.org/officeDocument/2006/relationships/hyperlink" Target="https://drive.google.com/uc?export=download&amp;id=1uDfDyHbh8_dSGPBViXKrrQQm8uHYWCKi" TargetMode="External"/><Relationship Id="rId1670" Type="http://schemas.openxmlformats.org/officeDocument/2006/relationships/hyperlink" Target="https://drive.google.com/uc?export=download&amp;id=1xOETnVoiW18SJ7X5Zc1g2ucXQgole64p" TargetMode="External"/><Relationship Id="rId840" Type="http://schemas.openxmlformats.org/officeDocument/2006/relationships/hyperlink" Target="https://drive.google.com/uc?export=download&amp;id=1SVbGkojF430vcBQ9ntd1OLuvwHWNiioQ" TargetMode="External"/><Relationship Id="rId1671" Type="http://schemas.openxmlformats.org/officeDocument/2006/relationships/hyperlink" Target="https://drive.google.com/uc?export=download&amp;id=1quu88EEGT1CJv88AYV8vl_spVoEJI-2S" TargetMode="External"/><Relationship Id="rId1672" Type="http://schemas.openxmlformats.org/officeDocument/2006/relationships/hyperlink" Target="https://drive.google.com/uc?export=download&amp;id=1tx_veBxYhVIAsMW4zGn1b8X4XAq9P6JT" TargetMode="External"/><Relationship Id="rId1673" Type="http://schemas.openxmlformats.org/officeDocument/2006/relationships/hyperlink" Target="https://drive.google.com/uc?export=download&amp;id=1XIMAqj-mozqn8yxfQEP8p0NzhdRnw0sV" TargetMode="External"/><Relationship Id="rId1674" Type="http://schemas.openxmlformats.org/officeDocument/2006/relationships/hyperlink" Target="https://drive.google.com/uc?export=download&amp;id=1LMsHij-48SFesNR7bnuKX3gj5utywzd3" TargetMode="External"/><Relationship Id="rId1664" Type="http://schemas.openxmlformats.org/officeDocument/2006/relationships/hyperlink" Target="https://drive.google.com/uc?export=download&amp;id=1hvhsu8A6bq1TJ9QgsvlVu_uaXBC7Lr6R" TargetMode="External"/><Relationship Id="rId1665" Type="http://schemas.openxmlformats.org/officeDocument/2006/relationships/hyperlink" Target="https://drive.google.com/uc?export=download&amp;id=1euhq9ra--qhPs-43i33tcxwUMiwPHjMl" TargetMode="External"/><Relationship Id="rId1666" Type="http://schemas.openxmlformats.org/officeDocument/2006/relationships/hyperlink" Target="https://drive.google.com/uc?export=download&amp;id=1n24syrYJjT7CWHwUurEXkA2nxGfFYgmb" TargetMode="External"/><Relationship Id="rId1667" Type="http://schemas.openxmlformats.org/officeDocument/2006/relationships/hyperlink" Target="https://drive.google.com/uc?export=download&amp;id=1eN-QvSqK0Qao1Inwsx76INlUTJpy-8Ut" TargetMode="External"/><Relationship Id="rId1668" Type="http://schemas.openxmlformats.org/officeDocument/2006/relationships/hyperlink" Target="https://drive.google.com/uc?export=download&amp;id=1S2eXNUmzNmGgOOpRC8zSVnZRBUTuvgwj" TargetMode="External"/><Relationship Id="rId1669" Type="http://schemas.openxmlformats.org/officeDocument/2006/relationships/hyperlink" Target="https://drive.google.com/uc?export=download&amp;id=1gMjbL6hXCLTSBq78escw-S2ILvCH2BJj" TargetMode="External"/><Relationship Id="rId839" Type="http://schemas.openxmlformats.org/officeDocument/2006/relationships/hyperlink" Target="https://drive.google.com/uc?export=download&amp;id=1vtkH3dNbNCq5yPdzo1FL5_xzix5PHarQ" TargetMode="External"/><Relationship Id="rId838" Type="http://schemas.openxmlformats.org/officeDocument/2006/relationships/hyperlink" Target="https://drive.google.com/uc?export=download&amp;id=15etaZrYLP4Nbj8I4Iykx2LVtuTbRgyve" TargetMode="External"/><Relationship Id="rId833" Type="http://schemas.openxmlformats.org/officeDocument/2006/relationships/hyperlink" Target="https://drive.google.com/uc?export=download&amp;id=18nCQEmMS3_QcIffgfHhon0vZIiC6x1lj" TargetMode="External"/><Relationship Id="rId832" Type="http://schemas.openxmlformats.org/officeDocument/2006/relationships/hyperlink" Target="https://drive.google.com/uc?export=download&amp;id=1vrXZpscyCuWPlXdsbsG4Eyuk1wegAk2j" TargetMode="External"/><Relationship Id="rId831" Type="http://schemas.openxmlformats.org/officeDocument/2006/relationships/hyperlink" Target="https://drive.google.com/uc?export=download&amp;id=1S5gAOXE5dDYAcCZrWxVyrWAC6ERgY1Tf" TargetMode="External"/><Relationship Id="rId830" Type="http://schemas.openxmlformats.org/officeDocument/2006/relationships/hyperlink" Target="https://drive.google.com/uc?export=download&amp;id=1iTdcmn2FbImeOWEedPs3oQcn8wzxEOHo" TargetMode="External"/><Relationship Id="rId837" Type="http://schemas.openxmlformats.org/officeDocument/2006/relationships/hyperlink" Target="https://drive.google.com/uc?export=download&amp;id=1NIZdVA0_gItVz64uN86cHw0BwiiVj81J" TargetMode="External"/><Relationship Id="rId836" Type="http://schemas.openxmlformats.org/officeDocument/2006/relationships/hyperlink" Target="https://drive.google.com/uc?export=download&amp;id=1W_8mQwma_YEtnkkWciGAWHnJVPehnYg3" TargetMode="External"/><Relationship Id="rId835" Type="http://schemas.openxmlformats.org/officeDocument/2006/relationships/hyperlink" Target="https://drive.google.com/uc?export=download&amp;id=1wd3uCyFD_ryVwJ0X9UQw9bFE16HIn_UO" TargetMode="External"/><Relationship Id="rId834" Type="http://schemas.openxmlformats.org/officeDocument/2006/relationships/hyperlink" Target="https://drive.google.com/uc?export=download&amp;id=19_h5uAjXPAzfodukbihm-l9dhOv3yEL6" TargetMode="External"/><Relationship Id="rId1660" Type="http://schemas.openxmlformats.org/officeDocument/2006/relationships/hyperlink" Target="https://drive.google.com/uc?export=download&amp;id=1B-4KuBN9xCTyBTDd6EjYyrsbAlnmxplO" TargetMode="External"/><Relationship Id="rId1661" Type="http://schemas.openxmlformats.org/officeDocument/2006/relationships/hyperlink" Target="https://drive.google.com/uc?export=download&amp;id=1sps28Hdqw3D4ll4mxIlib_iPei1d6QtY" TargetMode="External"/><Relationship Id="rId1662" Type="http://schemas.openxmlformats.org/officeDocument/2006/relationships/hyperlink" Target="https://drive.google.com/uc?export=download&amp;id=1xD98H5BRr4hU7Sp3njnRry_5Ex73SvYV" TargetMode="External"/><Relationship Id="rId1663" Type="http://schemas.openxmlformats.org/officeDocument/2006/relationships/hyperlink" Target="https://drive.google.com/uc?export=download&amp;id=1vjTL4ey19Y1rY7PyRbW82EyVsyHsDbX4" TargetMode="External"/><Relationship Id="rId469" Type="http://schemas.openxmlformats.org/officeDocument/2006/relationships/hyperlink" Target="https://drive.google.com/uc?export=download&amp;id=1ZLohQ0nobuhJe84EjF3uf-SGfNTGUYA0" TargetMode="External"/><Relationship Id="rId468" Type="http://schemas.openxmlformats.org/officeDocument/2006/relationships/hyperlink" Target="https://drive.google.com/uc?export=download&amp;id=1ll9A64I_BI3iB-ugdPNqc-q5M0fiQ4xl" TargetMode="External"/><Relationship Id="rId467" Type="http://schemas.openxmlformats.org/officeDocument/2006/relationships/hyperlink" Target="https://drive.google.com/uc?export=download&amp;id=1auP2iVufENWDjLKEsnAkghhsoKkHuyA8" TargetMode="External"/><Relationship Id="rId1290" Type="http://schemas.openxmlformats.org/officeDocument/2006/relationships/hyperlink" Target="https://drive.google.com/uc?export=download&amp;id=1gcSiXMHjIY4qSBzMBcITCIDyopkgP0xo" TargetMode="External"/><Relationship Id="rId1291" Type="http://schemas.openxmlformats.org/officeDocument/2006/relationships/hyperlink" Target="https://drive.google.com/uc?export=download&amp;id=1fuW1cDgLfUJWVV58pK5tTCF39Y0jjUv7" TargetMode="External"/><Relationship Id="rId1292" Type="http://schemas.openxmlformats.org/officeDocument/2006/relationships/hyperlink" Target="https://drive.google.com/uc?export=download&amp;id=1TZAnJWrMyE4WSzMtBBzjawOLga7YwSHT" TargetMode="External"/><Relationship Id="rId462" Type="http://schemas.openxmlformats.org/officeDocument/2006/relationships/hyperlink" Target="https://drive.google.com/uc?export=download&amp;id=1U997r-8XcnTNcm6fYQ3QElQfP3lxRlxu" TargetMode="External"/><Relationship Id="rId1293" Type="http://schemas.openxmlformats.org/officeDocument/2006/relationships/hyperlink" Target="https://drive.google.com/uc?export=download&amp;id=1-DPgC-8XFCfg8msh-Q_EnLEVR7zxYYOl" TargetMode="External"/><Relationship Id="rId461" Type="http://schemas.openxmlformats.org/officeDocument/2006/relationships/hyperlink" Target="https://drive.google.com/uc?export=download&amp;id=1lkci-EUiv2b0KRR9yLybP7aOwPvctT5i" TargetMode="External"/><Relationship Id="rId1294" Type="http://schemas.openxmlformats.org/officeDocument/2006/relationships/hyperlink" Target="https://drive.google.com/uc?export=download&amp;id=1fURhRAh2MtChmUrea7xnk0Yda9iGSlhg" TargetMode="External"/><Relationship Id="rId460" Type="http://schemas.openxmlformats.org/officeDocument/2006/relationships/hyperlink" Target="https://drive.google.com/uc?export=download&amp;id=1ts_BuZsoV4vAtKc1qjwuKyi6j41xZDF_" TargetMode="External"/><Relationship Id="rId1295" Type="http://schemas.openxmlformats.org/officeDocument/2006/relationships/hyperlink" Target="https://drive.google.com/uc?export=download&amp;id=1vJWaHAk5k6RdSHUFP9GnGWWig0EoJznx" TargetMode="External"/><Relationship Id="rId1296" Type="http://schemas.openxmlformats.org/officeDocument/2006/relationships/hyperlink" Target="https://drive.google.com/uc?export=download&amp;id=1QkiijaZlc4xTQ0K-KHrX8B7d_by0IdFq" TargetMode="External"/><Relationship Id="rId466" Type="http://schemas.openxmlformats.org/officeDocument/2006/relationships/hyperlink" Target="https://drive.google.com/uc?export=download&amp;id=1isNfWJTePIpDPd0LvzquFkvdOnwHBxCk" TargetMode="External"/><Relationship Id="rId1297" Type="http://schemas.openxmlformats.org/officeDocument/2006/relationships/hyperlink" Target="https://drive.google.com/uc?export=download&amp;id=1lcfPnHINPq_ZumJKyOerrKnnTlv_QZAy" TargetMode="External"/><Relationship Id="rId465" Type="http://schemas.openxmlformats.org/officeDocument/2006/relationships/hyperlink" Target="https://drive.google.com/uc?export=download&amp;id=1DiW8UI2U-4mFOlow8WIb6GQvkJeC2viJ" TargetMode="External"/><Relationship Id="rId1298" Type="http://schemas.openxmlformats.org/officeDocument/2006/relationships/hyperlink" Target="https://drive.google.com/uc?export=download&amp;id=1HsxEKZwijPUsIjtpI4t6-HHez5x0Y28E" TargetMode="External"/><Relationship Id="rId464" Type="http://schemas.openxmlformats.org/officeDocument/2006/relationships/hyperlink" Target="https://drive.google.com/uc?export=download&amp;id=1B9zd5ZwwkDet22zjeJO3tzwDsx4dHvh9" TargetMode="External"/><Relationship Id="rId1299" Type="http://schemas.openxmlformats.org/officeDocument/2006/relationships/hyperlink" Target="https://drive.google.com/uc?export=download&amp;id=1nAxmiYIJfCG6x_W8GAy1Dls_4ymEYjvB" TargetMode="External"/><Relationship Id="rId463" Type="http://schemas.openxmlformats.org/officeDocument/2006/relationships/hyperlink" Target="https://drive.google.com/uc?export=download&amp;id=1wn0sduUMugli32SXjAJ1TixykdtRJzCt" TargetMode="External"/><Relationship Id="rId459" Type="http://schemas.openxmlformats.org/officeDocument/2006/relationships/hyperlink" Target="https://drive.google.com/uc?export=download&amp;id=1IeX9L55155gMkURoU97cJL07M4l3RnRp" TargetMode="External"/><Relationship Id="rId458" Type="http://schemas.openxmlformats.org/officeDocument/2006/relationships/hyperlink" Target="https://drive.google.com/uc?export=download&amp;id=1FS-J-v67NoqnFg7rxAd9C_G1_KC_T3L0" TargetMode="External"/><Relationship Id="rId457" Type="http://schemas.openxmlformats.org/officeDocument/2006/relationships/hyperlink" Target="https://drive.google.com/uc?export=download&amp;id=1i98ONDGdZnHtarZ1LMvqedwZTDecyWKI" TargetMode="External"/><Relationship Id="rId456" Type="http://schemas.openxmlformats.org/officeDocument/2006/relationships/hyperlink" Target="https://drive.google.com/uc?export=download&amp;id=1H3m8XBbtyIPGZsBJyNFBM3Fgfh5tOAa2" TargetMode="External"/><Relationship Id="rId1280" Type="http://schemas.openxmlformats.org/officeDocument/2006/relationships/hyperlink" Target="https://drive.google.com/uc?export=download&amp;id=1KUIC8UTy8jGdsmEq-DWLBMhOQkQhnVbc" TargetMode="External"/><Relationship Id="rId1281" Type="http://schemas.openxmlformats.org/officeDocument/2006/relationships/hyperlink" Target="https://drive.google.com/uc?export=download&amp;id=1LC78tnNlO9vhgs_xlAeKuG4tW7eaW6um" TargetMode="External"/><Relationship Id="rId451" Type="http://schemas.openxmlformats.org/officeDocument/2006/relationships/hyperlink" Target="https://drive.google.com/uc?export=download&amp;id=1d4C1QYaYOMKKzDRfXPha-fZG1r7wRtCe" TargetMode="External"/><Relationship Id="rId1282" Type="http://schemas.openxmlformats.org/officeDocument/2006/relationships/hyperlink" Target="https://drive.google.com/uc?export=download&amp;id=1meTIob1AJ0P97NsJBMG67cpna10ULh5g" TargetMode="External"/><Relationship Id="rId450" Type="http://schemas.openxmlformats.org/officeDocument/2006/relationships/hyperlink" Target="https://drive.google.com/uc?export=download&amp;id=1gBkb3gROZ9n-DgwHpkyNlK9T5hx3uqs6" TargetMode="External"/><Relationship Id="rId1283" Type="http://schemas.openxmlformats.org/officeDocument/2006/relationships/hyperlink" Target="https://drive.google.com/uc?export=download&amp;id=1UxxIbTB9Q3XCB2bDbDaPtUmP0wyEbTu8" TargetMode="External"/><Relationship Id="rId1284" Type="http://schemas.openxmlformats.org/officeDocument/2006/relationships/hyperlink" Target="https://drive.google.com/uc?export=download&amp;id=1In47Mbpt_2ul0WmHIDKlf4uqRvDN63Ht" TargetMode="External"/><Relationship Id="rId1285" Type="http://schemas.openxmlformats.org/officeDocument/2006/relationships/hyperlink" Target="https://drive.google.com/uc?export=download&amp;id=11LXc0RvYOK5Mwwc0rMKDLF5l97ctOwRU" TargetMode="External"/><Relationship Id="rId455" Type="http://schemas.openxmlformats.org/officeDocument/2006/relationships/hyperlink" Target="https://drive.google.com/uc?export=download&amp;id=1eBMbAIPlFq8t5qi1-ptABrJAfSVs8RJj" TargetMode="External"/><Relationship Id="rId1286" Type="http://schemas.openxmlformats.org/officeDocument/2006/relationships/hyperlink" Target="https://drive.google.com/uc?export=download&amp;id=19zte37KIrCZusa6fh9kZ7ImJi2UdS8oo" TargetMode="External"/><Relationship Id="rId454" Type="http://schemas.openxmlformats.org/officeDocument/2006/relationships/hyperlink" Target="https://drive.google.com/uc?export=download&amp;id=1n0vmqPa6hGczxsxPyvlMNkl6pWK4y1g4" TargetMode="External"/><Relationship Id="rId1287" Type="http://schemas.openxmlformats.org/officeDocument/2006/relationships/hyperlink" Target="https://drive.google.com/uc?export=download&amp;id=1WfhtUyH_aMDQV6oU3gtN20W_ereYvAQK" TargetMode="External"/><Relationship Id="rId453" Type="http://schemas.openxmlformats.org/officeDocument/2006/relationships/hyperlink" Target="https://drive.google.com/uc?export=download&amp;id=1Pft_YPDeaDx0iMSe2a0nemAA--St4xmd" TargetMode="External"/><Relationship Id="rId1288" Type="http://schemas.openxmlformats.org/officeDocument/2006/relationships/hyperlink" Target="https://drive.google.com/uc?export=download&amp;id=1fB-oowWV2ghb8R3RfWlllunw5m1MJEGk" TargetMode="External"/><Relationship Id="rId452" Type="http://schemas.openxmlformats.org/officeDocument/2006/relationships/hyperlink" Target="https://drive.google.com/uc?export=download&amp;id=1uCTEjc3CIaiS1ublPuqjX6M4nk9UHvV_" TargetMode="External"/><Relationship Id="rId1289" Type="http://schemas.openxmlformats.org/officeDocument/2006/relationships/hyperlink" Target="https://drive.google.com/uc?export=download&amp;id=1zY9Es6GkYmVwHLkrhKlhc1-lRg4RxMhr" TargetMode="External"/><Relationship Id="rId491" Type="http://schemas.openxmlformats.org/officeDocument/2006/relationships/hyperlink" Target="https://drive.google.com/uc?export=download&amp;id=1Pd8iQi2Lqa56ikldGPTEdl_541AirgxB" TargetMode="External"/><Relationship Id="rId490" Type="http://schemas.openxmlformats.org/officeDocument/2006/relationships/hyperlink" Target="https://drive.google.com/uc?export=download&amp;id=1Aez8jkjwz0EUXegVxcSAUC-FWaugJj8z" TargetMode="External"/><Relationship Id="rId489" Type="http://schemas.openxmlformats.org/officeDocument/2006/relationships/hyperlink" Target="https://drive.google.com/uc?export=download&amp;id=1S08WvTTNyrJEJyGFlZaqEvv6gNcaX2gT" TargetMode="External"/><Relationship Id="rId484" Type="http://schemas.openxmlformats.org/officeDocument/2006/relationships/hyperlink" Target="https://drive.google.com/uc?export=download&amp;id=1u7l0-hhFRK0UcKGhhX344RHlS90NZisa" TargetMode="External"/><Relationship Id="rId483" Type="http://schemas.openxmlformats.org/officeDocument/2006/relationships/hyperlink" Target="https://drive.google.com/uc?export=download&amp;id=1eLye4-X_SDLkhuYBI-wr7qyUYfmT9_MS" TargetMode="External"/><Relationship Id="rId482" Type="http://schemas.openxmlformats.org/officeDocument/2006/relationships/hyperlink" Target="https://drive.google.com/uc?export=download&amp;id=1zrWyh1ZKN1yPkFXHcpbVcgfKzzQbrvPC" TargetMode="External"/><Relationship Id="rId481" Type="http://schemas.openxmlformats.org/officeDocument/2006/relationships/hyperlink" Target="https://drive.google.com/uc?export=download&amp;id=1Y_kZOrXrnQIzCWdVneivVcACSZqApen0" TargetMode="External"/><Relationship Id="rId488" Type="http://schemas.openxmlformats.org/officeDocument/2006/relationships/hyperlink" Target="https://drive.google.com/uc?export=download&amp;id=1J7ZTrocq2rs-e3xA6gr3dqbILLqSox6_" TargetMode="External"/><Relationship Id="rId487" Type="http://schemas.openxmlformats.org/officeDocument/2006/relationships/hyperlink" Target="https://drive.google.com/uc?export=download&amp;id=1Z5LpAWyFqb4puzDND-y0AHJFGxNoZs-i" TargetMode="External"/><Relationship Id="rId486" Type="http://schemas.openxmlformats.org/officeDocument/2006/relationships/hyperlink" Target="https://drive.google.com/uc?export=download&amp;id=1KT5wLJD7iLLYVP9AyanMbEsTKBWSrGnO" TargetMode="External"/><Relationship Id="rId485" Type="http://schemas.openxmlformats.org/officeDocument/2006/relationships/hyperlink" Target="https://drive.google.com/uc?export=download&amp;id=1mNFnaWPbTP3fWONQ9-rBtkQXJIQNvmQV" TargetMode="External"/><Relationship Id="rId480" Type="http://schemas.openxmlformats.org/officeDocument/2006/relationships/hyperlink" Target="https://drive.google.com/uc?export=download&amp;id=1O2yHBUDwotGvAlhAB4AIPUuSDg2Aszi5" TargetMode="External"/><Relationship Id="rId479" Type="http://schemas.openxmlformats.org/officeDocument/2006/relationships/hyperlink" Target="https://drive.google.com/uc?export=download&amp;id=1IOYQiu0HdKvIm5iza6EhFobd2bPdUfxx" TargetMode="External"/><Relationship Id="rId478" Type="http://schemas.openxmlformats.org/officeDocument/2006/relationships/hyperlink" Target="https://drive.google.com/uc?export=download&amp;id=1jZpurvTK76nyVrhA4-22gRD1uiUEbI4d" TargetMode="External"/><Relationship Id="rId473" Type="http://schemas.openxmlformats.org/officeDocument/2006/relationships/hyperlink" Target="https://drive.google.com/uc?export=download&amp;id=1Dxtef8jM433Reyq4ebY9XATMQWfKYoaT" TargetMode="External"/><Relationship Id="rId472" Type="http://schemas.openxmlformats.org/officeDocument/2006/relationships/hyperlink" Target="https://drive.google.com/uc?export=download&amp;id=1Vo27dyRSvsmNZwCS7D6CYKMsqeD7RIyd" TargetMode="External"/><Relationship Id="rId471" Type="http://schemas.openxmlformats.org/officeDocument/2006/relationships/hyperlink" Target="https://drive.google.com/uc?export=download&amp;id=1UyHAyQsRfXVowHwFTDZ_U-WX44CMpxFg" TargetMode="External"/><Relationship Id="rId470" Type="http://schemas.openxmlformats.org/officeDocument/2006/relationships/hyperlink" Target="https://drive.google.com/uc?export=download&amp;id=1FqukmllL12EHuJrylpuGoqm0g8fSEIs6" TargetMode="External"/><Relationship Id="rId477" Type="http://schemas.openxmlformats.org/officeDocument/2006/relationships/hyperlink" Target="https://drive.google.com/uc?export=download&amp;id=10BCDXoDClrbcyOPEoQOhgibIRiq9PxNE" TargetMode="External"/><Relationship Id="rId476" Type="http://schemas.openxmlformats.org/officeDocument/2006/relationships/hyperlink" Target="https://drive.google.com/uc?export=download&amp;id=1xsuD3qUIxuYUf4Gc3CueuTleM4IFjlfZ" TargetMode="External"/><Relationship Id="rId475" Type="http://schemas.openxmlformats.org/officeDocument/2006/relationships/hyperlink" Target="https://drive.google.com/uc?export=download&amp;id=14FYYB2nSCgQ97jnnJCuW8EeqilGzCIpu" TargetMode="External"/><Relationship Id="rId474" Type="http://schemas.openxmlformats.org/officeDocument/2006/relationships/hyperlink" Target="https://drive.google.com/uc?export=download&amp;id=1lxyzOpqpHuLYEQ1qCEfQwDcqFNHBgGYw" TargetMode="External"/><Relationship Id="rId1257" Type="http://schemas.openxmlformats.org/officeDocument/2006/relationships/hyperlink" Target="https://drive.google.com/uc?export=download&amp;id=18yPdPrlD7bfMXiYgp1hvhsItZkvAqBtd" TargetMode="External"/><Relationship Id="rId1258" Type="http://schemas.openxmlformats.org/officeDocument/2006/relationships/hyperlink" Target="https://drive.google.com/uc?export=download&amp;id=1yX_Kz1RFTQGjF89w4zz0KCnaUHfec6JL" TargetMode="External"/><Relationship Id="rId1259" Type="http://schemas.openxmlformats.org/officeDocument/2006/relationships/hyperlink" Target="https://drive.google.com/uc?export=download&amp;id=1imz9lZNeUgjiEHs3QSC7tvHKQzY-0MA0" TargetMode="External"/><Relationship Id="rId426" Type="http://schemas.openxmlformats.org/officeDocument/2006/relationships/hyperlink" Target="https://drive.google.com/uc?export=download&amp;id=1ud_Nx6IcQNHBQ6MaM52i3lqOIEWbnmjX" TargetMode="External"/><Relationship Id="rId425" Type="http://schemas.openxmlformats.org/officeDocument/2006/relationships/hyperlink" Target="https://drive.google.com/uc?export=download&amp;id=1xyBYimGhxsg5uhWg22M2z1lMaJ571CY1" TargetMode="External"/><Relationship Id="rId424" Type="http://schemas.openxmlformats.org/officeDocument/2006/relationships/hyperlink" Target="https://drive.google.com/uc?export=download&amp;id=1X6gJTzduFwxJSL3YcBFGMO0JR6sLqy1E" TargetMode="External"/><Relationship Id="rId423" Type="http://schemas.openxmlformats.org/officeDocument/2006/relationships/hyperlink" Target="https://drive.google.com/uc?export=download&amp;id=1EaMPpQS_UtzB0nkVglsnXSNFceB1hiJQ" TargetMode="External"/><Relationship Id="rId429" Type="http://schemas.openxmlformats.org/officeDocument/2006/relationships/hyperlink" Target="https://drive.google.com/uc?export=download&amp;id=1tV8g3FO6LSu0F67OKcNpKC0Lnx_bWKwR" TargetMode="External"/><Relationship Id="rId428" Type="http://schemas.openxmlformats.org/officeDocument/2006/relationships/hyperlink" Target="https://drive.google.com/uc?export=download&amp;id=1kvzBzkc4HfEnfQTL8eJyBO-CSgWCxqQV" TargetMode="External"/><Relationship Id="rId427" Type="http://schemas.openxmlformats.org/officeDocument/2006/relationships/hyperlink" Target="https://drive.google.com/uc?export=download&amp;id=1qWsHIqgNzE211mxtlzKap4UoD71HMl1S" TargetMode="External"/><Relationship Id="rId1250" Type="http://schemas.openxmlformats.org/officeDocument/2006/relationships/hyperlink" Target="https://drive.google.com/uc?export=download&amp;id=1oRsrGct56srns3YGEYcp9vYOI6SE-D6P" TargetMode="External"/><Relationship Id="rId1251" Type="http://schemas.openxmlformats.org/officeDocument/2006/relationships/hyperlink" Target="https://drive.google.com/uc?export=download&amp;id=1BgKDSjcux9-x-R7HWCKMKPU_38WUNNFN" TargetMode="External"/><Relationship Id="rId1252" Type="http://schemas.openxmlformats.org/officeDocument/2006/relationships/hyperlink" Target="https://drive.google.com/uc?export=download&amp;id=1QaLi4VEjMy70yShH_t5_gXuFMwyfhPG7" TargetMode="External"/><Relationship Id="rId422" Type="http://schemas.openxmlformats.org/officeDocument/2006/relationships/hyperlink" Target="https://drive.google.com/uc?export=download&amp;id=1R2UqJ3tWmMmXlj9Vjrhu9zFSrkblc6T-" TargetMode="External"/><Relationship Id="rId1253" Type="http://schemas.openxmlformats.org/officeDocument/2006/relationships/hyperlink" Target="https://drive.google.com/uc?export=download&amp;id=1ypVFywaD4HE9isVF1W8PMzxtKKtFn99b" TargetMode="External"/><Relationship Id="rId421" Type="http://schemas.openxmlformats.org/officeDocument/2006/relationships/hyperlink" Target="https://drive.google.com/uc?export=download&amp;id=1pdtuBAJaLFxNmGR7zLGHlHQ9PbBEE-wq" TargetMode="External"/><Relationship Id="rId1254" Type="http://schemas.openxmlformats.org/officeDocument/2006/relationships/hyperlink" Target="https://drive.google.com/uc?export=download&amp;id=12idckEYmgn0zUWOAW7J6-FeF3sliHin0" TargetMode="External"/><Relationship Id="rId420" Type="http://schemas.openxmlformats.org/officeDocument/2006/relationships/hyperlink" Target="https://drive.google.com/uc?export=download&amp;id=1gEcq-WlrjLGNOHF518Lddq4hm0vG4ejC" TargetMode="External"/><Relationship Id="rId1255" Type="http://schemas.openxmlformats.org/officeDocument/2006/relationships/hyperlink" Target="https://drive.google.com/uc?export=download&amp;id=1ePAfqocfNCbueQgqx1PRKzPep8KJ31BE" TargetMode="External"/><Relationship Id="rId1256" Type="http://schemas.openxmlformats.org/officeDocument/2006/relationships/hyperlink" Target="https://drive.google.com/uc?export=download&amp;id=1zntTyhSPpK9_jG634OAdMRKV91-fWu76" TargetMode="External"/><Relationship Id="rId1246" Type="http://schemas.openxmlformats.org/officeDocument/2006/relationships/hyperlink" Target="https://drive.google.com/uc?export=download&amp;id=1ETqfGmQpzDT_LyuabYuJF14Q26bnXKRn" TargetMode="External"/><Relationship Id="rId1247" Type="http://schemas.openxmlformats.org/officeDocument/2006/relationships/hyperlink" Target="https://drive.google.com/uc?export=download&amp;id=1qVHY7LeGmeNZOiLYGjINI2ysTfRFddky" TargetMode="External"/><Relationship Id="rId1248" Type="http://schemas.openxmlformats.org/officeDocument/2006/relationships/hyperlink" Target="https://drive.google.com/uc?export=download&amp;id=1eyYrUM4qXaIAbC6JmYHKlh6KMsr4jpkC" TargetMode="External"/><Relationship Id="rId1249" Type="http://schemas.openxmlformats.org/officeDocument/2006/relationships/hyperlink" Target="https://drive.google.com/uc?export=download&amp;id=1uAjMIMKhH9_TVKNIgeKLZjcSiBzpe9cB" TargetMode="External"/><Relationship Id="rId415" Type="http://schemas.openxmlformats.org/officeDocument/2006/relationships/hyperlink" Target="https://drive.google.com/uc?export=download&amp;id=1gkN1ganoyzSk-GYc_-8-hSLfytIdIFXW" TargetMode="External"/><Relationship Id="rId899" Type="http://schemas.openxmlformats.org/officeDocument/2006/relationships/hyperlink" Target="https://drive.google.com/uc?export=download&amp;id=1WiQ1M-j2Awi7XeJCICfEU7e0A0hrtEqG" TargetMode="External"/><Relationship Id="rId414" Type="http://schemas.openxmlformats.org/officeDocument/2006/relationships/hyperlink" Target="https://drive.google.com/uc?export=download&amp;id=1DsvQ-id-yKTPLOwqBvdc-KJUE3d1i7_G" TargetMode="External"/><Relationship Id="rId898" Type="http://schemas.openxmlformats.org/officeDocument/2006/relationships/hyperlink" Target="https://drive.google.com/uc?export=download&amp;id=1Ig_s7TwDTo-8q1v7Z4TkZxsjA7zBwd7V" TargetMode="External"/><Relationship Id="rId413" Type="http://schemas.openxmlformats.org/officeDocument/2006/relationships/hyperlink" Target="https://drive.google.com/uc?export=download&amp;id=1leQY39nDkcgxptDPRbKHofvMvZQzmAcX" TargetMode="External"/><Relationship Id="rId897" Type="http://schemas.openxmlformats.org/officeDocument/2006/relationships/hyperlink" Target="https://drive.google.com/uc?export=download&amp;id=1IfbloZ0XktEUaztgbDXplnmmZ9hIjkgs" TargetMode="External"/><Relationship Id="rId412" Type="http://schemas.openxmlformats.org/officeDocument/2006/relationships/hyperlink" Target="https://drive.google.com/uc?export=download&amp;id=1H__Drq81KdLwYPnQzIuiFe-FQQ9GwARM" TargetMode="External"/><Relationship Id="rId896" Type="http://schemas.openxmlformats.org/officeDocument/2006/relationships/hyperlink" Target="https://drive.google.com/uc?export=download&amp;id=1rUPMLMFnzQePafVccOknJ8_3drSNmkZ_" TargetMode="External"/><Relationship Id="rId419" Type="http://schemas.openxmlformats.org/officeDocument/2006/relationships/hyperlink" Target="https://drive.google.com/uc?export=download&amp;id=1ee5XNW4_qJ-iWf18bSJh7JlHGBJvGnnE" TargetMode="External"/><Relationship Id="rId418" Type="http://schemas.openxmlformats.org/officeDocument/2006/relationships/hyperlink" Target="https://drive.google.com/uc?export=download&amp;id=1fBUa1HUC6jPeIbLRXdcx4_LsB2uh78Ep" TargetMode="External"/><Relationship Id="rId417" Type="http://schemas.openxmlformats.org/officeDocument/2006/relationships/hyperlink" Target="https://drive.google.com/uc?export=download&amp;id=1ERgoHvZ7AWULf3NVTqoFhTfBBsp-P8iu" TargetMode="External"/><Relationship Id="rId416" Type="http://schemas.openxmlformats.org/officeDocument/2006/relationships/hyperlink" Target="https://drive.google.com/uc?export=download&amp;id=1qjD8fXvt7IVsDxrypkVqnGKoCTRs4szZ" TargetMode="External"/><Relationship Id="rId891" Type="http://schemas.openxmlformats.org/officeDocument/2006/relationships/hyperlink" Target="https://drive.google.com/uc?export=download&amp;id=120WKaU3tuKmY85Y5Edee7cV4_899aSXH" TargetMode="External"/><Relationship Id="rId890" Type="http://schemas.openxmlformats.org/officeDocument/2006/relationships/hyperlink" Target="https://drive.google.com/uc?export=download&amp;id=1TMnbPZfAGxTjkM4waIAitaNVXLPxniD6" TargetMode="External"/><Relationship Id="rId1240" Type="http://schemas.openxmlformats.org/officeDocument/2006/relationships/hyperlink" Target="https://drive.google.com/uc?export=download&amp;id=1T3AzDfpwrp-ms3vH8HTdqIIh4coXhPxp" TargetMode="External"/><Relationship Id="rId1241" Type="http://schemas.openxmlformats.org/officeDocument/2006/relationships/hyperlink" Target="https://drive.google.com/uc?export=download&amp;id=1w9XpwiMaw4POiIPHs4D80z_hxiSCuEt8" TargetMode="External"/><Relationship Id="rId411" Type="http://schemas.openxmlformats.org/officeDocument/2006/relationships/hyperlink" Target="https://drive.google.com/uc?export=download&amp;id=1tr_2WcVW7qJ9lCmaN50k-9d_HG5ECfKl" TargetMode="External"/><Relationship Id="rId895" Type="http://schemas.openxmlformats.org/officeDocument/2006/relationships/hyperlink" Target="https://drive.google.com/uc?export=download&amp;id=1O1QS9dkEND9ZtZHfISEeDUAQ3pmvB8sh" TargetMode="External"/><Relationship Id="rId1242" Type="http://schemas.openxmlformats.org/officeDocument/2006/relationships/hyperlink" Target="https://drive.google.com/uc?export=download&amp;id=1WNEJOfq3rkML9zazgUjnUt7PghEO9eld" TargetMode="External"/><Relationship Id="rId410" Type="http://schemas.openxmlformats.org/officeDocument/2006/relationships/hyperlink" Target="https://drive.google.com/uc?export=download&amp;id=1emeOsE8N3eKiCgYwWVnFVmi_Vu7pmqBR" TargetMode="External"/><Relationship Id="rId894" Type="http://schemas.openxmlformats.org/officeDocument/2006/relationships/hyperlink" Target="https://drive.google.com/uc?export=download&amp;id=18q2BevceGBslyiAH-UX7JpfdlV4icSkC" TargetMode="External"/><Relationship Id="rId1243" Type="http://schemas.openxmlformats.org/officeDocument/2006/relationships/hyperlink" Target="https://drive.google.com/uc?export=download&amp;id=1M-Jel0GQGR6uoS4wKBGORF3WqfsyK0dN" TargetMode="External"/><Relationship Id="rId893" Type="http://schemas.openxmlformats.org/officeDocument/2006/relationships/hyperlink" Target="https://drive.google.com/uc?export=download&amp;id=15vPZeormcmyfbfETtqSqcqjdYN6F9RvV" TargetMode="External"/><Relationship Id="rId1244" Type="http://schemas.openxmlformats.org/officeDocument/2006/relationships/hyperlink" Target="https://drive.google.com/uc?export=download&amp;id=10bABtT4Pc2Xd312hyKxOxAZdBBiJ7Lua" TargetMode="External"/><Relationship Id="rId892" Type="http://schemas.openxmlformats.org/officeDocument/2006/relationships/hyperlink" Target="https://drive.google.com/uc?export=download&amp;id=10No1Ge3_kMriZHz9IWUIyzFhc_FHLgVR" TargetMode="External"/><Relationship Id="rId1245" Type="http://schemas.openxmlformats.org/officeDocument/2006/relationships/hyperlink" Target="https://drive.google.com/uc?export=download&amp;id=1Rlmj_0VHIYL1Kx340bYCo8y6_7lq0Tma" TargetMode="External"/><Relationship Id="rId1279" Type="http://schemas.openxmlformats.org/officeDocument/2006/relationships/hyperlink" Target="https://drive.google.com/uc?export=download&amp;id=1tVHgLpUqA54g2sQ8x13QB0ruEd-8jw6g" TargetMode="External"/><Relationship Id="rId448" Type="http://schemas.openxmlformats.org/officeDocument/2006/relationships/hyperlink" Target="https://drive.google.com/uc?export=download&amp;id=1rS9TEn20wOLU4COiE65n2D8y2nnYfsOY" TargetMode="External"/><Relationship Id="rId447" Type="http://schemas.openxmlformats.org/officeDocument/2006/relationships/hyperlink" Target="https://drive.google.com/uc?export=download&amp;id=1BPKm0XdVZ2VGGKDUiITYL1DoUAh49wLS" TargetMode="External"/><Relationship Id="rId446" Type="http://schemas.openxmlformats.org/officeDocument/2006/relationships/hyperlink" Target="https://drive.google.com/uc?export=download&amp;id=1CP1WbujlBgoGlzUQF4oOwtshk6_0jN6J" TargetMode="External"/><Relationship Id="rId445" Type="http://schemas.openxmlformats.org/officeDocument/2006/relationships/hyperlink" Target="https://drive.google.com/uc?export=download&amp;id=1RCaz7_jbI-8-VOGb06QVsqvITYeua03e" TargetMode="External"/><Relationship Id="rId449" Type="http://schemas.openxmlformats.org/officeDocument/2006/relationships/hyperlink" Target="https://drive.google.com/uc?export=download&amp;id=1POz-aAtzYkEAHibmVkt3fbzf320RUp1b" TargetMode="External"/><Relationship Id="rId1270" Type="http://schemas.openxmlformats.org/officeDocument/2006/relationships/hyperlink" Target="https://drive.google.com/uc?export=download&amp;id=1fIqHv-c-JZLZ-6nmR8JaCkgwZ9tH5_Cd" TargetMode="External"/><Relationship Id="rId440" Type="http://schemas.openxmlformats.org/officeDocument/2006/relationships/hyperlink" Target="https://drive.google.com/uc?export=download&amp;id=1LjyfnOpWmjRWq_JY47DUw_CglNWpFlZr" TargetMode="External"/><Relationship Id="rId1271" Type="http://schemas.openxmlformats.org/officeDocument/2006/relationships/hyperlink" Target="https://drive.google.com/uc?export=download&amp;id=16ENy9E4gSQnqtxms9OpaJ6DhQn5bCeqD" TargetMode="External"/><Relationship Id="rId1272" Type="http://schemas.openxmlformats.org/officeDocument/2006/relationships/hyperlink" Target="https://drive.google.com/uc?export=download&amp;id=1XCwHpPQknroGiE2jjoFwfCczhnnxYdHG" TargetMode="External"/><Relationship Id="rId1273" Type="http://schemas.openxmlformats.org/officeDocument/2006/relationships/hyperlink" Target="https://drive.google.com/uc?export=download&amp;id=14t9aCgbPVHdTjBS3pTl4l27hUIYEFV7X" TargetMode="External"/><Relationship Id="rId1274" Type="http://schemas.openxmlformats.org/officeDocument/2006/relationships/hyperlink" Target="https://drive.google.com/uc?export=download&amp;id=1qvXvmVOlyWtW3eFhEvlIuCNsdouPz4oz" TargetMode="External"/><Relationship Id="rId444" Type="http://schemas.openxmlformats.org/officeDocument/2006/relationships/hyperlink" Target="https://drive.google.com/uc?export=download&amp;id=15X0U3oAKGq3G1E-GjJZVsJB941LtbDTW" TargetMode="External"/><Relationship Id="rId1275" Type="http://schemas.openxmlformats.org/officeDocument/2006/relationships/hyperlink" Target="https://drive.google.com/uc?export=download&amp;id=1JG45pw6TKYTfzUEFvO-UaRxfX6JfjFL7" TargetMode="External"/><Relationship Id="rId443" Type="http://schemas.openxmlformats.org/officeDocument/2006/relationships/hyperlink" Target="https://drive.google.com/uc?export=download&amp;id=1EIKyOI3f60RO74jy4EH_LKBQ7B0rdMSd" TargetMode="External"/><Relationship Id="rId1276" Type="http://schemas.openxmlformats.org/officeDocument/2006/relationships/hyperlink" Target="https://drive.google.com/uc?export=download&amp;id=1DYaYdcAZ84ydPm7Y5cx6i4niAi9Jk_0i" TargetMode="External"/><Relationship Id="rId442" Type="http://schemas.openxmlformats.org/officeDocument/2006/relationships/hyperlink" Target="https://drive.google.com/uc?export=download&amp;id=1GKwM5VuoKm_9zj-42FpbfaMoA9DNMyEa" TargetMode="External"/><Relationship Id="rId1277" Type="http://schemas.openxmlformats.org/officeDocument/2006/relationships/hyperlink" Target="https://drive.google.com/uc?export=download&amp;id=1-88zeCm655WZpZrRrlOGqBPEsfrcGzwS" TargetMode="External"/><Relationship Id="rId441" Type="http://schemas.openxmlformats.org/officeDocument/2006/relationships/hyperlink" Target="https://drive.google.com/uc?export=download&amp;id=1hI3ybNp8ITAIdwN0UzN15B7afT-LEQCe" TargetMode="External"/><Relationship Id="rId1278" Type="http://schemas.openxmlformats.org/officeDocument/2006/relationships/hyperlink" Target="https://drive.google.com/uc?export=download&amp;id=1BbPaGqAwNXAO_PVAqkSjLDc_Tpynb_XD" TargetMode="External"/><Relationship Id="rId1268" Type="http://schemas.openxmlformats.org/officeDocument/2006/relationships/hyperlink" Target="https://drive.google.com/uc?export=download&amp;id=1AU9gvV5pQaGNBQZxPyds32u3FhXZltyc" TargetMode="External"/><Relationship Id="rId1269" Type="http://schemas.openxmlformats.org/officeDocument/2006/relationships/hyperlink" Target="https://drive.google.com/uc?export=download&amp;id=1xeNd9pjP7AC_8DmkeyouZn4CS7D8Pm8g" TargetMode="External"/><Relationship Id="rId437" Type="http://schemas.openxmlformats.org/officeDocument/2006/relationships/hyperlink" Target="https://drive.google.com/uc?export=download&amp;id=17fUkMxGyR10PGnIbytuxR5OJax22h21I" TargetMode="External"/><Relationship Id="rId436" Type="http://schemas.openxmlformats.org/officeDocument/2006/relationships/hyperlink" Target="https://drive.google.com/uc?export=download&amp;id=1k9znq-JJuiTTe2vWFBHNSicufXTGNSRE" TargetMode="External"/><Relationship Id="rId435" Type="http://schemas.openxmlformats.org/officeDocument/2006/relationships/hyperlink" Target="https://drive.google.com/uc?export=download&amp;id=1uM5d88UAZmtc-PJYQ97zi1LeicVW5COb" TargetMode="External"/><Relationship Id="rId434" Type="http://schemas.openxmlformats.org/officeDocument/2006/relationships/hyperlink" Target="https://drive.google.com/uc?export=download&amp;id=19tHU1cj8w2i0JkupYuo63BcBP7Jxi7P7" TargetMode="External"/><Relationship Id="rId439" Type="http://schemas.openxmlformats.org/officeDocument/2006/relationships/hyperlink" Target="https://drive.google.com/uc?export=download&amp;id=1srGiRSHcMSpe_IFp7Ol-EnfPs4Lkd06f" TargetMode="External"/><Relationship Id="rId438" Type="http://schemas.openxmlformats.org/officeDocument/2006/relationships/hyperlink" Target="https://drive.google.com/uc?export=download&amp;id=1kjLFnF1XdyaLrcqmpvenTxJETDE4m17E" TargetMode="External"/><Relationship Id="rId1260" Type="http://schemas.openxmlformats.org/officeDocument/2006/relationships/hyperlink" Target="https://drive.google.com/uc?export=download&amp;id=1Dbv2LcoVXcUHCgL0WEsMNaXbqP7HNtcS" TargetMode="External"/><Relationship Id="rId1261" Type="http://schemas.openxmlformats.org/officeDocument/2006/relationships/hyperlink" Target="https://drive.google.com/uc?export=download&amp;id=1wWIuzeF1ql7X2qalJyne1PMOXX-ohJ86" TargetMode="External"/><Relationship Id="rId1262" Type="http://schemas.openxmlformats.org/officeDocument/2006/relationships/hyperlink" Target="https://drive.google.com/uc?export=download&amp;id=1cEqgPyNSdb1nWbqOVd5fcZt7EOt4c5kY" TargetMode="External"/><Relationship Id="rId1263" Type="http://schemas.openxmlformats.org/officeDocument/2006/relationships/hyperlink" Target="https://drive.google.com/uc?export=download&amp;id=1rdo4D67LDpUu10TS4ognhi1rB96H_Z3V" TargetMode="External"/><Relationship Id="rId433" Type="http://schemas.openxmlformats.org/officeDocument/2006/relationships/hyperlink" Target="https://drive.google.com/uc?export=download&amp;id=1ZnJsvnXX6f2C7NJigegmJ3EcwFFpU8aB" TargetMode="External"/><Relationship Id="rId1264" Type="http://schemas.openxmlformats.org/officeDocument/2006/relationships/hyperlink" Target="https://drive.google.com/uc?export=download&amp;id=1p7BU1SOt9hXLPMmC6mWlsvNZuzLuttfY" TargetMode="External"/><Relationship Id="rId432" Type="http://schemas.openxmlformats.org/officeDocument/2006/relationships/hyperlink" Target="https://drive.google.com/uc?export=download&amp;id=18cEiMfHCEGoDaboyiDc1L56RYu2dJTwz" TargetMode="External"/><Relationship Id="rId1265" Type="http://schemas.openxmlformats.org/officeDocument/2006/relationships/hyperlink" Target="https://drive.google.com/uc?export=download&amp;id=1m9E39oUFYK99feda2Gi7MxprJn78OT8c" TargetMode="External"/><Relationship Id="rId431" Type="http://schemas.openxmlformats.org/officeDocument/2006/relationships/hyperlink" Target="https://drive.google.com/uc?export=download&amp;id=1JW_Xu5hhcrn5G066pr870VH4mdJ13I-r" TargetMode="External"/><Relationship Id="rId1266" Type="http://schemas.openxmlformats.org/officeDocument/2006/relationships/hyperlink" Target="https://drive.google.com/uc?export=download&amp;id=1kUtrcq9G7gBepCt31ehma2YACc58exuX" TargetMode="External"/><Relationship Id="rId430" Type="http://schemas.openxmlformats.org/officeDocument/2006/relationships/hyperlink" Target="https://drive.google.com/uc?export=download&amp;id=1q-xhDhcdbturDozG_9wiWHDYIVdPFD1k" TargetMode="External"/><Relationship Id="rId1267" Type="http://schemas.openxmlformats.org/officeDocument/2006/relationships/hyperlink" Target="https://drive.google.com/uc?export=download&amp;id=16fMi2An3uY3WIx_e_LHH8OqADNybIUq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63"/>
    <col customWidth="1" min="2" max="2" width="111.13"/>
    <col customWidth="1" min="3" max="3" width="24.88"/>
    <col customWidth="1" min="4" max="4" width="12.63"/>
  </cols>
  <sheetData>
    <row r="1" ht="55.5" customHeight="1">
      <c r="A1" s="1"/>
      <c r="B1" s="2" t="s">
        <v>0</v>
      </c>
      <c r="C1" s="3" t="s">
        <v>1</v>
      </c>
      <c r="D1" s="4"/>
      <c r="E1" s="4"/>
      <c r="F1" s="4"/>
      <c r="G1" s="4"/>
      <c r="H1" s="4"/>
      <c r="I1" s="4"/>
      <c r="J1" s="4"/>
      <c r="K1" s="4"/>
      <c r="L1" s="4"/>
      <c r="M1" s="4"/>
      <c r="N1" s="4"/>
      <c r="O1" s="4"/>
      <c r="P1" s="4"/>
      <c r="Q1" s="4"/>
      <c r="R1" s="4"/>
      <c r="S1" s="4"/>
      <c r="T1" s="4"/>
      <c r="U1" s="4"/>
      <c r="V1" s="4"/>
    </row>
    <row r="2" ht="15.75" customHeight="1">
      <c r="A2" s="5" t="s">
        <v>2</v>
      </c>
      <c r="B2" s="6" t="s">
        <v>3</v>
      </c>
      <c r="C2" s="7" t="s">
        <v>4</v>
      </c>
      <c r="D2" s="8"/>
      <c r="E2" s="8"/>
      <c r="F2" s="8"/>
      <c r="G2" s="8"/>
      <c r="H2" s="8"/>
      <c r="I2" s="8"/>
      <c r="J2" s="8"/>
      <c r="K2" s="8"/>
      <c r="L2" s="8"/>
      <c r="M2" s="8"/>
      <c r="N2" s="8"/>
      <c r="O2" s="8"/>
      <c r="P2" s="8"/>
      <c r="Q2" s="8"/>
      <c r="R2" s="8"/>
      <c r="S2" s="8"/>
      <c r="T2" s="8"/>
      <c r="U2" s="8"/>
      <c r="V2" s="8"/>
    </row>
    <row r="3" ht="15.75" customHeight="1">
      <c r="A3" s="9" t="s">
        <v>5</v>
      </c>
      <c r="B3" s="10" t="s">
        <v>6</v>
      </c>
      <c r="C3" s="11" t="s">
        <v>7</v>
      </c>
      <c r="D3" s="12" t="str">
        <f>IFERROR(__xludf.DUMMYFUNCTION("IFS(
  REGEXMATCH(A3&amp;B3, ""(?i)openai|gpt|gemini|anthropic|claude|mistral|cohere|rag|vector|llm|chatbot|ai-powered""), ""AI &amp; LLM"",
  REGEXMATCH(A3&amp;B3, ""(?i)twitter|instagram|facebook|linkedin|youtube|tiktok|threads|bluesky|pinterest|social video|reels"&amp;"?|shorts?""), ""Social Media"",
  REGEXMATCH(A3&amp;B3, ""(?i)hubspot|pipedrive|stripe|shopify|woocommerce|sales|crm|invoice|order|leads?|recruitment|bamboohr|erpnext""), ""CRM &amp; Sales"",
  REGEXMATCH(A3&amp;B3, ""(?i)gmail|outlook|calendar|slack|discord|telegram"&amp;"|whatsapp|notion|trello|drive|sheets?|meeting|scheduler|appointment|mattermost""), ""Productivity &amp; Communication"",
  REGEXMATCH(A3&amp;B3, ""(?i)github|api|webhook|http|mysql|supabase|mongodb|redis|rss|pr|code review|incident|pagerduty|jira""), ""Developmen"&amp;"t &amp; Utilities"",
  TRUE, ""Others""
)"),"AI &amp; LLM")</f>
        <v>AI &amp; LLM</v>
      </c>
      <c r="E3" s="12"/>
      <c r="F3" s="12"/>
      <c r="G3" s="12"/>
      <c r="H3" s="12"/>
      <c r="I3" s="12"/>
      <c r="J3" s="12"/>
      <c r="K3" s="12"/>
      <c r="L3" s="12"/>
      <c r="M3" s="12"/>
      <c r="N3" s="12"/>
      <c r="O3" s="12"/>
      <c r="P3" s="12"/>
      <c r="Q3" s="12"/>
      <c r="R3" s="12"/>
      <c r="S3" s="12"/>
      <c r="T3" s="12"/>
      <c r="U3" s="12"/>
      <c r="V3" s="12"/>
    </row>
    <row r="4" ht="15.75" customHeight="1">
      <c r="A4" s="9" t="s">
        <v>8</v>
      </c>
      <c r="B4" s="10" t="s">
        <v>9</v>
      </c>
      <c r="C4" s="13" t="s">
        <v>7</v>
      </c>
      <c r="D4" s="12" t="str">
        <f>IFERROR(__xludf.DUMMYFUNCTION("IFS(
  REGEXMATCH(A4&amp;B4, ""(?i)openai|gpt|gemini|anthropic|claude|mistral|cohere|rag|vector|llm|chatbot|ai-powered""), ""AI &amp; LLM"",
  REGEXMATCH(A4&amp;B4, ""(?i)twitter|instagram|facebook|linkedin|youtube|tiktok|threads|bluesky|pinterest|social video|reels"&amp;"?|shorts?""), ""Social Media"",
  REGEXMATCH(A4&amp;B4, ""(?i)hubspot|pipedrive|stripe|shopify|woocommerce|sales|crm|invoice|order|leads?|recruitment|bamboohr|erpnext""), ""CRM &amp; Sales"",
  REGEXMATCH(A4&amp;B4, ""(?i)gmail|outlook|calendar|slack|discord|telegram"&amp;"|whatsapp|notion|trello|drive|sheets?|meeting|scheduler|appointment|mattermost""), ""Productivity &amp; Communication"",
  REGEXMATCH(A4&amp;B4, ""(?i)github|api|webhook|http|mysql|supabase|mongodb|redis|rss|pr|code review|incident|pagerduty|jira""), ""Developmen"&amp;"t &amp; Utilities"",
  TRUE, ""Others""
)"),"AI &amp; LLM")</f>
        <v>AI &amp; LLM</v>
      </c>
      <c r="E4" s="12"/>
      <c r="F4" s="12"/>
      <c r="G4" s="12"/>
      <c r="H4" s="12"/>
      <c r="I4" s="12"/>
      <c r="J4" s="12"/>
      <c r="K4" s="12"/>
      <c r="L4" s="12"/>
      <c r="M4" s="12"/>
      <c r="N4" s="12"/>
      <c r="O4" s="12"/>
      <c r="P4" s="12"/>
      <c r="Q4" s="12"/>
      <c r="R4" s="12"/>
      <c r="S4" s="12"/>
      <c r="T4" s="12"/>
      <c r="U4" s="12"/>
      <c r="V4" s="12"/>
    </row>
    <row r="5" ht="15.75" customHeight="1">
      <c r="A5" s="9" t="s">
        <v>10</v>
      </c>
      <c r="B5" s="10" t="s">
        <v>11</v>
      </c>
      <c r="C5" s="13" t="s">
        <v>7</v>
      </c>
      <c r="D5" s="12" t="str">
        <f>IFERROR(__xludf.DUMMYFUNCTION("IFS(
  REGEXMATCH(A5&amp;B5, ""(?i)openai|gpt|gemini|anthropic|claude|mistral|cohere|rag|vector|llm|chatbot|ai-powered""), ""AI &amp; LLM"",
  REGEXMATCH(A5&amp;B5, ""(?i)twitter|instagram|facebook|linkedin|youtube|tiktok|threads|bluesky|pinterest|social video|reels"&amp;"?|shorts?""), ""Social Media"",
  REGEXMATCH(A5&amp;B5, ""(?i)hubspot|pipedrive|stripe|shopify|woocommerce|sales|crm|invoice|order|leads?|recruitment|bamboohr|erpnext""), ""CRM &amp; Sales"",
  REGEXMATCH(A5&amp;B5, ""(?i)gmail|outlook|calendar|slack|discord|telegram"&amp;"|whatsapp|notion|trello|drive|sheets?|meeting|scheduler|appointment|mattermost""), ""Productivity &amp; Communication"",
  REGEXMATCH(A5&amp;B5, ""(?i)github|api|webhook|http|mysql|supabase|mongodb|redis|rss|pr|code review|incident|pagerduty|jira""), ""Developmen"&amp;"t &amp; Utilities"",
  TRUE, ""Others""
)"),"AI &amp; LLM")</f>
        <v>AI &amp; LLM</v>
      </c>
      <c r="E5" s="12"/>
      <c r="F5" s="12"/>
      <c r="G5" s="12"/>
      <c r="H5" s="12"/>
      <c r="I5" s="12"/>
      <c r="J5" s="12"/>
      <c r="K5" s="12"/>
      <c r="L5" s="12"/>
      <c r="M5" s="12"/>
      <c r="N5" s="12"/>
      <c r="O5" s="12"/>
      <c r="P5" s="12"/>
      <c r="Q5" s="12"/>
      <c r="R5" s="12"/>
      <c r="S5" s="12"/>
      <c r="T5" s="12"/>
      <c r="U5" s="12"/>
      <c r="V5" s="12"/>
    </row>
    <row r="6" ht="15.75" customHeight="1">
      <c r="A6" s="9" t="s">
        <v>12</v>
      </c>
      <c r="B6" s="10" t="s">
        <v>13</v>
      </c>
      <c r="C6" s="13" t="s">
        <v>7</v>
      </c>
      <c r="D6" s="12" t="str">
        <f>IFERROR(__xludf.DUMMYFUNCTION("IFS(
  REGEXMATCH(A6&amp;B6, ""(?i)openai|gpt|gemini|anthropic|claude|mistral|cohere|rag|vector|llm|chatbot|ai-powered""), ""AI &amp; LLM"",
  REGEXMATCH(A6&amp;B6, ""(?i)twitter|instagram|facebook|linkedin|youtube|tiktok|threads|bluesky|pinterest|social video|reels"&amp;"?|shorts?""), ""Social Media"",
  REGEXMATCH(A6&amp;B6, ""(?i)hubspot|pipedrive|stripe|shopify|woocommerce|sales|crm|invoice|order|leads?|recruitment|bamboohr|erpnext""), ""CRM &amp; Sales"",
  REGEXMATCH(A6&amp;B6, ""(?i)gmail|outlook|calendar|slack|discord|telegram"&amp;"|whatsapp|notion|trello|drive|sheets?|meeting|scheduler|appointment|mattermost""), ""Productivity &amp; Communication"",
  REGEXMATCH(A6&amp;B6, ""(?i)github|api|webhook|http|mysql|supabase|mongodb|redis|rss|pr|code review|incident|pagerduty|jira""), ""Developmen"&amp;"t &amp; Utilities"",
  TRUE, ""Others""
)"),"AI &amp; LLM")</f>
        <v>AI &amp; LLM</v>
      </c>
      <c r="E6" s="12"/>
      <c r="F6" s="12"/>
      <c r="G6" s="12"/>
      <c r="H6" s="12"/>
      <c r="I6" s="12"/>
      <c r="J6" s="12"/>
      <c r="K6" s="12"/>
      <c r="L6" s="12"/>
      <c r="M6" s="12"/>
      <c r="N6" s="12"/>
      <c r="O6" s="12"/>
      <c r="P6" s="12"/>
      <c r="Q6" s="12"/>
      <c r="R6" s="12"/>
      <c r="S6" s="12"/>
      <c r="T6" s="12"/>
      <c r="U6" s="12"/>
      <c r="V6" s="12"/>
    </row>
    <row r="7" ht="15.75" customHeight="1">
      <c r="A7" s="9" t="s">
        <v>14</v>
      </c>
      <c r="B7" s="10" t="s">
        <v>15</v>
      </c>
      <c r="C7" s="13" t="s">
        <v>7</v>
      </c>
      <c r="D7" s="12" t="str">
        <f>IFERROR(__xludf.DUMMYFUNCTION("IFS(
  REGEXMATCH(A7&amp;B7, ""(?i)openai|gpt|gemini|anthropic|claude|mistral|cohere|rag|vector|llm|chatbot|ai-powered""), ""AI &amp; LLM"",
  REGEXMATCH(A7&amp;B7, ""(?i)twitter|instagram|facebook|linkedin|youtube|tiktok|threads|bluesky|pinterest|social video|reels"&amp;"?|shorts?""), ""Social Media"",
  REGEXMATCH(A7&amp;B7, ""(?i)hubspot|pipedrive|stripe|shopify|woocommerce|sales|crm|invoice|order|leads?|recruitment|bamboohr|erpnext""), ""CRM &amp; Sales"",
  REGEXMATCH(A7&amp;B7, ""(?i)gmail|outlook|calendar|slack|discord|telegram"&amp;"|whatsapp|notion|trello|drive|sheets?|meeting|scheduler|appointment|mattermost""), ""Productivity &amp; Communication"",
  REGEXMATCH(A7&amp;B7, ""(?i)github|api|webhook|http|mysql|supabase|mongodb|redis|rss|pr|code review|incident|pagerduty|jira""), ""Developmen"&amp;"t &amp; Utilities"",
  TRUE, ""Others""
)"),"AI &amp; LLM")</f>
        <v>AI &amp; LLM</v>
      </c>
      <c r="E7" s="12"/>
      <c r="F7" s="12"/>
      <c r="G7" s="12"/>
      <c r="H7" s="12"/>
      <c r="I7" s="12"/>
      <c r="J7" s="12"/>
      <c r="K7" s="12"/>
      <c r="L7" s="12"/>
      <c r="M7" s="12"/>
      <c r="N7" s="12"/>
      <c r="O7" s="12"/>
      <c r="P7" s="12"/>
      <c r="Q7" s="12"/>
      <c r="R7" s="12"/>
      <c r="S7" s="12"/>
      <c r="T7" s="12"/>
      <c r="U7" s="12"/>
      <c r="V7" s="12"/>
    </row>
    <row r="8" ht="15.75" customHeight="1">
      <c r="A8" s="9" t="s">
        <v>16</v>
      </c>
      <c r="B8" s="10" t="s">
        <v>17</v>
      </c>
      <c r="C8" s="13" t="s">
        <v>7</v>
      </c>
      <c r="D8" s="12" t="str">
        <f>IFERROR(__xludf.DUMMYFUNCTION("IFS(
  REGEXMATCH(A8&amp;B8, ""(?i)openai|gpt|gemini|anthropic|claude|mistral|cohere|rag|vector|llm|chatbot|ai-powered""), ""AI &amp; LLM"",
  REGEXMATCH(A8&amp;B8, ""(?i)twitter|instagram|facebook|linkedin|youtube|tiktok|threads|bluesky|pinterest|social video|reels"&amp;"?|shorts?""), ""Social Media"",
  REGEXMATCH(A8&amp;B8, ""(?i)hubspot|pipedrive|stripe|shopify|woocommerce|sales|crm|invoice|order|leads?|recruitment|bamboohr|erpnext""), ""CRM &amp; Sales"",
  REGEXMATCH(A8&amp;B8, ""(?i)gmail|outlook|calendar|slack|discord|telegram"&amp;"|whatsapp|notion|trello|drive|sheets?|meeting|scheduler|appointment|mattermost""), ""Productivity &amp; Communication"",
  REGEXMATCH(A8&amp;B8, ""(?i)github|api|webhook|http|mysql|supabase|mongodb|redis|rss|pr|code review|incident|pagerduty|jira""), ""Developmen"&amp;"t &amp; Utilities"",
  TRUE, ""Others""
)"),"AI &amp; LLM")</f>
        <v>AI &amp; LLM</v>
      </c>
      <c r="E8" s="12"/>
      <c r="F8" s="12"/>
      <c r="G8" s="12"/>
      <c r="H8" s="12"/>
      <c r="I8" s="12"/>
      <c r="J8" s="12"/>
      <c r="K8" s="12"/>
      <c r="L8" s="12"/>
      <c r="M8" s="12"/>
      <c r="N8" s="12"/>
      <c r="O8" s="12"/>
      <c r="P8" s="12"/>
      <c r="Q8" s="12"/>
      <c r="R8" s="12"/>
      <c r="S8" s="12"/>
      <c r="T8" s="12"/>
      <c r="U8" s="12"/>
      <c r="V8" s="12"/>
    </row>
    <row r="9" ht="15.75" customHeight="1">
      <c r="A9" s="9" t="s">
        <v>18</v>
      </c>
      <c r="B9" s="10" t="s">
        <v>19</v>
      </c>
      <c r="C9" s="13" t="s">
        <v>7</v>
      </c>
      <c r="D9" s="12" t="str">
        <f>IFERROR(__xludf.DUMMYFUNCTION("IFS(
  REGEXMATCH(A9&amp;B9, ""(?i)openai|gpt|gemini|anthropic|claude|mistral|cohere|rag|vector|llm|chatbot|ai-powered""), ""AI &amp; LLM"",
  REGEXMATCH(A9&amp;B9, ""(?i)twitter|instagram|facebook|linkedin|youtube|tiktok|threads|bluesky|pinterest|social video|reels"&amp;"?|shorts?""), ""Social Media"",
  REGEXMATCH(A9&amp;B9, ""(?i)hubspot|pipedrive|stripe|shopify|woocommerce|sales|crm|invoice|order|leads?|recruitment|bamboohr|erpnext""), ""CRM &amp; Sales"",
  REGEXMATCH(A9&amp;B9, ""(?i)gmail|outlook|calendar|slack|discord|telegram"&amp;"|whatsapp|notion|trello|drive|sheets?|meeting|scheduler|appointment|mattermost""), ""Productivity &amp; Communication"",
  REGEXMATCH(A9&amp;B9, ""(?i)github|api|webhook|http|mysql|supabase|mongodb|redis|rss|pr|code review|incident|pagerduty|jira""), ""Developmen"&amp;"t &amp; Utilities"",
  TRUE, ""Others""
)"),"AI &amp; LLM")</f>
        <v>AI &amp; LLM</v>
      </c>
      <c r="E9" s="12"/>
      <c r="F9" s="12"/>
      <c r="G9" s="12"/>
      <c r="H9" s="12"/>
      <c r="I9" s="12"/>
      <c r="J9" s="12"/>
      <c r="K9" s="12"/>
      <c r="L9" s="12"/>
      <c r="M9" s="12"/>
      <c r="N9" s="12"/>
      <c r="O9" s="12"/>
      <c r="P9" s="12"/>
      <c r="Q9" s="12"/>
      <c r="R9" s="12"/>
      <c r="S9" s="12"/>
      <c r="T9" s="12"/>
      <c r="U9" s="12"/>
      <c r="V9" s="12"/>
    </row>
    <row r="10" ht="15.75" customHeight="1">
      <c r="A10" s="9" t="s">
        <v>20</v>
      </c>
      <c r="B10" s="10" t="s">
        <v>21</v>
      </c>
      <c r="C10" s="13" t="s">
        <v>7</v>
      </c>
      <c r="D10" s="12" t="str">
        <f>IFERROR(__xludf.DUMMYFUNCTION("IFS(
  REGEXMATCH(A10&amp;B10, ""(?i)openai|gpt|gemini|anthropic|claude|mistral|cohere|rag|vector|llm|chatbot|ai-powered""), ""AI &amp; LLM"",
  REGEXMATCH(A10&amp;B10, ""(?i)twitter|instagram|facebook|linkedin|youtube|tiktok|threads|bluesky|pinterest|social video|r"&amp;"eels?|shorts?""), ""Social Media"",
  REGEXMATCH(A10&amp;B10, ""(?i)hubspot|pipedrive|stripe|shopify|woocommerce|sales|crm|invoice|order|leads?|recruitment|bamboohr|erpnext""), ""CRM &amp; Sales"",
  REGEXMATCH(A10&amp;B10, ""(?i)gmail|outlook|calendar|slack|discord|"&amp;"telegram|whatsapp|notion|trello|drive|sheets?|meeting|scheduler|appointment|mattermost""), ""Productivity &amp; Communication"",
  REGEXMATCH(A10&amp;B10, ""(?i)github|api|webhook|http|mysql|supabase|mongodb|redis|rss|pr|code review|incident|pagerduty|jira""), """&amp;"Development &amp; Utilities"",
  TRUE, ""Others""
)"),"AI &amp; LLM")</f>
        <v>AI &amp; LLM</v>
      </c>
      <c r="E10" s="12"/>
      <c r="F10" s="12"/>
      <c r="G10" s="12"/>
      <c r="H10" s="12"/>
      <c r="I10" s="12"/>
      <c r="J10" s="12"/>
      <c r="K10" s="12"/>
      <c r="L10" s="12"/>
      <c r="M10" s="12"/>
      <c r="N10" s="12"/>
      <c r="O10" s="12"/>
      <c r="P10" s="12"/>
      <c r="Q10" s="12"/>
      <c r="R10" s="12"/>
      <c r="S10" s="12"/>
      <c r="T10" s="12"/>
      <c r="U10" s="12"/>
      <c r="V10" s="12"/>
    </row>
    <row r="11" ht="15.75" customHeight="1">
      <c r="A11" s="9" t="s">
        <v>22</v>
      </c>
      <c r="B11" s="10" t="s">
        <v>23</v>
      </c>
      <c r="C11" s="13" t="s">
        <v>7</v>
      </c>
      <c r="D11" s="12" t="str">
        <f>IFERROR(__xludf.DUMMYFUNCTION("IFS(
  REGEXMATCH(A11&amp;B11, ""(?i)openai|gpt|gemini|anthropic|claude|mistral|cohere|rag|vector|llm|chatbot|ai-powered""), ""AI &amp; LLM"",
  REGEXMATCH(A11&amp;B11, ""(?i)twitter|instagram|facebook|linkedin|youtube|tiktok|threads|bluesky|pinterest|social video|r"&amp;"eels?|shorts?""), ""Social Media"",
  REGEXMATCH(A11&amp;B11, ""(?i)hubspot|pipedrive|stripe|shopify|woocommerce|sales|crm|invoice|order|leads?|recruitment|bamboohr|erpnext""), ""CRM &amp; Sales"",
  REGEXMATCH(A11&amp;B11, ""(?i)gmail|outlook|calendar|slack|discord|"&amp;"telegram|whatsapp|notion|trello|drive|sheets?|meeting|scheduler|appointment|mattermost""), ""Productivity &amp; Communication"",
  REGEXMATCH(A11&amp;B11, ""(?i)github|api|webhook|http|mysql|supabase|mongodb|redis|rss|pr|code review|incident|pagerduty|jira""), """&amp;"Development &amp; Utilities"",
  TRUE, ""Others""
)"),"AI &amp; LLM")</f>
        <v>AI &amp; LLM</v>
      </c>
      <c r="E11" s="12"/>
      <c r="F11" s="12"/>
      <c r="G11" s="12"/>
      <c r="H11" s="12"/>
      <c r="I11" s="12"/>
      <c r="J11" s="12"/>
      <c r="K11" s="12"/>
      <c r="L11" s="12"/>
      <c r="M11" s="12"/>
      <c r="N11" s="12"/>
      <c r="O11" s="12"/>
      <c r="P11" s="12"/>
      <c r="Q11" s="12"/>
      <c r="R11" s="12"/>
      <c r="S11" s="12"/>
      <c r="T11" s="12"/>
      <c r="U11" s="12"/>
      <c r="V11" s="12"/>
    </row>
    <row r="12" ht="15.75" customHeight="1">
      <c r="A12" s="9" t="s">
        <v>24</v>
      </c>
      <c r="B12" s="10" t="s">
        <v>25</v>
      </c>
      <c r="C12" s="13" t="s">
        <v>7</v>
      </c>
      <c r="D12" s="12" t="str">
        <f>IFERROR(__xludf.DUMMYFUNCTION("IFS(
  REGEXMATCH(A12&amp;B12, ""(?i)openai|gpt|gemini|anthropic|claude|mistral|cohere|rag|vector|llm|chatbot|ai-powered""), ""AI &amp; LLM"",
  REGEXMATCH(A12&amp;B12, ""(?i)twitter|instagram|facebook|linkedin|youtube|tiktok|threads|bluesky|pinterest|social video|r"&amp;"eels?|shorts?""), ""Social Media"",
  REGEXMATCH(A12&amp;B12, ""(?i)hubspot|pipedrive|stripe|shopify|woocommerce|sales|crm|invoice|order|leads?|recruitment|bamboohr|erpnext""), ""CRM &amp; Sales"",
  REGEXMATCH(A12&amp;B12, ""(?i)gmail|outlook|calendar|slack|discord|"&amp;"telegram|whatsapp|notion|trello|drive|sheets?|meeting|scheduler|appointment|mattermost""), ""Productivity &amp; Communication"",
  REGEXMATCH(A12&amp;B12, ""(?i)github|api|webhook|http|mysql|supabase|mongodb|redis|rss|pr|code review|incident|pagerduty|jira""), """&amp;"Development &amp; Utilities"",
  TRUE, ""Others""
)"),"AI &amp; LLM")</f>
        <v>AI &amp; LLM</v>
      </c>
    </row>
    <row r="13" ht="15.75" customHeight="1">
      <c r="A13" s="14" t="s">
        <v>26</v>
      </c>
      <c r="B13" s="15" t="s">
        <v>27</v>
      </c>
      <c r="C13" s="16" t="s">
        <v>7</v>
      </c>
      <c r="D13" s="12" t="str">
        <f>IFERROR(__xludf.DUMMYFUNCTION("IFS(
  REGEXMATCH(A13&amp;B13, ""(?i)openai|gpt|gemini|anthropic|claude|mistral|cohere|rag|vector|llm|chatbot|ai-powered""), ""AI &amp; LLM"",
  REGEXMATCH(A13&amp;B13, ""(?i)twitter|instagram|facebook|linkedin|youtube|tiktok|threads|bluesky|pinterest|social video|r"&amp;"eels?|shorts?""), ""Social Media"",
  REGEXMATCH(A13&amp;B13, ""(?i)hubspot|pipedrive|stripe|shopify|woocommerce|sales|crm|invoice|order|leads?|recruitment|bamboohr|erpnext""), ""CRM &amp; Sales"",
  REGEXMATCH(A13&amp;B13, ""(?i)gmail|outlook|calendar|slack|discord|"&amp;"telegram|whatsapp|notion|trello|drive|sheets?|meeting|scheduler|appointment|mattermost""), ""Productivity &amp; Communication"",
  REGEXMATCH(A13&amp;B13, ""(?i)github|api|webhook|http|mysql|supabase|mongodb|redis|rss|pr|code review|incident|pagerduty|jira""), """&amp;"Development &amp; Utilities"",
  TRUE, ""Others""
)"),"AI &amp; LLM")</f>
        <v>AI &amp; LLM</v>
      </c>
    </row>
    <row r="14" ht="15.75" customHeight="1">
      <c r="A14" s="14" t="s">
        <v>28</v>
      </c>
      <c r="B14" s="15" t="s">
        <v>29</v>
      </c>
      <c r="C14" s="16" t="s">
        <v>7</v>
      </c>
      <c r="D14" s="12" t="str">
        <f>IFERROR(__xludf.DUMMYFUNCTION("IFS(
  REGEXMATCH(A14&amp;B14, ""(?i)openai|gpt|gemini|anthropic|claude|mistral|cohere|rag|vector|llm|chatbot|ai-powered""), ""AI &amp; LLM"",
  REGEXMATCH(A14&amp;B14, ""(?i)twitter|instagram|facebook|linkedin|youtube|tiktok|threads|bluesky|pinterest|social video|r"&amp;"eels?|shorts?""), ""Social Media"",
  REGEXMATCH(A14&amp;B14, ""(?i)hubspot|pipedrive|stripe|shopify|woocommerce|sales|crm|invoice|order|leads?|recruitment|bamboohr|erpnext""), ""CRM &amp; Sales"",
  REGEXMATCH(A14&amp;B14, ""(?i)gmail|outlook|calendar|slack|discord|"&amp;"telegram|whatsapp|notion|trello|drive|sheets?|meeting|scheduler|appointment|mattermost""), ""Productivity &amp; Communication"",
  REGEXMATCH(A14&amp;B14, ""(?i)github|api|webhook|http|mysql|supabase|mongodb|redis|rss|pr|code review|incident|pagerduty|jira""), """&amp;"Development &amp; Utilities"",
  TRUE, ""Others""
)"),"AI &amp; LLM")</f>
        <v>AI &amp; LLM</v>
      </c>
    </row>
    <row r="15" ht="15.75" customHeight="1">
      <c r="A15" s="14" t="s">
        <v>30</v>
      </c>
      <c r="B15" s="15" t="s">
        <v>31</v>
      </c>
      <c r="C15" s="16" t="s">
        <v>7</v>
      </c>
      <c r="D15" s="12" t="str">
        <f>IFERROR(__xludf.DUMMYFUNCTION("IFS(
  REGEXMATCH(A15&amp;B15, ""(?i)openai|gpt|gemini|anthropic|claude|mistral|cohere|rag|vector|llm|chatbot|ai-powered""), ""AI &amp; LLM"",
  REGEXMATCH(A15&amp;B15, ""(?i)twitter|instagram|facebook|linkedin|youtube|tiktok|threads|bluesky|pinterest|social video|r"&amp;"eels?|shorts?""), ""Social Media"",
  REGEXMATCH(A15&amp;B15, ""(?i)hubspot|pipedrive|stripe|shopify|woocommerce|sales|crm|invoice|order|leads?|recruitment|bamboohr|erpnext""), ""CRM &amp; Sales"",
  REGEXMATCH(A15&amp;B15, ""(?i)gmail|outlook|calendar|slack|discord|"&amp;"telegram|whatsapp|notion|trello|drive|sheets?|meeting|scheduler|appointment|mattermost""), ""Productivity &amp; Communication"",
  REGEXMATCH(A15&amp;B15, ""(?i)github|api|webhook|http|mysql|supabase|mongodb|redis|rss|pr|code review|incident|pagerduty|jira""), """&amp;"Development &amp; Utilities"",
  TRUE, ""Others""
)"),"Productivity &amp; Communication")</f>
        <v>Productivity &amp; Communication</v>
      </c>
    </row>
    <row r="16" ht="15.75" customHeight="1">
      <c r="A16" s="14" t="s">
        <v>32</v>
      </c>
      <c r="B16" s="15" t="s">
        <v>33</v>
      </c>
      <c r="C16" s="16" t="s">
        <v>7</v>
      </c>
      <c r="D16" s="12" t="str">
        <f>IFERROR(__xludf.DUMMYFUNCTION("IFS(
  REGEXMATCH(A16&amp;B16, ""(?i)openai|gpt|gemini|anthropic|claude|mistral|cohere|rag|vector|llm|chatbot|ai-powered""), ""AI &amp; LLM"",
  REGEXMATCH(A16&amp;B16, ""(?i)twitter|instagram|facebook|linkedin|youtube|tiktok|threads|bluesky|pinterest|social video|r"&amp;"eels?|shorts?""), ""Social Media"",
  REGEXMATCH(A16&amp;B16, ""(?i)hubspot|pipedrive|stripe|shopify|woocommerce|sales|crm|invoice|order|leads?|recruitment|bamboohr|erpnext""), ""CRM &amp; Sales"",
  REGEXMATCH(A16&amp;B16, ""(?i)gmail|outlook|calendar|slack|discord|"&amp;"telegram|whatsapp|notion|trello|drive|sheets?|meeting|scheduler|appointment|mattermost""), ""Productivity &amp; Communication"",
  REGEXMATCH(A16&amp;B16, ""(?i)github|api|webhook|http|mysql|supabase|mongodb|redis|rss|pr|code review|incident|pagerduty|jira""), """&amp;"Development &amp; Utilities"",
  TRUE, ""Others""
)"),"Social Media")</f>
        <v>Social Media</v>
      </c>
    </row>
    <row r="17" ht="15.75" customHeight="1">
      <c r="A17" s="14" t="s">
        <v>34</v>
      </c>
      <c r="B17" s="15" t="s">
        <v>35</v>
      </c>
      <c r="C17" s="16" t="s">
        <v>7</v>
      </c>
      <c r="D17" s="12" t="str">
        <f>IFERROR(__xludf.DUMMYFUNCTION("IFS(
  REGEXMATCH(A17&amp;B17, ""(?i)openai|gpt|gemini|anthropic|claude|mistral|cohere|rag|vector|llm|chatbot|ai-powered""), ""AI &amp; LLM"",
  REGEXMATCH(A17&amp;B17, ""(?i)twitter|instagram|facebook|linkedin|youtube|tiktok|threads|bluesky|pinterest|social video|r"&amp;"eels?|shorts?""), ""Social Media"",
  REGEXMATCH(A17&amp;B17, ""(?i)hubspot|pipedrive|stripe|shopify|woocommerce|sales|crm|invoice|order|leads?|recruitment|bamboohr|erpnext""), ""CRM &amp; Sales"",
  REGEXMATCH(A17&amp;B17, ""(?i)gmail|outlook|calendar|slack|discord|"&amp;"telegram|whatsapp|notion|trello|drive|sheets?|meeting|scheduler|appointment|mattermost""), ""Productivity &amp; Communication"",
  REGEXMATCH(A17&amp;B17, ""(?i)github|api|webhook|http|mysql|supabase|mongodb|redis|rss|pr|code review|incident|pagerduty|jira""), """&amp;"Development &amp; Utilities"",
  TRUE, ""Others""
)"),"AI &amp; LLM")</f>
        <v>AI &amp; LLM</v>
      </c>
    </row>
    <row r="18" ht="15.75" customHeight="1">
      <c r="A18" s="14" t="s">
        <v>36</v>
      </c>
      <c r="B18" s="15" t="s">
        <v>37</v>
      </c>
      <c r="C18" s="16" t="s">
        <v>7</v>
      </c>
      <c r="D18" s="12" t="str">
        <f>IFERROR(__xludf.DUMMYFUNCTION("IFS(
  REGEXMATCH(A18&amp;B18, ""(?i)openai|gpt|gemini|anthropic|claude|mistral|cohere|rag|vector|llm|chatbot|ai-powered""), ""AI &amp; LLM"",
  REGEXMATCH(A18&amp;B18, ""(?i)twitter|instagram|facebook|linkedin|youtube|tiktok|threads|bluesky|pinterest|social video|r"&amp;"eels?|shorts?""), ""Social Media"",
  REGEXMATCH(A18&amp;B18, ""(?i)hubspot|pipedrive|stripe|shopify|woocommerce|sales|crm|invoice|order|leads?|recruitment|bamboohr|erpnext""), ""CRM &amp; Sales"",
  REGEXMATCH(A18&amp;B18, ""(?i)gmail|outlook|calendar|slack|discord|"&amp;"telegram|whatsapp|notion|trello|drive|sheets?|meeting|scheduler|appointment|mattermost""), ""Productivity &amp; Communication"",
  REGEXMATCH(A18&amp;B18, ""(?i)github|api|webhook|http|mysql|supabase|mongodb|redis|rss|pr|code review|incident|pagerduty|jira""), """&amp;"Development &amp; Utilities"",
  TRUE, ""Others""
)"),"CRM &amp; Sales")</f>
        <v>CRM &amp; Sales</v>
      </c>
    </row>
    <row r="19" ht="15.75" customHeight="1">
      <c r="A19" s="14" t="s">
        <v>38</v>
      </c>
      <c r="B19" s="15" t="s">
        <v>39</v>
      </c>
      <c r="C19" s="16" t="s">
        <v>7</v>
      </c>
      <c r="D19" s="12" t="str">
        <f>IFERROR(__xludf.DUMMYFUNCTION("IFS(
  REGEXMATCH(A19&amp;B19, ""(?i)openai|gpt|gemini|anthropic|claude|mistral|cohere|rag|vector|llm|chatbot|ai-powered""), ""AI &amp; LLM"",
  REGEXMATCH(A19&amp;B19, ""(?i)twitter|instagram|facebook|linkedin|youtube|tiktok|threads|bluesky|pinterest|social video|r"&amp;"eels?|shorts?""), ""Social Media"",
  REGEXMATCH(A19&amp;B19, ""(?i)hubspot|pipedrive|stripe|shopify|woocommerce|sales|crm|invoice|order|leads?|recruitment|bamboohr|erpnext""), ""CRM &amp; Sales"",
  REGEXMATCH(A19&amp;B19, ""(?i)gmail|outlook|calendar|slack|discord|"&amp;"telegram|whatsapp|notion|trello|drive|sheets?|meeting|scheduler|appointment|mattermost""), ""Productivity &amp; Communication"",
  REGEXMATCH(A19&amp;B19, ""(?i)github|api|webhook|http|mysql|supabase|mongodb|redis|rss|pr|code review|incident|pagerduty|jira""), """&amp;"Development &amp; Utilities"",
  TRUE, ""Others""
)"),"CRM &amp; Sales")</f>
        <v>CRM &amp; Sales</v>
      </c>
    </row>
    <row r="20" ht="15.75" customHeight="1">
      <c r="A20" s="14" t="s">
        <v>40</v>
      </c>
      <c r="B20" s="15" t="s">
        <v>41</v>
      </c>
      <c r="C20" s="16" t="s">
        <v>7</v>
      </c>
      <c r="D20" s="12" t="str">
        <f>IFERROR(__xludf.DUMMYFUNCTION("IFS(
  REGEXMATCH(A20&amp;B20, ""(?i)openai|gpt|gemini|anthropic|claude|mistral|cohere|rag|vector|llm|chatbot|ai-powered""), ""AI &amp; LLM"",
  REGEXMATCH(A20&amp;B20, ""(?i)twitter|instagram|facebook|linkedin|youtube|tiktok|threads|bluesky|pinterest|social video|r"&amp;"eels?|shorts?""), ""Social Media"",
  REGEXMATCH(A20&amp;B20, ""(?i)hubspot|pipedrive|stripe|shopify|woocommerce|sales|crm|invoice|order|leads?|recruitment|bamboohr|erpnext""), ""CRM &amp; Sales"",
  REGEXMATCH(A20&amp;B20, ""(?i)gmail|outlook|calendar|slack|discord|"&amp;"telegram|whatsapp|notion|trello|drive|sheets?|meeting|scheduler|appointment|mattermost""), ""Productivity &amp; Communication"",
  REGEXMATCH(A20&amp;B20, ""(?i)github|api|webhook|http|mysql|supabase|mongodb|redis|rss|pr|code review|incident|pagerduty|jira""), """&amp;"Development &amp; Utilities"",
  TRUE, ""Others""
)"),"CRM &amp; Sales")</f>
        <v>CRM &amp; Sales</v>
      </c>
    </row>
    <row r="21" ht="15.75" customHeight="1">
      <c r="A21" s="14" t="s">
        <v>42</v>
      </c>
      <c r="B21" s="15" t="s">
        <v>43</v>
      </c>
      <c r="C21" s="16" t="s">
        <v>7</v>
      </c>
      <c r="D21" s="12" t="str">
        <f>IFERROR(__xludf.DUMMYFUNCTION("IFS(
  REGEXMATCH(A21&amp;B21, ""(?i)openai|gpt|gemini|anthropic|claude|mistral|cohere|rag|vector|llm|chatbot|ai-powered""), ""AI &amp; LLM"",
  REGEXMATCH(A21&amp;B21, ""(?i)twitter|instagram|facebook|linkedin|youtube|tiktok|threads|bluesky|pinterest|social video|r"&amp;"eels?|shorts?""), ""Social Media"",
  REGEXMATCH(A21&amp;B21, ""(?i)hubspot|pipedrive|stripe|shopify|woocommerce|sales|crm|invoice|order|leads?|recruitment|bamboohr|erpnext""), ""CRM &amp; Sales"",
  REGEXMATCH(A21&amp;B21, ""(?i)gmail|outlook|calendar|slack|discord|"&amp;"telegram|whatsapp|notion|trello|drive|sheets?|meeting|scheduler|appointment|mattermost""), ""Productivity &amp; Communication"",
  REGEXMATCH(A21&amp;B21, ""(?i)github|api|webhook|http|mysql|supabase|mongodb|redis|rss|pr|code review|incident|pagerduty|jira""), """&amp;"Development &amp; Utilities"",
  TRUE, ""Others""
)"),"Social Media")</f>
        <v>Social Media</v>
      </c>
    </row>
    <row r="22" ht="15.75" customHeight="1">
      <c r="A22" s="14" t="s">
        <v>44</v>
      </c>
      <c r="B22" s="15" t="s">
        <v>45</v>
      </c>
      <c r="C22" s="16" t="s">
        <v>7</v>
      </c>
      <c r="D22" s="12" t="str">
        <f>IFERROR(__xludf.DUMMYFUNCTION("IFS(
  REGEXMATCH(A22&amp;B22, ""(?i)openai|gpt|gemini|anthropic|claude|mistral|cohere|rag|vector|llm|chatbot|ai-powered""), ""AI &amp; LLM"",
  REGEXMATCH(A22&amp;B22, ""(?i)twitter|instagram|facebook|linkedin|youtube|tiktok|threads|bluesky|pinterest|social video|r"&amp;"eels?|shorts?""), ""Social Media"",
  REGEXMATCH(A22&amp;B22, ""(?i)hubspot|pipedrive|stripe|shopify|woocommerce|sales|crm|invoice|order|leads?|recruitment|bamboohr|erpnext""), ""CRM &amp; Sales"",
  REGEXMATCH(A22&amp;B22, ""(?i)gmail|outlook|calendar|slack|discord|"&amp;"telegram|whatsapp|notion|trello|drive|sheets?|meeting|scheduler|appointment|mattermost""), ""Productivity &amp; Communication"",
  REGEXMATCH(A22&amp;B22, ""(?i)github|api|webhook|http|mysql|supabase|mongodb|redis|rss|pr|code review|incident|pagerduty|jira""), """&amp;"Development &amp; Utilities"",
  TRUE, ""Others""
)"),"CRM &amp; Sales")</f>
        <v>CRM &amp; Sales</v>
      </c>
    </row>
    <row r="23" ht="15.75" customHeight="1">
      <c r="A23" s="14" t="s">
        <v>46</v>
      </c>
      <c r="B23" s="15" t="s">
        <v>47</v>
      </c>
      <c r="C23" s="16" t="s">
        <v>7</v>
      </c>
      <c r="D23" s="12" t="str">
        <f>IFERROR(__xludf.DUMMYFUNCTION("IFS(
  REGEXMATCH(A23&amp;B23, ""(?i)openai|gpt|gemini|anthropic|claude|mistral|cohere|rag|vector|llm|chatbot|ai-powered""), ""AI &amp; LLM"",
  REGEXMATCH(A23&amp;B23, ""(?i)twitter|instagram|facebook|linkedin|youtube|tiktok|threads|bluesky|pinterest|social video|r"&amp;"eels?|shorts?""), ""Social Media"",
  REGEXMATCH(A23&amp;B23, ""(?i)hubspot|pipedrive|stripe|shopify|woocommerce|sales|crm|invoice|order|leads?|recruitment|bamboohr|erpnext""), ""CRM &amp; Sales"",
  REGEXMATCH(A23&amp;B23, ""(?i)gmail|outlook|calendar|slack|discord|"&amp;"telegram|whatsapp|notion|trello|drive|sheets?|meeting|scheduler|appointment|mattermost""), ""Productivity &amp; Communication"",
  REGEXMATCH(A23&amp;B23, ""(?i)github|api|webhook|http|mysql|supabase|mongodb|redis|rss|pr|code review|incident|pagerduty|jira""), """&amp;"Development &amp; Utilities"",
  TRUE, ""Others""
)"),"AI &amp; LLM")</f>
        <v>AI &amp; LLM</v>
      </c>
    </row>
    <row r="24" ht="15.75" customHeight="1">
      <c r="A24" s="14" t="s">
        <v>48</v>
      </c>
      <c r="B24" s="15" t="s">
        <v>49</v>
      </c>
      <c r="C24" s="16" t="s">
        <v>7</v>
      </c>
      <c r="D24" s="12" t="str">
        <f>IFERROR(__xludf.DUMMYFUNCTION("IFS(
  REGEXMATCH(A24&amp;B24, ""(?i)openai|gpt|gemini|anthropic|claude|mistral|cohere|rag|vector|llm|chatbot|ai-powered""), ""AI &amp; LLM"",
  REGEXMATCH(A24&amp;B24, ""(?i)twitter|instagram|facebook|linkedin|youtube|tiktok|threads|bluesky|pinterest|social video|r"&amp;"eels?|shorts?""), ""Social Media"",
  REGEXMATCH(A24&amp;B24, ""(?i)hubspot|pipedrive|stripe|shopify|woocommerce|sales|crm|invoice|order|leads?|recruitment|bamboohr|erpnext""), ""CRM &amp; Sales"",
  REGEXMATCH(A24&amp;B24, ""(?i)gmail|outlook|calendar|slack|discord|"&amp;"telegram|whatsapp|notion|trello|drive|sheets?|meeting|scheduler|appointment|mattermost""), ""Productivity &amp; Communication"",
  REGEXMATCH(A24&amp;B24, ""(?i)github|api|webhook|http|mysql|supabase|mongodb|redis|rss|pr|code review|incident|pagerduty|jira""), """&amp;"Development &amp; Utilities"",
  TRUE, ""Others""
)"),"AI &amp; LLM")</f>
        <v>AI &amp; LLM</v>
      </c>
    </row>
    <row r="25" ht="15.75" customHeight="1">
      <c r="A25" s="14" t="s">
        <v>50</v>
      </c>
      <c r="B25" s="15" t="s">
        <v>51</v>
      </c>
      <c r="C25" s="16" t="s">
        <v>7</v>
      </c>
      <c r="D25" s="12" t="str">
        <f>IFERROR(__xludf.DUMMYFUNCTION("IFS(
  REGEXMATCH(A25&amp;B25, ""(?i)openai|gpt|gemini|anthropic|claude|mistral|cohere|rag|vector|llm|chatbot|ai-powered""), ""AI &amp; LLM"",
  REGEXMATCH(A25&amp;B25, ""(?i)twitter|instagram|facebook|linkedin|youtube|tiktok|threads|bluesky|pinterest|social video|r"&amp;"eels?|shorts?""), ""Social Media"",
  REGEXMATCH(A25&amp;B25, ""(?i)hubspot|pipedrive|stripe|shopify|woocommerce|sales|crm|invoice|order|leads?|recruitment|bamboohr|erpnext""), ""CRM &amp; Sales"",
  REGEXMATCH(A25&amp;B25, ""(?i)gmail|outlook|calendar|slack|discord|"&amp;"telegram|whatsapp|notion|trello|drive|sheets?|meeting|scheduler|appointment|mattermost""), ""Productivity &amp; Communication"",
  REGEXMATCH(A25&amp;B25, ""(?i)github|api|webhook|http|mysql|supabase|mongodb|redis|rss|pr|code review|incident|pagerduty|jira""), """&amp;"Development &amp; Utilities"",
  TRUE, ""Others""
)"),"AI &amp; LLM")</f>
        <v>AI &amp; LLM</v>
      </c>
    </row>
    <row r="26" ht="15.75" customHeight="1">
      <c r="A26" s="14" t="s">
        <v>52</v>
      </c>
      <c r="B26" s="15" t="s">
        <v>53</v>
      </c>
      <c r="C26" s="16" t="s">
        <v>7</v>
      </c>
      <c r="D26" s="12" t="str">
        <f>IFERROR(__xludf.DUMMYFUNCTION("IFS(
  REGEXMATCH(A26&amp;B26, ""(?i)openai|gpt|gemini|anthropic|claude|mistral|cohere|rag|vector|llm|chatbot|ai-powered""), ""AI &amp; LLM"",
  REGEXMATCH(A26&amp;B26, ""(?i)twitter|instagram|facebook|linkedin|youtube|tiktok|threads|bluesky|pinterest|social video|r"&amp;"eels?|shorts?""), ""Social Media"",
  REGEXMATCH(A26&amp;B26, ""(?i)hubspot|pipedrive|stripe|shopify|woocommerce|sales|crm|invoice|order|leads?|recruitment|bamboohr|erpnext""), ""CRM &amp; Sales"",
  REGEXMATCH(A26&amp;B26, ""(?i)gmail|outlook|calendar|slack|discord|"&amp;"telegram|whatsapp|notion|trello|drive|sheets?|meeting|scheduler|appointment|mattermost""), ""Productivity &amp; Communication"",
  REGEXMATCH(A26&amp;B26, ""(?i)github|api|webhook|http|mysql|supabase|mongodb|redis|rss|pr|code review|incident|pagerduty|jira""), """&amp;"Development &amp; Utilities"",
  TRUE, ""Others""
)"),"AI &amp; LLM")</f>
        <v>AI &amp; LLM</v>
      </c>
    </row>
    <row r="27" ht="15.75" customHeight="1">
      <c r="A27" s="14" t="s">
        <v>54</v>
      </c>
      <c r="B27" s="15" t="s">
        <v>55</v>
      </c>
      <c r="C27" s="16" t="s">
        <v>7</v>
      </c>
      <c r="D27" s="12" t="str">
        <f>IFERROR(__xludf.DUMMYFUNCTION("IFS(
  REGEXMATCH(A27&amp;B27, ""(?i)openai|gpt|gemini|anthropic|claude|mistral|cohere|rag|vector|llm|chatbot|ai-powered""), ""AI &amp; LLM"",
  REGEXMATCH(A27&amp;B27, ""(?i)twitter|instagram|facebook|linkedin|youtube|tiktok|threads|bluesky|pinterest|social video|r"&amp;"eels?|shorts?""), ""Social Media"",
  REGEXMATCH(A27&amp;B27, ""(?i)hubspot|pipedrive|stripe|shopify|woocommerce|sales|crm|invoice|order|leads?|recruitment|bamboohr|erpnext""), ""CRM &amp; Sales"",
  REGEXMATCH(A27&amp;B27, ""(?i)gmail|outlook|calendar|slack|discord|"&amp;"telegram|whatsapp|notion|trello|drive|sheets?|meeting|scheduler|appointment|mattermost""), ""Productivity &amp; Communication"",
  REGEXMATCH(A27&amp;B27, ""(?i)github|api|webhook|http|mysql|supabase|mongodb|redis|rss|pr|code review|incident|pagerduty|jira""), """&amp;"Development &amp; Utilities"",
  TRUE, ""Others""
)"),"Productivity &amp; Communication")</f>
        <v>Productivity &amp; Communication</v>
      </c>
    </row>
    <row r="28" ht="15.75" customHeight="1">
      <c r="A28" s="14" t="s">
        <v>56</v>
      </c>
      <c r="B28" s="15" t="s">
        <v>57</v>
      </c>
      <c r="C28" s="16" t="s">
        <v>7</v>
      </c>
      <c r="D28" s="12" t="str">
        <f>IFERROR(__xludf.DUMMYFUNCTION("IFS(
  REGEXMATCH(A28&amp;B28, ""(?i)openai|gpt|gemini|anthropic|claude|mistral|cohere|rag|vector|llm|chatbot|ai-powered""), ""AI &amp; LLM"",
  REGEXMATCH(A28&amp;B28, ""(?i)twitter|instagram|facebook|linkedin|youtube|tiktok|threads|bluesky|pinterest|social video|r"&amp;"eels?|shorts?""), ""Social Media"",
  REGEXMATCH(A28&amp;B28, ""(?i)hubspot|pipedrive|stripe|shopify|woocommerce|sales|crm|invoice|order|leads?|recruitment|bamboohr|erpnext""), ""CRM &amp; Sales"",
  REGEXMATCH(A28&amp;B28, ""(?i)gmail|outlook|calendar|slack|discord|"&amp;"telegram|whatsapp|notion|trello|drive|sheets?|meeting|scheduler|appointment|mattermost""), ""Productivity &amp; Communication"",
  REGEXMATCH(A28&amp;B28, ""(?i)github|api|webhook|http|mysql|supabase|mongodb|redis|rss|pr|code review|incident|pagerduty|jira""), """&amp;"Development &amp; Utilities"",
  TRUE, ""Others""
)"),"AI &amp; LLM")</f>
        <v>AI &amp; LLM</v>
      </c>
    </row>
    <row r="29" ht="15.75" customHeight="1">
      <c r="A29" s="14" t="s">
        <v>58</v>
      </c>
      <c r="B29" s="15" t="s">
        <v>59</v>
      </c>
      <c r="C29" s="16" t="s">
        <v>7</v>
      </c>
      <c r="D29" s="12" t="str">
        <f>IFERROR(__xludf.DUMMYFUNCTION("IFS(
  REGEXMATCH(A29&amp;B29, ""(?i)openai|gpt|gemini|anthropic|claude|mistral|cohere|rag|vector|llm|chatbot|ai-powered""), ""AI &amp; LLM"",
  REGEXMATCH(A29&amp;B29, ""(?i)twitter|instagram|facebook|linkedin|youtube|tiktok|threads|bluesky|pinterest|social video|r"&amp;"eels?|shorts?""), ""Social Media"",
  REGEXMATCH(A29&amp;B29, ""(?i)hubspot|pipedrive|stripe|shopify|woocommerce|sales|crm|invoice|order|leads?|recruitment|bamboohr|erpnext""), ""CRM &amp; Sales"",
  REGEXMATCH(A29&amp;B29, ""(?i)gmail|outlook|calendar|slack|discord|"&amp;"telegram|whatsapp|notion|trello|drive|sheets?|meeting|scheduler|appointment|mattermost""), ""Productivity &amp; Communication"",
  REGEXMATCH(A29&amp;B29, ""(?i)github|api|webhook|http|mysql|supabase|mongodb|redis|rss|pr|code review|incident|pagerduty|jira""), """&amp;"Development &amp; Utilities"",
  TRUE, ""Others""
)"),"CRM &amp; Sales")</f>
        <v>CRM &amp; Sales</v>
      </c>
    </row>
    <row r="30" ht="15.75" customHeight="1">
      <c r="A30" s="14" t="s">
        <v>60</v>
      </c>
      <c r="B30" s="15" t="s">
        <v>61</v>
      </c>
      <c r="C30" s="16" t="s">
        <v>7</v>
      </c>
      <c r="D30" s="12" t="str">
        <f>IFERROR(__xludf.DUMMYFUNCTION("IFS(
  REGEXMATCH(A30&amp;B30, ""(?i)openai|gpt|gemini|anthropic|claude|mistral|cohere|rag|vector|llm|chatbot|ai-powered""), ""AI &amp; LLM"",
  REGEXMATCH(A30&amp;B30, ""(?i)twitter|instagram|facebook|linkedin|youtube|tiktok|threads|bluesky|pinterest|social video|r"&amp;"eels?|shorts?""), ""Social Media"",
  REGEXMATCH(A30&amp;B30, ""(?i)hubspot|pipedrive|stripe|shopify|woocommerce|sales|crm|invoice|order|leads?|recruitment|bamboohr|erpnext""), ""CRM &amp; Sales"",
  REGEXMATCH(A30&amp;B30, ""(?i)gmail|outlook|calendar|slack|discord|"&amp;"telegram|whatsapp|notion|trello|drive|sheets?|meeting|scheduler|appointment|mattermost""), ""Productivity &amp; Communication"",
  REGEXMATCH(A30&amp;B30, ""(?i)github|api|webhook|http|mysql|supabase|mongodb|redis|rss|pr|code review|incident|pagerduty|jira""), """&amp;"Development &amp; Utilities"",
  TRUE, ""Others""
)"),"AI &amp; LLM")</f>
        <v>AI &amp; LLM</v>
      </c>
    </row>
    <row r="31" ht="15.75" customHeight="1">
      <c r="A31" s="14" t="s">
        <v>62</v>
      </c>
      <c r="B31" s="15" t="s">
        <v>63</v>
      </c>
      <c r="C31" s="16" t="s">
        <v>7</v>
      </c>
      <c r="D31" s="12" t="str">
        <f>IFERROR(__xludf.DUMMYFUNCTION("IFS(
  REGEXMATCH(A31&amp;B31, ""(?i)openai|gpt|gemini|anthropic|claude|mistral|cohere|rag|vector|llm|chatbot|ai-powered""), ""AI &amp; LLM"",
  REGEXMATCH(A31&amp;B31, ""(?i)twitter|instagram|facebook|linkedin|youtube|tiktok|threads|bluesky|pinterest|social video|r"&amp;"eels?|shorts?""), ""Social Media"",
  REGEXMATCH(A31&amp;B31, ""(?i)hubspot|pipedrive|stripe|shopify|woocommerce|sales|crm|invoice|order|leads?|recruitment|bamboohr|erpnext""), ""CRM &amp; Sales"",
  REGEXMATCH(A31&amp;B31, ""(?i)gmail|outlook|calendar|slack|discord|"&amp;"telegram|whatsapp|notion|trello|drive|sheets?|meeting|scheduler|appointment|mattermost""), ""Productivity &amp; Communication"",
  REGEXMATCH(A31&amp;B31, ""(?i)github|api|webhook|http|mysql|supabase|mongodb|redis|rss|pr|code review|incident|pagerduty|jira""), """&amp;"Development &amp; Utilities"",
  TRUE, ""Others""
)"),"AI &amp; LLM")</f>
        <v>AI &amp; LLM</v>
      </c>
    </row>
    <row r="32" ht="15.75" customHeight="1">
      <c r="A32" s="14" t="s">
        <v>64</v>
      </c>
      <c r="B32" s="15" t="s">
        <v>65</v>
      </c>
      <c r="C32" s="16" t="s">
        <v>7</v>
      </c>
      <c r="D32" s="12" t="str">
        <f>IFERROR(__xludf.DUMMYFUNCTION("IFS(
  REGEXMATCH(A32&amp;B32, ""(?i)openai|gpt|gemini|anthropic|claude|mistral|cohere|rag|vector|llm|chatbot|ai-powered""), ""AI &amp; LLM"",
  REGEXMATCH(A32&amp;B32, ""(?i)twitter|instagram|facebook|linkedin|youtube|tiktok|threads|bluesky|pinterest|social video|r"&amp;"eels?|shorts?""), ""Social Media"",
  REGEXMATCH(A32&amp;B32, ""(?i)hubspot|pipedrive|stripe|shopify|woocommerce|sales|crm|invoice|order|leads?|recruitment|bamboohr|erpnext""), ""CRM &amp; Sales"",
  REGEXMATCH(A32&amp;B32, ""(?i)gmail|outlook|calendar|slack|discord|"&amp;"telegram|whatsapp|notion|trello|drive|sheets?|meeting|scheduler|appointment|mattermost""), ""Productivity &amp; Communication"",
  REGEXMATCH(A32&amp;B32, ""(?i)github|api|webhook|http|mysql|supabase|mongodb|redis|rss|pr|code review|incident|pagerduty|jira""), """&amp;"Development &amp; Utilities"",
  TRUE, ""Others""
)"),"Productivity &amp; Communication")</f>
        <v>Productivity &amp; Communication</v>
      </c>
    </row>
    <row r="33" ht="15.75" customHeight="1">
      <c r="A33" s="14" t="s">
        <v>66</v>
      </c>
      <c r="B33" s="15" t="s">
        <v>67</v>
      </c>
      <c r="C33" s="16" t="s">
        <v>7</v>
      </c>
      <c r="D33" s="12" t="str">
        <f>IFERROR(__xludf.DUMMYFUNCTION("IFS(
  REGEXMATCH(A33&amp;B33, ""(?i)openai|gpt|gemini|anthropic|claude|mistral|cohere|rag|vector|llm|chatbot|ai-powered""), ""AI &amp; LLM"",
  REGEXMATCH(A33&amp;B33, ""(?i)twitter|instagram|facebook|linkedin|youtube|tiktok|threads|bluesky|pinterest|social video|r"&amp;"eels?|shorts?""), ""Social Media"",
  REGEXMATCH(A33&amp;B33, ""(?i)hubspot|pipedrive|stripe|shopify|woocommerce|sales|crm|invoice|order|leads?|recruitment|bamboohr|erpnext""), ""CRM &amp; Sales"",
  REGEXMATCH(A33&amp;B33, ""(?i)gmail|outlook|calendar|slack|discord|"&amp;"telegram|whatsapp|notion|trello|drive|sheets?|meeting|scheduler|appointment|mattermost""), ""Productivity &amp; Communication"",
  REGEXMATCH(A33&amp;B33, ""(?i)github|api|webhook|http|mysql|supabase|mongodb|redis|rss|pr|code review|incident|pagerduty|jira""), """&amp;"Development &amp; Utilities"",
  TRUE, ""Others""
)"),"AI &amp; LLM")</f>
        <v>AI &amp; LLM</v>
      </c>
    </row>
    <row r="34" ht="15.75" customHeight="1">
      <c r="A34" s="14" t="s">
        <v>68</v>
      </c>
      <c r="B34" s="15" t="s">
        <v>69</v>
      </c>
      <c r="C34" s="16" t="s">
        <v>7</v>
      </c>
      <c r="D34" s="12" t="str">
        <f>IFERROR(__xludf.DUMMYFUNCTION("IFS(
  REGEXMATCH(A34&amp;B34, ""(?i)openai|gpt|gemini|anthropic|claude|mistral|cohere|rag|vector|llm|chatbot|ai-powered""), ""AI &amp; LLM"",
  REGEXMATCH(A34&amp;B34, ""(?i)twitter|instagram|facebook|linkedin|youtube|tiktok|threads|bluesky|pinterest|social video|r"&amp;"eels?|shorts?""), ""Social Media"",
  REGEXMATCH(A34&amp;B34, ""(?i)hubspot|pipedrive|stripe|shopify|woocommerce|sales|crm|invoice|order|leads?|recruitment|bamboohr|erpnext""), ""CRM &amp; Sales"",
  REGEXMATCH(A34&amp;B34, ""(?i)gmail|outlook|calendar|slack|discord|"&amp;"telegram|whatsapp|notion|trello|drive|sheets?|meeting|scheduler|appointment|mattermost""), ""Productivity &amp; Communication"",
  REGEXMATCH(A34&amp;B34, ""(?i)github|api|webhook|http|mysql|supabase|mongodb|redis|rss|pr|code review|incident|pagerduty|jira""), """&amp;"Development &amp; Utilities"",
  TRUE, ""Others""
)"),"CRM &amp; Sales")</f>
        <v>CRM &amp; Sales</v>
      </c>
    </row>
    <row r="35" ht="15.75" customHeight="1">
      <c r="A35" s="14" t="s">
        <v>70</v>
      </c>
      <c r="B35" s="15" t="s">
        <v>71</v>
      </c>
      <c r="C35" s="16" t="s">
        <v>7</v>
      </c>
      <c r="D35" s="12" t="str">
        <f>IFERROR(__xludf.DUMMYFUNCTION("IFS(
  REGEXMATCH(A35&amp;B35, ""(?i)openai|gpt|gemini|anthropic|claude|mistral|cohere|rag|vector|llm|chatbot|ai-powered""), ""AI &amp; LLM"",
  REGEXMATCH(A35&amp;B35, ""(?i)twitter|instagram|facebook|linkedin|youtube|tiktok|threads|bluesky|pinterest|social video|r"&amp;"eels?|shorts?""), ""Social Media"",
  REGEXMATCH(A35&amp;B35, ""(?i)hubspot|pipedrive|stripe|shopify|woocommerce|sales|crm|invoice|order|leads?|recruitment|bamboohr|erpnext""), ""CRM &amp; Sales"",
  REGEXMATCH(A35&amp;B35, ""(?i)gmail|outlook|calendar|slack|discord|"&amp;"telegram|whatsapp|notion|trello|drive|sheets?|meeting|scheduler|appointment|mattermost""), ""Productivity &amp; Communication"",
  REGEXMATCH(A35&amp;B35, ""(?i)github|api|webhook|http|mysql|supabase|mongodb|redis|rss|pr|code review|incident|pagerduty|jira""), """&amp;"Development &amp; Utilities"",
  TRUE, ""Others""
)"),"Productivity &amp; Communication")</f>
        <v>Productivity &amp; Communication</v>
      </c>
    </row>
    <row r="36" ht="15.75" customHeight="1">
      <c r="A36" s="14" t="s">
        <v>72</v>
      </c>
      <c r="B36" s="15" t="s">
        <v>73</v>
      </c>
      <c r="C36" s="16" t="s">
        <v>7</v>
      </c>
      <c r="D36" s="12" t="str">
        <f>IFERROR(__xludf.DUMMYFUNCTION("IFS(
  REGEXMATCH(A36&amp;B36, ""(?i)openai|gpt|gemini|anthropic|claude|mistral|cohere|rag|vector|llm|chatbot|ai-powered""), ""AI &amp; LLM"",
  REGEXMATCH(A36&amp;B36, ""(?i)twitter|instagram|facebook|linkedin|youtube|tiktok|threads|bluesky|pinterest|social video|r"&amp;"eels?|shorts?""), ""Social Media"",
  REGEXMATCH(A36&amp;B36, ""(?i)hubspot|pipedrive|stripe|shopify|woocommerce|sales|crm|invoice|order|leads?|recruitment|bamboohr|erpnext""), ""CRM &amp; Sales"",
  REGEXMATCH(A36&amp;B36, ""(?i)gmail|outlook|calendar|slack|discord|"&amp;"telegram|whatsapp|notion|trello|drive|sheets?|meeting|scheduler|appointment|mattermost""), ""Productivity &amp; Communication"",
  REGEXMATCH(A36&amp;B36, ""(?i)github|api|webhook|http|mysql|supabase|mongodb|redis|rss|pr|code review|incident|pagerduty|jira""), """&amp;"Development &amp; Utilities"",
  TRUE, ""Others""
)"),"Productivity &amp; Communication")</f>
        <v>Productivity &amp; Communication</v>
      </c>
    </row>
    <row r="37" ht="15.75" customHeight="1">
      <c r="A37" s="14" t="s">
        <v>74</v>
      </c>
      <c r="B37" s="15" t="s">
        <v>75</v>
      </c>
      <c r="C37" s="16" t="s">
        <v>7</v>
      </c>
      <c r="D37" s="12" t="str">
        <f>IFERROR(__xludf.DUMMYFUNCTION("IFS(
  REGEXMATCH(A37&amp;B37, ""(?i)openai|gpt|gemini|anthropic|claude|mistral|cohere|rag|vector|llm|chatbot|ai-powered""), ""AI &amp; LLM"",
  REGEXMATCH(A37&amp;B37, ""(?i)twitter|instagram|facebook|linkedin|youtube|tiktok|threads|bluesky|pinterest|social video|r"&amp;"eels?|shorts?""), ""Social Media"",
  REGEXMATCH(A37&amp;B37, ""(?i)hubspot|pipedrive|stripe|shopify|woocommerce|sales|crm|invoice|order|leads?|recruitment|bamboohr|erpnext""), ""CRM &amp; Sales"",
  REGEXMATCH(A37&amp;B37, ""(?i)gmail|outlook|calendar|slack|discord|"&amp;"telegram|whatsapp|notion|trello|drive|sheets?|meeting|scheduler|appointment|mattermost""), ""Productivity &amp; Communication"",
  REGEXMATCH(A37&amp;B37, ""(?i)github|api|webhook|http|mysql|supabase|mongodb|redis|rss|pr|code review|incident|pagerduty|jira""), """&amp;"Development &amp; Utilities"",
  TRUE, ""Others""
)"),"Productivity &amp; Communication")</f>
        <v>Productivity &amp; Communication</v>
      </c>
    </row>
    <row r="38" ht="15.75" customHeight="1">
      <c r="A38" s="14" t="s">
        <v>76</v>
      </c>
      <c r="B38" s="15" t="s">
        <v>77</v>
      </c>
      <c r="C38" s="16" t="s">
        <v>7</v>
      </c>
      <c r="D38" s="12" t="str">
        <f>IFERROR(__xludf.DUMMYFUNCTION("IFS(
  REGEXMATCH(A38&amp;B38, ""(?i)openai|gpt|gemini|anthropic|claude|mistral|cohere|rag|vector|llm|chatbot|ai-powered""), ""AI &amp; LLM"",
  REGEXMATCH(A38&amp;B38, ""(?i)twitter|instagram|facebook|linkedin|youtube|tiktok|threads|bluesky|pinterest|social video|r"&amp;"eels?|shorts?""), ""Social Media"",
  REGEXMATCH(A38&amp;B38, ""(?i)hubspot|pipedrive|stripe|shopify|woocommerce|sales|crm|invoice|order|leads?|recruitment|bamboohr|erpnext""), ""CRM &amp; Sales"",
  REGEXMATCH(A38&amp;B38, ""(?i)gmail|outlook|calendar|slack|discord|"&amp;"telegram|whatsapp|notion|trello|drive|sheets?|meeting|scheduler|appointment|mattermost""), ""Productivity &amp; Communication"",
  REGEXMATCH(A38&amp;B38, ""(?i)github|api|webhook|http|mysql|supabase|mongodb|redis|rss|pr|code review|incident|pagerduty|jira""), """&amp;"Development &amp; Utilities"",
  TRUE, ""Others""
)"),"AI &amp; LLM")</f>
        <v>AI &amp; LLM</v>
      </c>
    </row>
    <row r="39" ht="15.75" customHeight="1">
      <c r="A39" s="14" t="s">
        <v>78</v>
      </c>
      <c r="B39" s="15" t="s">
        <v>79</v>
      </c>
      <c r="C39" s="16" t="s">
        <v>7</v>
      </c>
      <c r="D39" s="12" t="str">
        <f>IFERROR(__xludf.DUMMYFUNCTION("IFS(
  REGEXMATCH(A39&amp;B39, ""(?i)openai|gpt|gemini|anthropic|claude|mistral|cohere|rag|vector|llm|chatbot|ai-powered""), ""AI &amp; LLM"",
  REGEXMATCH(A39&amp;B39, ""(?i)twitter|instagram|facebook|linkedin|youtube|tiktok|threads|bluesky|pinterest|social video|r"&amp;"eels?|shorts?""), ""Social Media"",
  REGEXMATCH(A39&amp;B39, ""(?i)hubspot|pipedrive|stripe|shopify|woocommerce|sales|crm|invoice|order|leads?|recruitment|bamboohr|erpnext""), ""CRM &amp; Sales"",
  REGEXMATCH(A39&amp;B39, ""(?i)gmail|outlook|calendar|slack|discord|"&amp;"telegram|whatsapp|notion|trello|drive|sheets?|meeting|scheduler|appointment|mattermost""), ""Productivity &amp; Communication"",
  REGEXMATCH(A39&amp;B39, ""(?i)github|api|webhook|http|mysql|supabase|mongodb|redis|rss|pr|code review|incident|pagerduty|jira""), """&amp;"Development &amp; Utilities"",
  TRUE, ""Others""
)"),"AI &amp; LLM")</f>
        <v>AI &amp; LLM</v>
      </c>
    </row>
    <row r="40" ht="15.75" customHeight="1">
      <c r="A40" s="14" t="s">
        <v>80</v>
      </c>
      <c r="B40" s="15" t="s">
        <v>81</v>
      </c>
      <c r="C40" s="16" t="s">
        <v>7</v>
      </c>
      <c r="D40" s="12" t="str">
        <f>IFERROR(__xludf.DUMMYFUNCTION("IFS(
  REGEXMATCH(A40&amp;B40, ""(?i)openai|gpt|gemini|anthropic|claude|mistral|cohere|rag|vector|llm|chatbot|ai-powered""), ""AI &amp; LLM"",
  REGEXMATCH(A40&amp;B40, ""(?i)twitter|instagram|facebook|linkedin|youtube|tiktok|threads|bluesky|pinterest|social video|r"&amp;"eels?|shorts?""), ""Social Media"",
  REGEXMATCH(A40&amp;B40, ""(?i)hubspot|pipedrive|stripe|shopify|woocommerce|sales|crm|invoice|order|leads?|recruitment|bamboohr|erpnext""), ""CRM &amp; Sales"",
  REGEXMATCH(A40&amp;B40, ""(?i)gmail|outlook|calendar|slack|discord|"&amp;"telegram|whatsapp|notion|trello|drive|sheets?|meeting|scheduler|appointment|mattermost""), ""Productivity &amp; Communication"",
  REGEXMATCH(A40&amp;B40, ""(?i)github|api|webhook|http|mysql|supabase|mongodb|redis|rss|pr|code review|incident|pagerduty|jira""), """&amp;"Development &amp; Utilities"",
  TRUE, ""Others""
)"),"AI &amp; LLM")</f>
        <v>AI &amp; LLM</v>
      </c>
    </row>
    <row r="41" ht="15.75" customHeight="1">
      <c r="A41" s="14" t="s">
        <v>82</v>
      </c>
      <c r="B41" s="15" t="s">
        <v>83</v>
      </c>
      <c r="C41" s="16" t="s">
        <v>7</v>
      </c>
      <c r="D41" s="12" t="str">
        <f>IFERROR(__xludf.DUMMYFUNCTION("IFS(
  REGEXMATCH(A41&amp;B41, ""(?i)openai|gpt|gemini|anthropic|claude|mistral|cohere|rag|vector|llm|chatbot|ai-powered""), ""AI &amp; LLM"",
  REGEXMATCH(A41&amp;B41, ""(?i)twitter|instagram|facebook|linkedin|youtube|tiktok|threads|bluesky|pinterest|social video|r"&amp;"eels?|shorts?""), ""Social Media"",
  REGEXMATCH(A41&amp;B41, ""(?i)hubspot|pipedrive|stripe|shopify|woocommerce|sales|crm|invoice|order|leads?|recruitment|bamboohr|erpnext""), ""CRM &amp; Sales"",
  REGEXMATCH(A41&amp;B41, ""(?i)gmail|outlook|calendar|slack|discord|"&amp;"telegram|whatsapp|notion|trello|drive|sheets?|meeting|scheduler|appointment|mattermost""), ""Productivity &amp; Communication"",
  REGEXMATCH(A41&amp;B41, ""(?i)github|api|webhook|http|mysql|supabase|mongodb|redis|rss|pr|code review|incident|pagerduty|jira""), """&amp;"Development &amp; Utilities"",
  TRUE, ""Others""
)"),"Productivity &amp; Communication")</f>
        <v>Productivity &amp; Communication</v>
      </c>
    </row>
    <row r="42" ht="15.75" customHeight="1">
      <c r="A42" s="14" t="s">
        <v>84</v>
      </c>
      <c r="B42" s="15" t="s">
        <v>85</v>
      </c>
      <c r="C42" s="16" t="s">
        <v>7</v>
      </c>
      <c r="D42" s="12" t="str">
        <f>IFERROR(__xludf.DUMMYFUNCTION("IFS(
  REGEXMATCH(A42&amp;B42, ""(?i)openai|gpt|gemini|anthropic|claude|mistral|cohere|rag|vector|llm|chatbot|ai-powered""), ""AI &amp; LLM"",
  REGEXMATCH(A42&amp;B42, ""(?i)twitter|instagram|facebook|linkedin|youtube|tiktok|threads|bluesky|pinterest|social video|r"&amp;"eels?|shorts?""), ""Social Media"",
  REGEXMATCH(A42&amp;B42, ""(?i)hubspot|pipedrive|stripe|shopify|woocommerce|sales|crm|invoice|order|leads?|recruitment|bamboohr|erpnext""), ""CRM &amp; Sales"",
  REGEXMATCH(A42&amp;B42, ""(?i)gmail|outlook|calendar|slack|discord|"&amp;"telegram|whatsapp|notion|trello|drive|sheets?|meeting|scheduler|appointment|mattermost""), ""Productivity &amp; Communication"",
  REGEXMATCH(A42&amp;B42, ""(?i)github|api|webhook|http|mysql|supabase|mongodb|redis|rss|pr|code review|incident|pagerduty|jira""), """&amp;"Development &amp; Utilities"",
  TRUE, ""Others""
)"),"AI &amp; LLM")</f>
        <v>AI &amp; LLM</v>
      </c>
    </row>
    <row r="43" ht="15.75" customHeight="1">
      <c r="A43" s="14" t="s">
        <v>86</v>
      </c>
      <c r="B43" s="15" t="s">
        <v>87</v>
      </c>
      <c r="C43" s="16" t="s">
        <v>7</v>
      </c>
      <c r="D43" s="12" t="str">
        <f>IFERROR(__xludf.DUMMYFUNCTION("IFS(
  REGEXMATCH(A43&amp;B43, ""(?i)openai|gpt|gemini|anthropic|claude|mistral|cohere|rag|vector|llm|chatbot|ai-powered""), ""AI &amp; LLM"",
  REGEXMATCH(A43&amp;B43, ""(?i)twitter|instagram|facebook|linkedin|youtube|tiktok|threads|bluesky|pinterest|social video|r"&amp;"eels?|shorts?""), ""Social Media"",
  REGEXMATCH(A43&amp;B43, ""(?i)hubspot|pipedrive|stripe|shopify|woocommerce|sales|crm|invoice|order|leads?|recruitment|bamboohr|erpnext""), ""CRM &amp; Sales"",
  REGEXMATCH(A43&amp;B43, ""(?i)gmail|outlook|calendar|slack|discord|"&amp;"telegram|whatsapp|notion|trello|drive|sheets?|meeting|scheduler|appointment|mattermost""), ""Productivity &amp; Communication"",
  REGEXMATCH(A43&amp;B43, ""(?i)github|api|webhook|http|mysql|supabase|mongodb|redis|rss|pr|code review|incident|pagerduty|jira""), """&amp;"Development &amp; Utilities"",
  TRUE, ""Others""
)"),"AI &amp; LLM")</f>
        <v>AI &amp; LLM</v>
      </c>
    </row>
    <row r="44" ht="15.75" customHeight="1">
      <c r="A44" s="14" t="s">
        <v>88</v>
      </c>
      <c r="B44" s="15" t="s">
        <v>89</v>
      </c>
      <c r="C44" s="16" t="s">
        <v>7</v>
      </c>
      <c r="D44" s="12" t="str">
        <f>IFERROR(__xludf.DUMMYFUNCTION("IFS(
  REGEXMATCH(A44&amp;B44, ""(?i)openai|gpt|gemini|anthropic|claude|mistral|cohere|rag|vector|llm|chatbot|ai-powered""), ""AI &amp; LLM"",
  REGEXMATCH(A44&amp;B44, ""(?i)twitter|instagram|facebook|linkedin|youtube|tiktok|threads|bluesky|pinterest|social video|r"&amp;"eels?|shorts?""), ""Social Media"",
  REGEXMATCH(A44&amp;B44, ""(?i)hubspot|pipedrive|stripe|shopify|woocommerce|sales|crm|invoice|order|leads?|recruitment|bamboohr|erpnext""), ""CRM &amp; Sales"",
  REGEXMATCH(A44&amp;B44, ""(?i)gmail|outlook|calendar|slack|discord|"&amp;"telegram|whatsapp|notion|trello|drive|sheets?|meeting|scheduler|appointment|mattermost""), ""Productivity &amp; Communication"",
  REGEXMATCH(A44&amp;B44, ""(?i)github|api|webhook|http|mysql|supabase|mongodb|redis|rss|pr|code review|incident|pagerduty|jira""), """&amp;"Development &amp; Utilities"",
  TRUE, ""Others""
)"),"AI &amp; LLM")</f>
        <v>AI &amp; LLM</v>
      </c>
    </row>
    <row r="45" ht="15.75" customHeight="1">
      <c r="A45" s="14" t="s">
        <v>90</v>
      </c>
      <c r="B45" s="15" t="s">
        <v>91</v>
      </c>
      <c r="C45" s="16" t="s">
        <v>7</v>
      </c>
      <c r="D45" s="12" t="str">
        <f>IFERROR(__xludf.DUMMYFUNCTION("IFS(
  REGEXMATCH(A45&amp;B45, ""(?i)openai|gpt|gemini|anthropic|claude|mistral|cohere|rag|vector|llm|chatbot|ai-powered""), ""AI &amp; LLM"",
  REGEXMATCH(A45&amp;B45, ""(?i)twitter|instagram|facebook|linkedin|youtube|tiktok|threads|bluesky|pinterest|social video|r"&amp;"eels?|shorts?""), ""Social Media"",
  REGEXMATCH(A45&amp;B45, ""(?i)hubspot|pipedrive|stripe|shopify|woocommerce|sales|crm|invoice|order|leads?|recruitment|bamboohr|erpnext""), ""CRM &amp; Sales"",
  REGEXMATCH(A45&amp;B45, ""(?i)gmail|outlook|calendar|slack|discord|"&amp;"telegram|whatsapp|notion|trello|drive|sheets?|meeting|scheduler|appointment|mattermost""), ""Productivity &amp; Communication"",
  REGEXMATCH(A45&amp;B45, ""(?i)github|api|webhook|http|mysql|supabase|mongodb|redis|rss|pr|code review|incident|pagerduty|jira""), """&amp;"Development &amp; Utilities"",
  TRUE, ""Others""
)"),"AI &amp; LLM")</f>
        <v>AI &amp; LLM</v>
      </c>
    </row>
    <row r="46" ht="15.75" customHeight="1">
      <c r="A46" s="14" t="s">
        <v>92</v>
      </c>
      <c r="B46" s="15" t="s">
        <v>93</v>
      </c>
      <c r="C46" s="16" t="s">
        <v>7</v>
      </c>
      <c r="D46" s="12" t="str">
        <f>IFERROR(__xludf.DUMMYFUNCTION("IFS(
  REGEXMATCH(A46&amp;B46, ""(?i)openai|gpt|gemini|anthropic|claude|mistral|cohere|rag|vector|llm|chatbot|ai-powered""), ""AI &amp; LLM"",
  REGEXMATCH(A46&amp;B46, ""(?i)twitter|instagram|facebook|linkedin|youtube|tiktok|threads|bluesky|pinterest|social video|r"&amp;"eels?|shorts?""), ""Social Media"",
  REGEXMATCH(A46&amp;B46, ""(?i)hubspot|pipedrive|stripe|shopify|woocommerce|sales|crm|invoice|order|leads?|recruitment|bamboohr|erpnext""), ""CRM &amp; Sales"",
  REGEXMATCH(A46&amp;B46, ""(?i)gmail|outlook|calendar|slack|discord|"&amp;"telegram|whatsapp|notion|trello|drive|sheets?|meeting|scheduler|appointment|mattermost""), ""Productivity &amp; Communication"",
  REGEXMATCH(A46&amp;B46, ""(?i)github|api|webhook|http|mysql|supabase|mongodb|redis|rss|pr|code review|incident|pagerduty|jira""), """&amp;"Development &amp; Utilities"",
  TRUE, ""Others""
)"),"AI &amp; LLM")</f>
        <v>AI &amp; LLM</v>
      </c>
    </row>
    <row r="47" ht="15.75" customHeight="1">
      <c r="A47" s="14" t="s">
        <v>94</v>
      </c>
      <c r="B47" s="15" t="s">
        <v>95</v>
      </c>
      <c r="C47" s="16" t="s">
        <v>7</v>
      </c>
      <c r="D47" s="12" t="str">
        <f>IFERROR(__xludf.DUMMYFUNCTION("IFS(
  REGEXMATCH(A47&amp;B47, ""(?i)openai|gpt|gemini|anthropic|claude|mistral|cohere|rag|vector|llm|chatbot|ai-powered""), ""AI &amp; LLM"",
  REGEXMATCH(A47&amp;B47, ""(?i)twitter|instagram|facebook|linkedin|youtube|tiktok|threads|bluesky|pinterest|social video|r"&amp;"eels?|shorts?""), ""Social Media"",
  REGEXMATCH(A47&amp;B47, ""(?i)hubspot|pipedrive|stripe|shopify|woocommerce|sales|crm|invoice|order|leads?|recruitment|bamboohr|erpnext""), ""CRM &amp; Sales"",
  REGEXMATCH(A47&amp;B47, ""(?i)gmail|outlook|calendar|slack|discord|"&amp;"telegram|whatsapp|notion|trello|drive|sheets?|meeting|scheduler|appointment|mattermost""), ""Productivity &amp; Communication"",
  REGEXMATCH(A47&amp;B47, ""(?i)github|api|webhook|http|mysql|supabase|mongodb|redis|rss|pr|code review|incident|pagerduty|jira""), """&amp;"Development &amp; Utilities"",
  TRUE, ""Others""
)"),"AI &amp; LLM")</f>
        <v>AI &amp; LLM</v>
      </c>
    </row>
    <row r="48" ht="15.75" customHeight="1">
      <c r="A48" s="14" t="s">
        <v>96</v>
      </c>
      <c r="B48" s="15" t="s">
        <v>97</v>
      </c>
      <c r="C48" s="16" t="s">
        <v>7</v>
      </c>
      <c r="D48" s="12" t="str">
        <f>IFERROR(__xludf.DUMMYFUNCTION("IFS(
  REGEXMATCH(A48&amp;B48, ""(?i)openai|gpt|gemini|anthropic|claude|mistral|cohere|rag|vector|llm|chatbot|ai-powered""), ""AI &amp; LLM"",
  REGEXMATCH(A48&amp;B48, ""(?i)twitter|instagram|facebook|linkedin|youtube|tiktok|threads|bluesky|pinterest|social video|r"&amp;"eels?|shorts?""), ""Social Media"",
  REGEXMATCH(A48&amp;B48, ""(?i)hubspot|pipedrive|stripe|shopify|woocommerce|sales|crm|invoice|order|leads?|recruitment|bamboohr|erpnext""), ""CRM &amp; Sales"",
  REGEXMATCH(A48&amp;B48, ""(?i)gmail|outlook|calendar|slack|discord|"&amp;"telegram|whatsapp|notion|trello|drive|sheets?|meeting|scheduler|appointment|mattermost""), ""Productivity &amp; Communication"",
  REGEXMATCH(A48&amp;B48, ""(?i)github|api|webhook|http|mysql|supabase|mongodb|redis|rss|pr|code review|incident|pagerduty|jira""), """&amp;"Development &amp; Utilities"",
  TRUE, ""Others""
)"),"AI &amp; LLM")</f>
        <v>AI &amp; LLM</v>
      </c>
    </row>
    <row r="49" ht="15.75" customHeight="1">
      <c r="A49" s="14" t="s">
        <v>98</v>
      </c>
      <c r="B49" s="15" t="s">
        <v>99</v>
      </c>
      <c r="C49" s="16" t="s">
        <v>7</v>
      </c>
      <c r="D49" s="12" t="str">
        <f>IFERROR(__xludf.DUMMYFUNCTION("IFS(
  REGEXMATCH(A49&amp;B49, ""(?i)openai|gpt|gemini|anthropic|claude|mistral|cohere|rag|vector|llm|chatbot|ai-powered""), ""AI &amp; LLM"",
  REGEXMATCH(A49&amp;B49, ""(?i)twitter|instagram|facebook|linkedin|youtube|tiktok|threads|bluesky|pinterest|social video|r"&amp;"eels?|shorts?""), ""Social Media"",
  REGEXMATCH(A49&amp;B49, ""(?i)hubspot|pipedrive|stripe|shopify|woocommerce|sales|crm|invoice|order|leads?|recruitment|bamboohr|erpnext""), ""CRM &amp; Sales"",
  REGEXMATCH(A49&amp;B49, ""(?i)gmail|outlook|calendar|slack|discord|"&amp;"telegram|whatsapp|notion|trello|drive|sheets?|meeting|scheduler|appointment|mattermost""), ""Productivity &amp; Communication"",
  REGEXMATCH(A49&amp;B49, ""(?i)github|api|webhook|http|mysql|supabase|mongodb|redis|rss|pr|code review|incident|pagerduty|jira""), """&amp;"Development &amp; Utilities"",
  TRUE, ""Others""
)"),"AI &amp; LLM")</f>
        <v>AI &amp; LLM</v>
      </c>
    </row>
    <row r="50" ht="15.75" customHeight="1">
      <c r="A50" s="14" t="s">
        <v>100</v>
      </c>
      <c r="B50" s="15" t="s">
        <v>101</v>
      </c>
      <c r="C50" s="16" t="s">
        <v>7</v>
      </c>
      <c r="D50" s="12" t="str">
        <f>IFERROR(__xludf.DUMMYFUNCTION("IFS(
  REGEXMATCH(A50&amp;B50, ""(?i)openai|gpt|gemini|anthropic|claude|mistral|cohere|rag|vector|llm|chatbot|ai-powered""), ""AI &amp; LLM"",
  REGEXMATCH(A50&amp;B50, ""(?i)twitter|instagram|facebook|linkedin|youtube|tiktok|threads|bluesky|pinterest|social video|r"&amp;"eels?|shorts?""), ""Social Media"",
  REGEXMATCH(A50&amp;B50, ""(?i)hubspot|pipedrive|stripe|shopify|woocommerce|sales|crm|invoice|order|leads?|recruitment|bamboohr|erpnext""), ""CRM &amp; Sales"",
  REGEXMATCH(A50&amp;B50, ""(?i)gmail|outlook|calendar|slack|discord|"&amp;"telegram|whatsapp|notion|trello|drive|sheets?|meeting|scheduler|appointment|mattermost""), ""Productivity &amp; Communication"",
  REGEXMATCH(A50&amp;B50, ""(?i)github|api|webhook|http|mysql|supabase|mongodb|redis|rss|pr|code review|incident|pagerduty|jira""), """&amp;"Development &amp; Utilities"",
  TRUE, ""Others""
)"),"AI &amp; LLM")</f>
        <v>AI &amp; LLM</v>
      </c>
    </row>
    <row r="51" ht="15.75" customHeight="1">
      <c r="A51" s="14" t="s">
        <v>102</v>
      </c>
      <c r="B51" s="15" t="s">
        <v>103</v>
      </c>
      <c r="C51" s="16" t="s">
        <v>7</v>
      </c>
      <c r="D51" s="12" t="str">
        <f>IFERROR(__xludf.DUMMYFUNCTION("IFS(
  REGEXMATCH(A51&amp;B51, ""(?i)openai|gpt|gemini|anthropic|claude|mistral|cohere|rag|vector|llm|chatbot|ai-powered""), ""AI &amp; LLM"",
  REGEXMATCH(A51&amp;B51, ""(?i)twitter|instagram|facebook|linkedin|youtube|tiktok|threads|bluesky|pinterest|social video|r"&amp;"eels?|shorts?""), ""Social Media"",
  REGEXMATCH(A51&amp;B51, ""(?i)hubspot|pipedrive|stripe|shopify|woocommerce|sales|crm|invoice|order|leads?|recruitment|bamboohr|erpnext""), ""CRM &amp; Sales"",
  REGEXMATCH(A51&amp;B51, ""(?i)gmail|outlook|calendar|slack|discord|"&amp;"telegram|whatsapp|notion|trello|drive|sheets?|meeting|scheduler|appointment|mattermost""), ""Productivity &amp; Communication"",
  REGEXMATCH(A51&amp;B51, ""(?i)github|api|webhook|http|mysql|supabase|mongodb|redis|rss|pr|code review|incident|pagerduty|jira""), """&amp;"Development &amp; Utilities"",
  TRUE, ""Others""
)"),"AI &amp; LLM")</f>
        <v>AI &amp; LLM</v>
      </c>
    </row>
    <row r="52" ht="15.75" customHeight="1">
      <c r="A52" s="14" t="s">
        <v>104</v>
      </c>
      <c r="B52" s="15" t="s">
        <v>105</v>
      </c>
      <c r="C52" s="16" t="s">
        <v>7</v>
      </c>
      <c r="D52" s="12" t="str">
        <f>IFERROR(__xludf.DUMMYFUNCTION("IFS(
  REGEXMATCH(A52&amp;B52, ""(?i)openai|gpt|gemini|anthropic|claude|mistral|cohere|rag|vector|llm|chatbot|ai-powered""), ""AI &amp; LLM"",
  REGEXMATCH(A52&amp;B52, ""(?i)twitter|instagram|facebook|linkedin|youtube|tiktok|threads|bluesky|pinterest|social video|r"&amp;"eels?|shorts?""), ""Social Media"",
  REGEXMATCH(A52&amp;B52, ""(?i)hubspot|pipedrive|stripe|shopify|woocommerce|sales|crm|invoice|order|leads?|recruitment|bamboohr|erpnext""), ""CRM &amp; Sales"",
  REGEXMATCH(A52&amp;B52, ""(?i)gmail|outlook|calendar|slack|discord|"&amp;"telegram|whatsapp|notion|trello|drive|sheets?|meeting|scheduler|appointment|mattermost""), ""Productivity &amp; Communication"",
  REGEXMATCH(A52&amp;B52, ""(?i)github|api|webhook|http|mysql|supabase|mongodb|redis|rss|pr|code review|incident|pagerduty|jira""), """&amp;"Development &amp; Utilities"",
  TRUE, ""Others""
)"),"AI &amp; LLM")</f>
        <v>AI &amp; LLM</v>
      </c>
    </row>
    <row r="53" ht="15.75" customHeight="1">
      <c r="A53" s="14" t="s">
        <v>106</v>
      </c>
      <c r="B53" s="15" t="s">
        <v>107</v>
      </c>
      <c r="C53" s="16" t="s">
        <v>7</v>
      </c>
      <c r="D53" s="12" t="str">
        <f>IFERROR(__xludf.DUMMYFUNCTION("IFS(
  REGEXMATCH(A53&amp;B53, ""(?i)openai|gpt|gemini|anthropic|claude|mistral|cohere|rag|vector|llm|chatbot|ai-powered""), ""AI &amp; LLM"",
  REGEXMATCH(A53&amp;B53, ""(?i)twitter|instagram|facebook|linkedin|youtube|tiktok|threads|bluesky|pinterest|social video|r"&amp;"eels?|shorts?""), ""Social Media"",
  REGEXMATCH(A53&amp;B53, ""(?i)hubspot|pipedrive|stripe|shopify|woocommerce|sales|crm|invoice|order|leads?|recruitment|bamboohr|erpnext""), ""CRM &amp; Sales"",
  REGEXMATCH(A53&amp;B53, ""(?i)gmail|outlook|calendar|slack|discord|"&amp;"telegram|whatsapp|notion|trello|drive|sheets?|meeting|scheduler|appointment|mattermost""), ""Productivity &amp; Communication"",
  REGEXMATCH(A53&amp;B53, ""(?i)github|api|webhook|http|mysql|supabase|mongodb|redis|rss|pr|code review|incident|pagerduty|jira""), """&amp;"Development &amp; Utilities"",
  TRUE, ""Others""
)"),"AI &amp; LLM")</f>
        <v>AI &amp; LLM</v>
      </c>
    </row>
    <row r="54" ht="15.75" customHeight="1">
      <c r="A54" s="14" t="s">
        <v>108</v>
      </c>
      <c r="B54" s="15" t="s">
        <v>109</v>
      </c>
      <c r="C54" s="16" t="s">
        <v>7</v>
      </c>
      <c r="D54" s="12" t="str">
        <f>IFERROR(__xludf.DUMMYFUNCTION("IFS(
  REGEXMATCH(A54&amp;B54, ""(?i)openai|gpt|gemini|anthropic|claude|mistral|cohere|rag|vector|llm|chatbot|ai-powered""), ""AI &amp; LLM"",
  REGEXMATCH(A54&amp;B54, ""(?i)twitter|instagram|facebook|linkedin|youtube|tiktok|threads|bluesky|pinterest|social video|r"&amp;"eels?|shorts?""), ""Social Media"",
  REGEXMATCH(A54&amp;B54, ""(?i)hubspot|pipedrive|stripe|shopify|woocommerce|sales|crm|invoice|order|leads?|recruitment|bamboohr|erpnext""), ""CRM &amp; Sales"",
  REGEXMATCH(A54&amp;B54, ""(?i)gmail|outlook|calendar|slack|discord|"&amp;"telegram|whatsapp|notion|trello|drive|sheets?|meeting|scheduler|appointment|mattermost""), ""Productivity &amp; Communication"",
  REGEXMATCH(A54&amp;B54, ""(?i)github|api|webhook|http|mysql|supabase|mongodb|redis|rss|pr|code review|incident|pagerduty|jira""), """&amp;"Development &amp; Utilities"",
  TRUE, ""Others""
)"),"AI &amp; LLM")</f>
        <v>AI &amp; LLM</v>
      </c>
    </row>
    <row r="55" ht="15.75" customHeight="1">
      <c r="A55" s="14" t="s">
        <v>110</v>
      </c>
      <c r="B55" s="15" t="s">
        <v>111</v>
      </c>
      <c r="C55" s="16" t="s">
        <v>7</v>
      </c>
      <c r="D55" s="12" t="str">
        <f>IFERROR(__xludf.DUMMYFUNCTION("IFS(
  REGEXMATCH(A55&amp;B55, ""(?i)openai|gpt|gemini|anthropic|claude|mistral|cohere|rag|vector|llm|chatbot|ai-powered""), ""AI &amp; LLM"",
  REGEXMATCH(A55&amp;B55, ""(?i)twitter|instagram|facebook|linkedin|youtube|tiktok|threads|bluesky|pinterest|social video|r"&amp;"eels?|shorts?""), ""Social Media"",
  REGEXMATCH(A55&amp;B55, ""(?i)hubspot|pipedrive|stripe|shopify|woocommerce|sales|crm|invoice|order|leads?|recruitment|bamboohr|erpnext""), ""CRM &amp; Sales"",
  REGEXMATCH(A55&amp;B55, ""(?i)gmail|outlook|calendar|slack|discord|"&amp;"telegram|whatsapp|notion|trello|drive|sheets?|meeting|scheduler|appointment|mattermost""), ""Productivity &amp; Communication"",
  REGEXMATCH(A55&amp;B55, ""(?i)github|api|webhook|http|mysql|supabase|mongodb|redis|rss|pr|code review|incident|pagerduty|jira""), """&amp;"Development &amp; Utilities"",
  TRUE, ""Others""
)"),"AI &amp; LLM")</f>
        <v>AI &amp; LLM</v>
      </c>
    </row>
    <row r="56" ht="15.75" customHeight="1">
      <c r="A56" s="14" t="s">
        <v>112</v>
      </c>
      <c r="B56" s="15" t="s">
        <v>113</v>
      </c>
      <c r="C56" s="16" t="s">
        <v>7</v>
      </c>
      <c r="D56" s="12" t="str">
        <f>IFERROR(__xludf.DUMMYFUNCTION("IFS(
  REGEXMATCH(A56&amp;B56, ""(?i)openai|gpt|gemini|anthropic|claude|mistral|cohere|rag|vector|llm|chatbot|ai-powered""), ""AI &amp; LLM"",
  REGEXMATCH(A56&amp;B56, ""(?i)twitter|instagram|facebook|linkedin|youtube|tiktok|threads|bluesky|pinterest|social video|r"&amp;"eels?|shorts?""), ""Social Media"",
  REGEXMATCH(A56&amp;B56, ""(?i)hubspot|pipedrive|stripe|shopify|woocommerce|sales|crm|invoice|order|leads?|recruitment|bamboohr|erpnext""), ""CRM &amp; Sales"",
  REGEXMATCH(A56&amp;B56, ""(?i)gmail|outlook|calendar|slack|discord|"&amp;"telegram|whatsapp|notion|trello|drive|sheets?|meeting|scheduler|appointment|mattermost""), ""Productivity &amp; Communication"",
  REGEXMATCH(A56&amp;B56, ""(?i)github|api|webhook|http|mysql|supabase|mongodb|redis|rss|pr|code review|incident|pagerduty|jira""), """&amp;"Development &amp; Utilities"",
  TRUE, ""Others""
)"),"AI &amp; LLM")</f>
        <v>AI &amp; LLM</v>
      </c>
    </row>
    <row r="57" ht="15.75" customHeight="1">
      <c r="A57" s="14" t="s">
        <v>114</v>
      </c>
      <c r="B57" s="15" t="s">
        <v>115</v>
      </c>
      <c r="C57" s="16" t="s">
        <v>7</v>
      </c>
      <c r="D57" s="12" t="str">
        <f>IFERROR(__xludf.DUMMYFUNCTION("IFS(
  REGEXMATCH(A57&amp;B57, ""(?i)openai|gpt|gemini|anthropic|claude|mistral|cohere|rag|vector|llm|chatbot|ai-powered""), ""AI &amp; LLM"",
  REGEXMATCH(A57&amp;B57, ""(?i)twitter|instagram|facebook|linkedin|youtube|tiktok|threads|bluesky|pinterest|social video|r"&amp;"eels?|shorts?""), ""Social Media"",
  REGEXMATCH(A57&amp;B57, ""(?i)hubspot|pipedrive|stripe|shopify|woocommerce|sales|crm|invoice|order|leads?|recruitment|bamboohr|erpnext""), ""CRM &amp; Sales"",
  REGEXMATCH(A57&amp;B57, ""(?i)gmail|outlook|calendar|slack|discord|"&amp;"telegram|whatsapp|notion|trello|drive|sheets?|meeting|scheduler|appointment|mattermost""), ""Productivity &amp; Communication"",
  REGEXMATCH(A57&amp;B57, ""(?i)github|api|webhook|http|mysql|supabase|mongodb|redis|rss|pr|code review|incident|pagerduty|jira""), """&amp;"Development &amp; Utilities"",
  TRUE, ""Others""
)"),"AI &amp; LLM")</f>
        <v>AI &amp; LLM</v>
      </c>
    </row>
    <row r="58" ht="15.75" customHeight="1">
      <c r="A58" s="14" t="s">
        <v>116</v>
      </c>
      <c r="B58" s="15" t="s">
        <v>117</v>
      </c>
      <c r="C58" s="16" t="s">
        <v>7</v>
      </c>
      <c r="D58" s="12" t="str">
        <f>IFERROR(__xludf.DUMMYFUNCTION("IFS(
  REGEXMATCH(A58&amp;B58, ""(?i)openai|gpt|gemini|anthropic|claude|mistral|cohere|rag|vector|llm|chatbot|ai-powered""), ""AI &amp; LLM"",
  REGEXMATCH(A58&amp;B58, ""(?i)twitter|instagram|facebook|linkedin|youtube|tiktok|threads|bluesky|pinterest|social video|r"&amp;"eels?|shorts?""), ""Social Media"",
  REGEXMATCH(A58&amp;B58, ""(?i)hubspot|pipedrive|stripe|shopify|woocommerce|sales|crm|invoice|order|leads?|recruitment|bamboohr|erpnext""), ""CRM &amp; Sales"",
  REGEXMATCH(A58&amp;B58, ""(?i)gmail|outlook|calendar|slack|discord|"&amp;"telegram|whatsapp|notion|trello|drive|sheets?|meeting|scheduler|appointment|mattermost""), ""Productivity &amp; Communication"",
  REGEXMATCH(A58&amp;B58, ""(?i)github|api|webhook|http|mysql|supabase|mongodb|redis|rss|pr|code review|incident|pagerduty|jira""), """&amp;"Development &amp; Utilities"",
  TRUE, ""Others""
)"),"AI &amp; LLM")</f>
        <v>AI &amp; LLM</v>
      </c>
    </row>
    <row r="59" ht="15.75" customHeight="1">
      <c r="A59" s="14" t="s">
        <v>118</v>
      </c>
      <c r="B59" s="15" t="s">
        <v>119</v>
      </c>
      <c r="C59" s="16" t="s">
        <v>7</v>
      </c>
      <c r="D59" s="12" t="str">
        <f>IFERROR(__xludf.DUMMYFUNCTION("IFS(
  REGEXMATCH(A59&amp;B59, ""(?i)openai|gpt|gemini|anthropic|claude|mistral|cohere|rag|vector|llm|chatbot|ai-powered""), ""AI &amp; LLM"",
  REGEXMATCH(A59&amp;B59, ""(?i)twitter|instagram|facebook|linkedin|youtube|tiktok|threads|bluesky|pinterest|social video|r"&amp;"eels?|shorts?""), ""Social Media"",
  REGEXMATCH(A59&amp;B59, ""(?i)hubspot|pipedrive|stripe|shopify|woocommerce|sales|crm|invoice|order|leads?|recruitment|bamboohr|erpnext""), ""CRM &amp; Sales"",
  REGEXMATCH(A59&amp;B59, ""(?i)gmail|outlook|calendar|slack|discord|"&amp;"telegram|whatsapp|notion|trello|drive|sheets?|meeting|scheduler|appointment|mattermost""), ""Productivity &amp; Communication"",
  REGEXMATCH(A59&amp;B59, ""(?i)github|api|webhook|http|mysql|supabase|mongodb|redis|rss|pr|code review|incident|pagerduty|jira""), """&amp;"Development &amp; Utilities"",
  TRUE, ""Others""
)"),"AI &amp; LLM")</f>
        <v>AI &amp; LLM</v>
      </c>
    </row>
    <row r="60" ht="15.75" customHeight="1">
      <c r="A60" s="14" t="s">
        <v>120</v>
      </c>
      <c r="B60" s="15" t="s">
        <v>121</v>
      </c>
      <c r="C60" s="16" t="s">
        <v>7</v>
      </c>
      <c r="D60" s="12" t="str">
        <f>IFERROR(__xludf.DUMMYFUNCTION("IFS(
  REGEXMATCH(A60&amp;B60, ""(?i)openai|gpt|gemini|anthropic|claude|mistral|cohere|rag|vector|llm|chatbot|ai-powered""), ""AI &amp; LLM"",
  REGEXMATCH(A60&amp;B60, ""(?i)twitter|instagram|facebook|linkedin|youtube|tiktok|threads|bluesky|pinterest|social video|r"&amp;"eels?|shorts?""), ""Social Media"",
  REGEXMATCH(A60&amp;B60, ""(?i)hubspot|pipedrive|stripe|shopify|woocommerce|sales|crm|invoice|order|leads?|recruitment|bamboohr|erpnext""), ""CRM &amp; Sales"",
  REGEXMATCH(A60&amp;B60, ""(?i)gmail|outlook|calendar|slack|discord|"&amp;"telegram|whatsapp|notion|trello|drive|sheets?|meeting|scheduler|appointment|mattermost""), ""Productivity &amp; Communication"",
  REGEXMATCH(A60&amp;B60, ""(?i)github|api|webhook|http|mysql|supabase|mongodb|redis|rss|pr|code review|incident|pagerduty|jira""), """&amp;"Development &amp; Utilities"",
  TRUE, ""Others""
)"),"AI &amp; LLM")</f>
        <v>AI &amp; LLM</v>
      </c>
    </row>
    <row r="61" ht="15.75" customHeight="1">
      <c r="A61" s="14" t="s">
        <v>122</v>
      </c>
      <c r="B61" s="15" t="s">
        <v>123</v>
      </c>
      <c r="C61" s="16" t="s">
        <v>7</v>
      </c>
      <c r="D61" s="12" t="str">
        <f>IFERROR(__xludf.DUMMYFUNCTION("IFS(
  REGEXMATCH(A61&amp;B61, ""(?i)openai|gpt|gemini|anthropic|claude|mistral|cohere|rag|vector|llm|chatbot|ai-powered""), ""AI &amp; LLM"",
  REGEXMATCH(A61&amp;B61, ""(?i)twitter|instagram|facebook|linkedin|youtube|tiktok|threads|bluesky|pinterest|social video|r"&amp;"eels?|shorts?""), ""Social Media"",
  REGEXMATCH(A61&amp;B61, ""(?i)hubspot|pipedrive|stripe|shopify|woocommerce|sales|crm|invoice|order|leads?|recruitment|bamboohr|erpnext""), ""CRM &amp; Sales"",
  REGEXMATCH(A61&amp;B61, ""(?i)gmail|outlook|calendar|slack|discord|"&amp;"telegram|whatsapp|notion|trello|drive|sheets?|meeting|scheduler|appointment|mattermost""), ""Productivity &amp; Communication"",
  REGEXMATCH(A61&amp;B61, ""(?i)github|api|webhook|http|mysql|supabase|mongodb|redis|rss|pr|code review|incident|pagerduty|jira""), """&amp;"Development &amp; Utilities"",
  TRUE, ""Others""
)"),"AI &amp; LLM")</f>
        <v>AI &amp; LLM</v>
      </c>
    </row>
    <row r="62" ht="15.75" customHeight="1">
      <c r="A62" s="14" t="s">
        <v>124</v>
      </c>
      <c r="B62" s="15" t="s">
        <v>125</v>
      </c>
      <c r="C62" s="16" t="s">
        <v>7</v>
      </c>
      <c r="D62" s="12" t="str">
        <f>IFERROR(__xludf.DUMMYFUNCTION("IFS(
  REGEXMATCH(A62&amp;B62, ""(?i)openai|gpt|gemini|anthropic|claude|mistral|cohere|rag|vector|llm|chatbot|ai-powered""), ""AI &amp; LLM"",
  REGEXMATCH(A62&amp;B62, ""(?i)twitter|instagram|facebook|linkedin|youtube|tiktok|threads|bluesky|pinterest|social video|r"&amp;"eels?|shorts?""), ""Social Media"",
  REGEXMATCH(A62&amp;B62, ""(?i)hubspot|pipedrive|stripe|shopify|woocommerce|sales|crm|invoice|order|leads?|recruitment|bamboohr|erpnext""), ""CRM &amp; Sales"",
  REGEXMATCH(A62&amp;B62, ""(?i)gmail|outlook|calendar|slack|discord|"&amp;"telegram|whatsapp|notion|trello|drive|sheets?|meeting|scheduler|appointment|mattermost""), ""Productivity &amp; Communication"",
  REGEXMATCH(A62&amp;B62, ""(?i)github|api|webhook|http|mysql|supabase|mongodb|redis|rss|pr|code review|incident|pagerduty|jira""), """&amp;"Development &amp; Utilities"",
  TRUE, ""Others""
)"),"AI &amp; LLM")</f>
        <v>AI &amp; LLM</v>
      </c>
    </row>
    <row r="63" ht="15.75" customHeight="1">
      <c r="A63" s="14" t="s">
        <v>126</v>
      </c>
      <c r="B63" s="15" t="s">
        <v>127</v>
      </c>
      <c r="C63" s="16" t="s">
        <v>7</v>
      </c>
      <c r="D63" s="12" t="str">
        <f>IFERROR(__xludf.DUMMYFUNCTION("IFS(
  REGEXMATCH(A63&amp;B63, ""(?i)openai|gpt|gemini|anthropic|claude|mistral|cohere|rag|vector|llm|chatbot|ai-powered""), ""AI &amp; LLM"",
  REGEXMATCH(A63&amp;B63, ""(?i)twitter|instagram|facebook|linkedin|youtube|tiktok|threads|bluesky|pinterest|social video|r"&amp;"eels?|shorts?""), ""Social Media"",
  REGEXMATCH(A63&amp;B63, ""(?i)hubspot|pipedrive|stripe|shopify|woocommerce|sales|crm|invoice|order|leads?|recruitment|bamboohr|erpnext""), ""CRM &amp; Sales"",
  REGEXMATCH(A63&amp;B63, ""(?i)gmail|outlook|calendar|slack|discord|"&amp;"telegram|whatsapp|notion|trello|drive|sheets?|meeting|scheduler|appointment|mattermost""), ""Productivity &amp; Communication"",
  REGEXMATCH(A63&amp;B63, ""(?i)github|api|webhook|http|mysql|supabase|mongodb|redis|rss|pr|code review|incident|pagerduty|jira""), """&amp;"Development &amp; Utilities"",
  TRUE, ""Others""
)"),"AI &amp; LLM")</f>
        <v>AI &amp; LLM</v>
      </c>
    </row>
    <row r="64" ht="15.75" customHeight="1">
      <c r="A64" s="14" t="s">
        <v>128</v>
      </c>
      <c r="B64" s="15" t="s">
        <v>129</v>
      </c>
      <c r="C64" s="16" t="s">
        <v>7</v>
      </c>
      <c r="D64" s="12" t="str">
        <f>IFERROR(__xludf.DUMMYFUNCTION("IFS(
  REGEXMATCH(A64&amp;B64, ""(?i)openai|gpt|gemini|anthropic|claude|mistral|cohere|rag|vector|llm|chatbot|ai-powered""), ""AI &amp; LLM"",
  REGEXMATCH(A64&amp;B64, ""(?i)twitter|instagram|facebook|linkedin|youtube|tiktok|threads|bluesky|pinterest|social video|r"&amp;"eels?|shorts?""), ""Social Media"",
  REGEXMATCH(A64&amp;B64, ""(?i)hubspot|pipedrive|stripe|shopify|woocommerce|sales|crm|invoice|order|leads?|recruitment|bamboohr|erpnext""), ""CRM &amp; Sales"",
  REGEXMATCH(A64&amp;B64, ""(?i)gmail|outlook|calendar|slack|discord|"&amp;"telegram|whatsapp|notion|trello|drive|sheets?|meeting|scheduler|appointment|mattermost""), ""Productivity &amp; Communication"",
  REGEXMATCH(A64&amp;B64, ""(?i)github|api|webhook|http|mysql|supabase|mongodb|redis|rss|pr|code review|incident|pagerduty|jira""), """&amp;"Development &amp; Utilities"",
  TRUE, ""Others""
)"),"AI &amp; LLM")</f>
        <v>AI &amp; LLM</v>
      </c>
    </row>
    <row r="65" ht="15.75" customHeight="1">
      <c r="A65" s="14" t="s">
        <v>130</v>
      </c>
      <c r="B65" s="15" t="s">
        <v>131</v>
      </c>
      <c r="C65" s="16" t="s">
        <v>7</v>
      </c>
      <c r="D65" s="12" t="str">
        <f>IFERROR(__xludf.DUMMYFUNCTION("IFS(
  REGEXMATCH(A65&amp;B65, ""(?i)openai|gpt|gemini|anthropic|claude|mistral|cohere|rag|vector|llm|chatbot|ai-powered""), ""AI &amp; LLM"",
  REGEXMATCH(A65&amp;B65, ""(?i)twitter|instagram|facebook|linkedin|youtube|tiktok|threads|bluesky|pinterest|social video|r"&amp;"eels?|shorts?""), ""Social Media"",
  REGEXMATCH(A65&amp;B65, ""(?i)hubspot|pipedrive|stripe|shopify|woocommerce|sales|crm|invoice|order|leads?|recruitment|bamboohr|erpnext""), ""CRM &amp; Sales"",
  REGEXMATCH(A65&amp;B65, ""(?i)gmail|outlook|calendar|slack|discord|"&amp;"telegram|whatsapp|notion|trello|drive|sheets?|meeting|scheduler|appointment|mattermost""), ""Productivity &amp; Communication"",
  REGEXMATCH(A65&amp;B65, ""(?i)github|api|webhook|http|mysql|supabase|mongodb|redis|rss|pr|code review|incident|pagerduty|jira""), """&amp;"Development &amp; Utilities"",
  TRUE, ""Others""
)"),"AI &amp; LLM")</f>
        <v>AI &amp; LLM</v>
      </c>
    </row>
    <row r="66" ht="15.75" customHeight="1">
      <c r="A66" s="14" t="s">
        <v>132</v>
      </c>
      <c r="B66" s="15" t="s">
        <v>133</v>
      </c>
      <c r="C66" s="16" t="s">
        <v>7</v>
      </c>
      <c r="D66" s="12" t="str">
        <f>IFERROR(__xludf.DUMMYFUNCTION("IFS(
  REGEXMATCH(A66&amp;B66, ""(?i)openai|gpt|gemini|anthropic|claude|mistral|cohere|rag|vector|llm|chatbot|ai-powered""), ""AI &amp; LLM"",
  REGEXMATCH(A66&amp;B66, ""(?i)twitter|instagram|facebook|linkedin|youtube|tiktok|threads|bluesky|pinterest|social video|r"&amp;"eels?|shorts?""), ""Social Media"",
  REGEXMATCH(A66&amp;B66, ""(?i)hubspot|pipedrive|stripe|shopify|woocommerce|sales|crm|invoice|order|leads?|recruitment|bamboohr|erpnext""), ""CRM &amp; Sales"",
  REGEXMATCH(A66&amp;B66, ""(?i)gmail|outlook|calendar|slack|discord|"&amp;"telegram|whatsapp|notion|trello|drive|sheets?|meeting|scheduler|appointment|mattermost""), ""Productivity &amp; Communication"",
  REGEXMATCH(A66&amp;B66, ""(?i)github|api|webhook|http|mysql|supabase|mongodb|redis|rss|pr|code review|incident|pagerduty|jira""), """&amp;"Development &amp; Utilities"",
  TRUE, ""Others""
)"),"AI &amp; LLM")</f>
        <v>AI &amp; LLM</v>
      </c>
    </row>
    <row r="67" ht="15.75" customHeight="1">
      <c r="A67" s="14" t="s">
        <v>134</v>
      </c>
      <c r="B67" s="15" t="s">
        <v>135</v>
      </c>
      <c r="C67" s="16" t="s">
        <v>7</v>
      </c>
      <c r="D67" s="12" t="str">
        <f>IFERROR(__xludf.DUMMYFUNCTION("IFS(
  REGEXMATCH(A67&amp;B67, ""(?i)openai|gpt|gemini|anthropic|claude|mistral|cohere|rag|vector|llm|chatbot|ai-powered""), ""AI &amp; LLM"",
  REGEXMATCH(A67&amp;B67, ""(?i)twitter|instagram|facebook|linkedin|youtube|tiktok|threads|bluesky|pinterest|social video|r"&amp;"eels?|shorts?""), ""Social Media"",
  REGEXMATCH(A67&amp;B67, ""(?i)hubspot|pipedrive|stripe|shopify|woocommerce|sales|crm|invoice|order|leads?|recruitment|bamboohr|erpnext""), ""CRM &amp; Sales"",
  REGEXMATCH(A67&amp;B67, ""(?i)gmail|outlook|calendar|slack|discord|"&amp;"telegram|whatsapp|notion|trello|drive|sheets?|meeting|scheduler|appointment|mattermost""), ""Productivity &amp; Communication"",
  REGEXMATCH(A67&amp;B67, ""(?i)github|api|webhook|http|mysql|supabase|mongodb|redis|rss|pr|code review|incident|pagerduty|jira""), """&amp;"Development &amp; Utilities"",
  TRUE, ""Others""
)"),"AI &amp; LLM")</f>
        <v>AI &amp; LLM</v>
      </c>
    </row>
    <row r="68" ht="15.75" customHeight="1">
      <c r="A68" s="14" t="s">
        <v>134</v>
      </c>
      <c r="B68" s="15" t="s">
        <v>136</v>
      </c>
      <c r="C68" s="16" t="s">
        <v>7</v>
      </c>
      <c r="D68" s="12" t="str">
        <f>IFERROR(__xludf.DUMMYFUNCTION("IFS(
  REGEXMATCH(A68&amp;B68, ""(?i)openai|gpt|gemini|anthropic|claude|mistral|cohere|rag|vector|llm|chatbot|ai-powered""), ""AI &amp; LLM"",
  REGEXMATCH(A68&amp;B68, ""(?i)twitter|instagram|facebook|linkedin|youtube|tiktok|threads|bluesky|pinterest|social video|r"&amp;"eels?|shorts?""), ""Social Media"",
  REGEXMATCH(A68&amp;B68, ""(?i)hubspot|pipedrive|stripe|shopify|woocommerce|sales|crm|invoice|order|leads?|recruitment|bamboohr|erpnext""), ""CRM &amp; Sales"",
  REGEXMATCH(A68&amp;B68, ""(?i)gmail|outlook|calendar|slack|discord|"&amp;"telegram|whatsapp|notion|trello|drive|sheets?|meeting|scheduler|appointment|mattermost""), ""Productivity &amp; Communication"",
  REGEXMATCH(A68&amp;B68, ""(?i)github|api|webhook|http|mysql|supabase|mongodb|redis|rss|pr|code review|incident|pagerduty|jira""), """&amp;"Development &amp; Utilities"",
  TRUE, ""Others""
)"),"AI &amp; LLM")</f>
        <v>AI &amp; LLM</v>
      </c>
    </row>
    <row r="69" ht="15.75" customHeight="1">
      <c r="A69" s="14" t="s">
        <v>137</v>
      </c>
      <c r="B69" s="15" t="s">
        <v>138</v>
      </c>
      <c r="C69" s="16" t="s">
        <v>7</v>
      </c>
      <c r="D69" s="12" t="str">
        <f>IFERROR(__xludf.DUMMYFUNCTION("IFS(
  REGEXMATCH(A69&amp;B69, ""(?i)openai|gpt|gemini|anthropic|claude|mistral|cohere|rag|vector|llm|chatbot|ai-powered""), ""AI &amp; LLM"",
  REGEXMATCH(A69&amp;B69, ""(?i)twitter|instagram|facebook|linkedin|youtube|tiktok|threads|bluesky|pinterest|social video|r"&amp;"eels?|shorts?""), ""Social Media"",
  REGEXMATCH(A69&amp;B69, ""(?i)hubspot|pipedrive|stripe|shopify|woocommerce|sales|crm|invoice|order|leads?|recruitment|bamboohr|erpnext""), ""CRM &amp; Sales"",
  REGEXMATCH(A69&amp;B69, ""(?i)gmail|outlook|calendar|slack|discord|"&amp;"telegram|whatsapp|notion|trello|drive|sheets?|meeting|scheduler|appointment|mattermost""), ""Productivity &amp; Communication"",
  REGEXMATCH(A69&amp;B69, ""(?i)github|api|webhook|http|mysql|supabase|mongodb|redis|rss|pr|code review|incident|pagerduty|jira""), """&amp;"Development &amp; Utilities"",
  TRUE, ""Others""
)"),"Productivity &amp; Communication")</f>
        <v>Productivity &amp; Communication</v>
      </c>
    </row>
    <row r="70" ht="15.75" customHeight="1">
      <c r="A70" s="14" t="s">
        <v>139</v>
      </c>
      <c r="B70" s="15" t="s">
        <v>140</v>
      </c>
      <c r="C70" s="16" t="s">
        <v>7</v>
      </c>
      <c r="D70" s="12" t="str">
        <f>IFERROR(__xludf.DUMMYFUNCTION("IFS(
  REGEXMATCH(A70&amp;B70, ""(?i)openai|gpt|gemini|anthropic|claude|mistral|cohere|rag|vector|llm|chatbot|ai-powered""), ""AI &amp; LLM"",
  REGEXMATCH(A70&amp;B70, ""(?i)twitter|instagram|facebook|linkedin|youtube|tiktok|threads|bluesky|pinterest|social video|r"&amp;"eels?|shorts?""), ""Social Media"",
  REGEXMATCH(A70&amp;B70, ""(?i)hubspot|pipedrive|stripe|shopify|woocommerce|sales|crm|invoice|order|leads?|recruitment|bamboohr|erpnext""), ""CRM &amp; Sales"",
  REGEXMATCH(A70&amp;B70, ""(?i)gmail|outlook|calendar|slack|discord|"&amp;"telegram|whatsapp|notion|trello|drive|sheets?|meeting|scheduler|appointment|mattermost""), ""Productivity &amp; Communication"",
  REGEXMATCH(A70&amp;B70, ""(?i)github|api|webhook|http|mysql|supabase|mongodb|redis|rss|pr|code review|incident|pagerduty|jira""), """&amp;"Development &amp; Utilities"",
  TRUE, ""Others""
)"),"AI &amp; LLM")</f>
        <v>AI &amp; LLM</v>
      </c>
    </row>
    <row r="71" ht="15.75" customHeight="1">
      <c r="A71" s="14" t="s">
        <v>141</v>
      </c>
      <c r="B71" s="15" t="s">
        <v>142</v>
      </c>
      <c r="C71" s="16" t="s">
        <v>7</v>
      </c>
      <c r="D71" s="12" t="str">
        <f>IFERROR(__xludf.DUMMYFUNCTION("IFS(
  REGEXMATCH(A71&amp;B71, ""(?i)openai|gpt|gemini|anthropic|claude|mistral|cohere|rag|vector|llm|chatbot|ai-powered""), ""AI &amp; LLM"",
  REGEXMATCH(A71&amp;B71, ""(?i)twitter|instagram|facebook|linkedin|youtube|tiktok|threads|bluesky|pinterest|social video|r"&amp;"eels?|shorts?""), ""Social Media"",
  REGEXMATCH(A71&amp;B71, ""(?i)hubspot|pipedrive|stripe|shopify|woocommerce|sales|crm|invoice|order|leads?|recruitment|bamboohr|erpnext""), ""CRM &amp; Sales"",
  REGEXMATCH(A71&amp;B71, ""(?i)gmail|outlook|calendar|slack|discord|"&amp;"telegram|whatsapp|notion|trello|drive|sheets?|meeting|scheduler|appointment|mattermost""), ""Productivity &amp; Communication"",
  REGEXMATCH(A71&amp;B71, ""(?i)github|api|webhook|http|mysql|supabase|mongodb|redis|rss|pr|code review|incident|pagerduty|jira""), """&amp;"Development &amp; Utilities"",
  TRUE, ""Others""
)"),"AI &amp; LLM")</f>
        <v>AI &amp; LLM</v>
      </c>
    </row>
    <row r="72" ht="15.75" customHeight="1">
      <c r="A72" s="14" t="s">
        <v>143</v>
      </c>
      <c r="B72" s="15" t="s">
        <v>144</v>
      </c>
      <c r="C72" s="16" t="s">
        <v>7</v>
      </c>
      <c r="D72" s="12" t="str">
        <f>IFERROR(__xludf.DUMMYFUNCTION("IFS(
  REGEXMATCH(A72&amp;B72, ""(?i)openai|gpt|gemini|anthropic|claude|mistral|cohere|rag|vector|llm|chatbot|ai-powered""), ""AI &amp; LLM"",
  REGEXMATCH(A72&amp;B72, ""(?i)twitter|instagram|facebook|linkedin|youtube|tiktok|threads|bluesky|pinterest|social video|r"&amp;"eels?|shorts?""), ""Social Media"",
  REGEXMATCH(A72&amp;B72, ""(?i)hubspot|pipedrive|stripe|shopify|woocommerce|sales|crm|invoice|order|leads?|recruitment|bamboohr|erpnext""), ""CRM &amp; Sales"",
  REGEXMATCH(A72&amp;B72, ""(?i)gmail|outlook|calendar|slack|discord|"&amp;"telegram|whatsapp|notion|trello|drive|sheets?|meeting|scheduler|appointment|mattermost""), ""Productivity &amp; Communication"",
  REGEXMATCH(A72&amp;B72, ""(?i)github|api|webhook|http|mysql|supabase|mongodb|redis|rss|pr|code review|incident|pagerduty|jira""), """&amp;"Development &amp; Utilities"",
  TRUE, ""Others""
)"),"AI &amp; LLM")</f>
        <v>AI &amp; LLM</v>
      </c>
    </row>
    <row r="73" ht="15.75" customHeight="1">
      <c r="A73" s="14" t="s">
        <v>145</v>
      </c>
      <c r="B73" s="15" t="s">
        <v>146</v>
      </c>
      <c r="C73" s="16" t="s">
        <v>7</v>
      </c>
      <c r="D73" s="12" t="str">
        <f>IFERROR(__xludf.DUMMYFUNCTION("IFS(
  REGEXMATCH(A73&amp;B73, ""(?i)openai|gpt|gemini|anthropic|claude|mistral|cohere|rag|vector|llm|chatbot|ai-powered""), ""AI &amp; LLM"",
  REGEXMATCH(A73&amp;B73, ""(?i)twitter|instagram|facebook|linkedin|youtube|tiktok|threads|bluesky|pinterest|social video|r"&amp;"eels?|shorts?""), ""Social Media"",
  REGEXMATCH(A73&amp;B73, ""(?i)hubspot|pipedrive|stripe|shopify|woocommerce|sales|crm|invoice|order|leads?|recruitment|bamboohr|erpnext""), ""CRM &amp; Sales"",
  REGEXMATCH(A73&amp;B73, ""(?i)gmail|outlook|calendar|slack|discord|"&amp;"telegram|whatsapp|notion|trello|drive|sheets?|meeting|scheduler|appointment|mattermost""), ""Productivity &amp; Communication"",
  REGEXMATCH(A73&amp;B73, ""(?i)github|api|webhook|http|mysql|supabase|mongodb|redis|rss|pr|code review|incident|pagerduty|jira""), """&amp;"Development &amp; Utilities"",
  TRUE, ""Others""
)"),"AI &amp; LLM")</f>
        <v>AI &amp; LLM</v>
      </c>
    </row>
    <row r="74" ht="15.75" customHeight="1">
      <c r="A74" s="14" t="s">
        <v>90</v>
      </c>
      <c r="B74" s="15" t="s">
        <v>147</v>
      </c>
      <c r="C74" s="16" t="s">
        <v>7</v>
      </c>
      <c r="D74" s="12" t="str">
        <f>IFERROR(__xludf.DUMMYFUNCTION("IFS(
  REGEXMATCH(A74&amp;B74, ""(?i)openai|gpt|gemini|anthropic|claude|mistral|cohere|rag|vector|llm|chatbot|ai-powered""), ""AI &amp; LLM"",
  REGEXMATCH(A74&amp;B74, ""(?i)twitter|instagram|facebook|linkedin|youtube|tiktok|threads|bluesky|pinterest|social video|r"&amp;"eels?|shorts?""), ""Social Media"",
  REGEXMATCH(A74&amp;B74, ""(?i)hubspot|pipedrive|stripe|shopify|woocommerce|sales|crm|invoice|order|leads?|recruitment|bamboohr|erpnext""), ""CRM &amp; Sales"",
  REGEXMATCH(A74&amp;B74, ""(?i)gmail|outlook|calendar|slack|discord|"&amp;"telegram|whatsapp|notion|trello|drive|sheets?|meeting|scheduler|appointment|mattermost""), ""Productivity &amp; Communication"",
  REGEXMATCH(A74&amp;B74, ""(?i)github|api|webhook|http|mysql|supabase|mongodb|redis|rss|pr|code review|incident|pagerduty|jira""), """&amp;"Development &amp; Utilities"",
  TRUE, ""Others""
)"),"AI &amp; LLM")</f>
        <v>AI &amp; LLM</v>
      </c>
    </row>
    <row r="75" ht="15.75" customHeight="1">
      <c r="A75" s="14" t="s">
        <v>148</v>
      </c>
      <c r="B75" s="15" t="s">
        <v>149</v>
      </c>
      <c r="C75" s="16" t="s">
        <v>7</v>
      </c>
      <c r="D75" s="12" t="str">
        <f>IFERROR(__xludf.DUMMYFUNCTION("IFS(
  REGEXMATCH(A75&amp;B75, ""(?i)openai|gpt|gemini|anthropic|claude|mistral|cohere|rag|vector|llm|chatbot|ai-powered""), ""AI &amp; LLM"",
  REGEXMATCH(A75&amp;B75, ""(?i)twitter|instagram|facebook|linkedin|youtube|tiktok|threads|bluesky|pinterest|social video|r"&amp;"eels?|shorts?""), ""Social Media"",
  REGEXMATCH(A75&amp;B75, ""(?i)hubspot|pipedrive|stripe|shopify|woocommerce|sales|crm|invoice|order|leads?|recruitment|bamboohr|erpnext""), ""CRM &amp; Sales"",
  REGEXMATCH(A75&amp;B75, ""(?i)gmail|outlook|calendar|slack|discord|"&amp;"telegram|whatsapp|notion|trello|drive|sheets?|meeting|scheduler|appointment|mattermost""), ""Productivity &amp; Communication"",
  REGEXMATCH(A75&amp;B75, ""(?i)github|api|webhook|http|mysql|supabase|mongodb|redis|rss|pr|code review|incident|pagerduty|jira""), """&amp;"Development &amp; Utilities"",
  TRUE, ""Others""
)"),"AI &amp; LLM")</f>
        <v>AI &amp; LLM</v>
      </c>
    </row>
    <row r="76" ht="15.75" customHeight="1">
      <c r="A76" s="14" t="s">
        <v>150</v>
      </c>
      <c r="B76" s="15" t="s">
        <v>151</v>
      </c>
      <c r="C76" s="16" t="s">
        <v>7</v>
      </c>
      <c r="D76" s="12" t="str">
        <f>IFERROR(__xludf.DUMMYFUNCTION("IFS(
  REGEXMATCH(A76&amp;B76, ""(?i)openai|gpt|gemini|anthropic|claude|mistral|cohere|rag|vector|llm|chatbot|ai-powered""), ""AI &amp; LLM"",
  REGEXMATCH(A76&amp;B76, ""(?i)twitter|instagram|facebook|linkedin|youtube|tiktok|threads|bluesky|pinterest|social video|r"&amp;"eels?|shorts?""), ""Social Media"",
  REGEXMATCH(A76&amp;B76, ""(?i)hubspot|pipedrive|stripe|shopify|woocommerce|sales|crm|invoice|order|leads?|recruitment|bamboohr|erpnext""), ""CRM &amp; Sales"",
  REGEXMATCH(A76&amp;B76, ""(?i)gmail|outlook|calendar|slack|discord|"&amp;"telegram|whatsapp|notion|trello|drive|sheets?|meeting|scheduler|appointment|mattermost""), ""Productivity &amp; Communication"",
  REGEXMATCH(A76&amp;B76, ""(?i)github|api|webhook|http|mysql|supabase|mongodb|redis|rss|pr|code review|incident|pagerduty|jira""), """&amp;"Development &amp; Utilities"",
  TRUE, ""Others""
)"),"Social Media")</f>
        <v>Social Media</v>
      </c>
    </row>
    <row r="77" ht="15.75" customHeight="1">
      <c r="A77" s="14" t="s">
        <v>152</v>
      </c>
      <c r="B77" s="15" t="s">
        <v>153</v>
      </c>
      <c r="C77" s="16" t="s">
        <v>7</v>
      </c>
      <c r="D77" s="12" t="str">
        <f>IFERROR(__xludf.DUMMYFUNCTION("IFS(
  REGEXMATCH(A77&amp;B77, ""(?i)openai|gpt|gemini|anthropic|claude|mistral|cohere|rag|vector|llm|chatbot|ai-powered""), ""AI &amp; LLM"",
  REGEXMATCH(A77&amp;B77, ""(?i)twitter|instagram|facebook|linkedin|youtube|tiktok|threads|bluesky|pinterest|social video|r"&amp;"eels?|shorts?""), ""Social Media"",
  REGEXMATCH(A77&amp;B77, ""(?i)hubspot|pipedrive|stripe|shopify|woocommerce|sales|crm|invoice|order|leads?|recruitment|bamboohr|erpnext""), ""CRM &amp; Sales"",
  REGEXMATCH(A77&amp;B77, ""(?i)gmail|outlook|calendar|slack|discord|"&amp;"telegram|whatsapp|notion|trello|drive|sheets?|meeting|scheduler|appointment|mattermost""), ""Productivity &amp; Communication"",
  REGEXMATCH(A77&amp;B77, ""(?i)github|api|webhook|http|mysql|supabase|mongodb|redis|rss|pr|code review|incident|pagerduty|jira""), """&amp;"Development &amp; Utilities"",
  TRUE, ""Others""
)"),"AI &amp; LLM")</f>
        <v>AI &amp; LLM</v>
      </c>
    </row>
    <row r="78" ht="15.75" customHeight="1">
      <c r="A78" s="14" t="s">
        <v>154</v>
      </c>
      <c r="B78" s="15" t="s">
        <v>155</v>
      </c>
      <c r="C78" s="16" t="s">
        <v>7</v>
      </c>
      <c r="D78" s="12" t="str">
        <f>IFERROR(__xludf.DUMMYFUNCTION("IFS(
  REGEXMATCH(A78&amp;B78, ""(?i)openai|gpt|gemini|anthropic|claude|mistral|cohere|rag|vector|llm|chatbot|ai-powered""), ""AI &amp; LLM"",
  REGEXMATCH(A78&amp;B78, ""(?i)twitter|instagram|facebook|linkedin|youtube|tiktok|threads|bluesky|pinterest|social video|r"&amp;"eels?|shorts?""), ""Social Media"",
  REGEXMATCH(A78&amp;B78, ""(?i)hubspot|pipedrive|stripe|shopify|woocommerce|sales|crm|invoice|order|leads?|recruitment|bamboohr|erpnext""), ""CRM &amp; Sales"",
  REGEXMATCH(A78&amp;B78, ""(?i)gmail|outlook|calendar|slack|discord|"&amp;"telegram|whatsapp|notion|trello|drive|sheets?|meeting|scheduler|appointment|mattermost""), ""Productivity &amp; Communication"",
  REGEXMATCH(A78&amp;B78, ""(?i)github|api|webhook|http|mysql|supabase|mongodb|redis|rss|pr|code review|incident|pagerduty|jira""), """&amp;"Development &amp; Utilities"",
  TRUE, ""Others""
)"),"AI &amp; LLM")</f>
        <v>AI &amp; LLM</v>
      </c>
    </row>
    <row r="79" ht="15.75" customHeight="1">
      <c r="A79" s="14" t="s">
        <v>156</v>
      </c>
      <c r="B79" s="15" t="s">
        <v>157</v>
      </c>
      <c r="C79" s="16" t="s">
        <v>7</v>
      </c>
      <c r="D79" s="12" t="str">
        <f>IFERROR(__xludf.DUMMYFUNCTION("IFS(
  REGEXMATCH(A79&amp;B79, ""(?i)openai|gpt|gemini|anthropic|claude|mistral|cohere|rag|vector|llm|chatbot|ai-powered""), ""AI &amp; LLM"",
  REGEXMATCH(A79&amp;B79, ""(?i)twitter|instagram|facebook|linkedin|youtube|tiktok|threads|bluesky|pinterest|social video|r"&amp;"eels?|shorts?""), ""Social Media"",
  REGEXMATCH(A79&amp;B79, ""(?i)hubspot|pipedrive|stripe|shopify|woocommerce|sales|crm|invoice|order|leads?|recruitment|bamboohr|erpnext""), ""CRM &amp; Sales"",
  REGEXMATCH(A79&amp;B79, ""(?i)gmail|outlook|calendar|slack|discord|"&amp;"telegram|whatsapp|notion|trello|drive|sheets?|meeting|scheduler|appointment|mattermost""), ""Productivity &amp; Communication"",
  REGEXMATCH(A79&amp;B79, ""(?i)github|api|webhook|http|mysql|supabase|mongodb|redis|rss|pr|code review|incident|pagerduty|jira""), """&amp;"Development &amp; Utilities"",
  TRUE, ""Others""
)"),"AI &amp; LLM")</f>
        <v>AI &amp; LLM</v>
      </c>
    </row>
    <row r="80" ht="15.75" customHeight="1">
      <c r="A80" s="14" t="s">
        <v>158</v>
      </c>
      <c r="B80" s="15" t="s">
        <v>159</v>
      </c>
      <c r="C80" s="16" t="s">
        <v>7</v>
      </c>
      <c r="D80" s="12" t="str">
        <f>IFERROR(__xludf.DUMMYFUNCTION("IFS(
  REGEXMATCH(A80&amp;B80, ""(?i)openai|gpt|gemini|anthropic|claude|mistral|cohere|rag|vector|llm|chatbot|ai-powered""), ""AI &amp; LLM"",
  REGEXMATCH(A80&amp;B80, ""(?i)twitter|instagram|facebook|linkedin|youtube|tiktok|threads|bluesky|pinterest|social video|r"&amp;"eels?|shorts?""), ""Social Media"",
  REGEXMATCH(A80&amp;B80, ""(?i)hubspot|pipedrive|stripe|shopify|woocommerce|sales|crm|invoice|order|leads?|recruitment|bamboohr|erpnext""), ""CRM &amp; Sales"",
  REGEXMATCH(A80&amp;B80, ""(?i)gmail|outlook|calendar|slack|discord|"&amp;"telegram|whatsapp|notion|trello|drive|sheets?|meeting|scheduler|appointment|mattermost""), ""Productivity &amp; Communication"",
  REGEXMATCH(A80&amp;B80, ""(?i)github|api|webhook|http|mysql|supabase|mongodb|redis|rss|pr|code review|incident|pagerduty|jira""), """&amp;"Development &amp; Utilities"",
  TRUE, ""Others""
)"),"AI &amp; LLM")</f>
        <v>AI &amp; LLM</v>
      </c>
    </row>
    <row r="81" ht="15.75" customHeight="1">
      <c r="A81" s="14" t="s">
        <v>160</v>
      </c>
      <c r="B81" s="15" t="s">
        <v>161</v>
      </c>
      <c r="C81" s="16" t="s">
        <v>7</v>
      </c>
      <c r="D81" s="12" t="str">
        <f>IFERROR(__xludf.DUMMYFUNCTION("IFS(
  REGEXMATCH(A81&amp;B81, ""(?i)openai|gpt|gemini|anthropic|claude|mistral|cohere|rag|vector|llm|chatbot|ai-powered""), ""AI &amp; LLM"",
  REGEXMATCH(A81&amp;B81, ""(?i)twitter|instagram|facebook|linkedin|youtube|tiktok|threads|bluesky|pinterest|social video|r"&amp;"eels?|shorts?""), ""Social Media"",
  REGEXMATCH(A81&amp;B81, ""(?i)hubspot|pipedrive|stripe|shopify|woocommerce|sales|crm|invoice|order|leads?|recruitment|bamboohr|erpnext""), ""CRM &amp; Sales"",
  REGEXMATCH(A81&amp;B81, ""(?i)gmail|outlook|calendar|slack|discord|"&amp;"telegram|whatsapp|notion|trello|drive|sheets?|meeting|scheduler|appointment|mattermost""), ""Productivity &amp; Communication"",
  REGEXMATCH(A81&amp;B81, ""(?i)github|api|webhook|http|mysql|supabase|mongodb|redis|rss|pr|code review|incident|pagerduty|jira""), """&amp;"Development &amp; Utilities"",
  TRUE, ""Others""
)"),"AI &amp; LLM")</f>
        <v>AI &amp; LLM</v>
      </c>
    </row>
    <row r="82" ht="15.75" customHeight="1">
      <c r="A82" s="14" t="s">
        <v>162</v>
      </c>
      <c r="B82" s="15" t="s">
        <v>163</v>
      </c>
      <c r="C82" s="16" t="s">
        <v>7</v>
      </c>
      <c r="D82" s="12" t="str">
        <f>IFERROR(__xludf.DUMMYFUNCTION("IFS(
  REGEXMATCH(A82&amp;B82, ""(?i)openai|gpt|gemini|anthropic|claude|mistral|cohere|rag|vector|llm|chatbot|ai-powered""), ""AI &amp; LLM"",
  REGEXMATCH(A82&amp;B82, ""(?i)twitter|instagram|facebook|linkedin|youtube|tiktok|threads|bluesky|pinterest|social video|r"&amp;"eels?|shorts?""), ""Social Media"",
  REGEXMATCH(A82&amp;B82, ""(?i)hubspot|pipedrive|stripe|shopify|woocommerce|sales|crm|invoice|order|leads?|recruitment|bamboohr|erpnext""), ""CRM &amp; Sales"",
  REGEXMATCH(A82&amp;B82, ""(?i)gmail|outlook|calendar|slack|discord|"&amp;"telegram|whatsapp|notion|trello|drive|sheets?|meeting|scheduler|appointment|mattermost""), ""Productivity &amp; Communication"",
  REGEXMATCH(A82&amp;B82, ""(?i)github|api|webhook|http|mysql|supabase|mongodb|redis|rss|pr|code review|incident|pagerduty|jira""), """&amp;"Development &amp; Utilities"",
  TRUE, ""Others""
)"),"AI &amp; LLM")</f>
        <v>AI &amp; LLM</v>
      </c>
    </row>
    <row r="83" ht="15.75" customHeight="1">
      <c r="A83" s="14" t="s">
        <v>164</v>
      </c>
      <c r="B83" s="15" t="s">
        <v>165</v>
      </c>
      <c r="C83" s="16" t="s">
        <v>7</v>
      </c>
      <c r="D83" s="12" t="str">
        <f>IFERROR(__xludf.DUMMYFUNCTION("IFS(
  REGEXMATCH(A83&amp;B83, ""(?i)openai|gpt|gemini|anthropic|claude|mistral|cohere|rag|vector|llm|chatbot|ai-powered""), ""AI &amp; LLM"",
  REGEXMATCH(A83&amp;B83, ""(?i)twitter|instagram|facebook|linkedin|youtube|tiktok|threads|bluesky|pinterest|social video|r"&amp;"eels?|shorts?""), ""Social Media"",
  REGEXMATCH(A83&amp;B83, ""(?i)hubspot|pipedrive|stripe|shopify|woocommerce|sales|crm|invoice|order|leads?|recruitment|bamboohr|erpnext""), ""CRM &amp; Sales"",
  REGEXMATCH(A83&amp;B83, ""(?i)gmail|outlook|calendar|slack|discord|"&amp;"telegram|whatsapp|notion|trello|drive|sheets?|meeting|scheduler|appointment|mattermost""), ""Productivity &amp; Communication"",
  REGEXMATCH(A83&amp;B83, ""(?i)github|api|webhook|http|mysql|supabase|mongodb|redis|rss|pr|code review|incident|pagerduty|jira""), """&amp;"Development &amp; Utilities"",
  TRUE, ""Others""
)"),"AI &amp; LLM")</f>
        <v>AI &amp; LLM</v>
      </c>
    </row>
    <row r="84" ht="15.75" customHeight="1">
      <c r="A84" s="14" t="s">
        <v>166</v>
      </c>
      <c r="B84" s="15" t="s">
        <v>167</v>
      </c>
      <c r="C84" s="16" t="s">
        <v>7</v>
      </c>
      <c r="D84" s="12" t="str">
        <f>IFERROR(__xludf.DUMMYFUNCTION("IFS(
  REGEXMATCH(A84&amp;B84, ""(?i)openai|gpt|gemini|anthropic|claude|mistral|cohere|rag|vector|llm|chatbot|ai-powered""), ""AI &amp; LLM"",
  REGEXMATCH(A84&amp;B84, ""(?i)twitter|instagram|facebook|linkedin|youtube|tiktok|threads|bluesky|pinterest|social video|r"&amp;"eels?|shorts?""), ""Social Media"",
  REGEXMATCH(A84&amp;B84, ""(?i)hubspot|pipedrive|stripe|shopify|woocommerce|sales|crm|invoice|order|leads?|recruitment|bamboohr|erpnext""), ""CRM &amp; Sales"",
  REGEXMATCH(A84&amp;B84, ""(?i)gmail|outlook|calendar|slack|discord|"&amp;"telegram|whatsapp|notion|trello|drive|sheets?|meeting|scheduler|appointment|mattermost""), ""Productivity &amp; Communication"",
  REGEXMATCH(A84&amp;B84, ""(?i)github|api|webhook|http|mysql|supabase|mongodb|redis|rss|pr|code review|incident|pagerduty|jira""), """&amp;"Development &amp; Utilities"",
  TRUE, ""Others""
)"),"AI &amp; LLM")</f>
        <v>AI &amp; LLM</v>
      </c>
    </row>
    <row r="85" ht="15.75" customHeight="1">
      <c r="A85" s="14" t="s">
        <v>168</v>
      </c>
      <c r="B85" s="15" t="s">
        <v>169</v>
      </c>
      <c r="C85" s="16" t="s">
        <v>7</v>
      </c>
      <c r="D85" s="12" t="str">
        <f>IFERROR(__xludf.DUMMYFUNCTION("IFS(
  REGEXMATCH(A85&amp;B85, ""(?i)openai|gpt|gemini|anthropic|claude|mistral|cohere|rag|vector|llm|chatbot|ai-powered""), ""AI &amp; LLM"",
  REGEXMATCH(A85&amp;B85, ""(?i)twitter|instagram|facebook|linkedin|youtube|tiktok|threads|bluesky|pinterest|social video|r"&amp;"eels?|shorts?""), ""Social Media"",
  REGEXMATCH(A85&amp;B85, ""(?i)hubspot|pipedrive|stripe|shopify|woocommerce|sales|crm|invoice|order|leads?|recruitment|bamboohr|erpnext""), ""CRM &amp; Sales"",
  REGEXMATCH(A85&amp;B85, ""(?i)gmail|outlook|calendar|slack|discord|"&amp;"telegram|whatsapp|notion|trello|drive|sheets?|meeting|scheduler|appointment|mattermost""), ""Productivity &amp; Communication"",
  REGEXMATCH(A85&amp;B85, ""(?i)github|api|webhook|http|mysql|supabase|mongodb|redis|rss|pr|code review|incident|pagerduty|jira""), """&amp;"Development &amp; Utilities"",
  TRUE, ""Others""
)"),"AI &amp; LLM")</f>
        <v>AI &amp; LLM</v>
      </c>
    </row>
    <row r="86" ht="15.75" customHeight="1">
      <c r="A86" s="14" t="s">
        <v>170</v>
      </c>
      <c r="B86" s="15" t="s">
        <v>171</v>
      </c>
      <c r="C86" s="16" t="s">
        <v>7</v>
      </c>
      <c r="D86" s="12" t="str">
        <f>IFERROR(__xludf.DUMMYFUNCTION("IFS(
  REGEXMATCH(A86&amp;B86, ""(?i)openai|gpt|gemini|anthropic|claude|mistral|cohere|rag|vector|llm|chatbot|ai-powered""), ""AI &amp; LLM"",
  REGEXMATCH(A86&amp;B86, ""(?i)twitter|instagram|facebook|linkedin|youtube|tiktok|threads|bluesky|pinterest|social video|r"&amp;"eels?|shorts?""), ""Social Media"",
  REGEXMATCH(A86&amp;B86, ""(?i)hubspot|pipedrive|stripe|shopify|woocommerce|sales|crm|invoice|order|leads?|recruitment|bamboohr|erpnext""), ""CRM &amp; Sales"",
  REGEXMATCH(A86&amp;B86, ""(?i)gmail|outlook|calendar|slack|discord|"&amp;"telegram|whatsapp|notion|trello|drive|sheets?|meeting|scheduler|appointment|mattermost""), ""Productivity &amp; Communication"",
  REGEXMATCH(A86&amp;B86, ""(?i)github|api|webhook|http|mysql|supabase|mongodb|redis|rss|pr|code review|incident|pagerduty|jira""), """&amp;"Development &amp; Utilities"",
  TRUE, ""Others""
)"),"AI &amp; LLM")</f>
        <v>AI &amp; LLM</v>
      </c>
    </row>
    <row r="87" ht="15.75" customHeight="1">
      <c r="A87" s="14" t="s">
        <v>172</v>
      </c>
      <c r="B87" s="15" t="s">
        <v>173</v>
      </c>
      <c r="C87" s="16" t="s">
        <v>7</v>
      </c>
      <c r="D87" s="12" t="str">
        <f>IFERROR(__xludf.DUMMYFUNCTION("IFS(
  REGEXMATCH(A87&amp;B87, ""(?i)openai|gpt|gemini|anthropic|claude|mistral|cohere|rag|vector|llm|chatbot|ai-powered""), ""AI &amp; LLM"",
  REGEXMATCH(A87&amp;B87, ""(?i)twitter|instagram|facebook|linkedin|youtube|tiktok|threads|bluesky|pinterest|social video|r"&amp;"eels?|shorts?""), ""Social Media"",
  REGEXMATCH(A87&amp;B87, ""(?i)hubspot|pipedrive|stripe|shopify|woocommerce|sales|crm|invoice|order|leads?|recruitment|bamboohr|erpnext""), ""CRM &amp; Sales"",
  REGEXMATCH(A87&amp;B87, ""(?i)gmail|outlook|calendar|slack|discord|"&amp;"telegram|whatsapp|notion|trello|drive|sheets?|meeting|scheduler|appointment|mattermost""), ""Productivity &amp; Communication"",
  REGEXMATCH(A87&amp;B87, ""(?i)github|api|webhook|http|mysql|supabase|mongodb|redis|rss|pr|code review|incident|pagerduty|jira""), """&amp;"Development &amp; Utilities"",
  TRUE, ""Others""
)"),"AI &amp; LLM")</f>
        <v>AI &amp; LLM</v>
      </c>
    </row>
    <row r="88" ht="15.75" customHeight="1">
      <c r="A88" s="14" t="s">
        <v>174</v>
      </c>
      <c r="B88" s="15" t="s">
        <v>175</v>
      </c>
      <c r="C88" s="16" t="s">
        <v>7</v>
      </c>
      <c r="D88" s="12" t="str">
        <f>IFERROR(__xludf.DUMMYFUNCTION("IFS(
  REGEXMATCH(A88&amp;B88, ""(?i)openai|gpt|gemini|anthropic|claude|mistral|cohere|rag|vector|llm|chatbot|ai-powered""), ""AI &amp; LLM"",
  REGEXMATCH(A88&amp;B88, ""(?i)twitter|instagram|facebook|linkedin|youtube|tiktok|threads|bluesky|pinterest|social video|r"&amp;"eels?|shorts?""), ""Social Media"",
  REGEXMATCH(A88&amp;B88, ""(?i)hubspot|pipedrive|stripe|shopify|woocommerce|sales|crm|invoice|order|leads?|recruitment|bamboohr|erpnext""), ""CRM &amp; Sales"",
  REGEXMATCH(A88&amp;B88, ""(?i)gmail|outlook|calendar|slack|discord|"&amp;"telegram|whatsapp|notion|trello|drive|sheets?|meeting|scheduler|appointment|mattermost""), ""Productivity &amp; Communication"",
  REGEXMATCH(A88&amp;B88, ""(?i)github|api|webhook|http|mysql|supabase|mongodb|redis|rss|pr|code review|incident|pagerduty|jira""), """&amp;"Development &amp; Utilities"",
  TRUE, ""Others""
)"),"AI &amp; LLM")</f>
        <v>AI &amp; LLM</v>
      </c>
    </row>
    <row r="89" ht="15.75" customHeight="1">
      <c r="A89" s="14" t="s">
        <v>176</v>
      </c>
      <c r="B89" s="15" t="s">
        <v>177</v>
      </c>
      <c r="C89" s="16" t="s">
        <v>7</v>
      </c>
      <c r="D89" s="12" t="str">
        <f>IFERROR(__xludf.DUMMYFUNCTION("IFS(
  REGEXMATCH(A89&amp;B89, ""(?i)openai|gpt|gemini|anthropic|claude|mistral|cohere|rag|vector|llm|chatbot|ai-powered""), ""AI &amp; LLM"",
  REGEXMATCH(A89&amp;B89, ""(?i)twitter|instagram|facebook|linkedin|youtube|tiktok|threads|bluesky|pinterest|social video|r"&amp;"eels?|shorts?""), ""Social Media"",
  REGEXMATCH(A89&amp;B89, ""(?i)hubspot|pipedrive|stripe|shopify|woocommerce|sales|crm|invoice|order|leads?|recruitment|bamboohr|erpnext""), ""CRM &amp; Sales"",
  REGEXMATCH(A89&amp;B89, ""(?i)gmail|outlook|calendar|slack|discord|"&amp;"telegram|whatsapp|notion|trello|drive|sheets?|meeting|scheduler|appointment|mattermost""), ""Productivity &amp; Communication"",
  REGEXMATCH(A89&amp;B89, ""(?i)github|api|webhook|http|mysql|supabase|mongodb|redis|rss|pr|code review|incident|pagerduty|jira""), """&amp;"Development &amp; Utilities"",
  TRUE, ""Others""
)"),"AI &amp; LLM")</f>
        <v>AI &amp; LLM</v>
      </c>
    </row>
    <row r="90" ht="15.75" customHeight="1">
      <c r="A90" s="14" t="s">
        <v>178</v>
      </c>
      <c r="B90" s="15" t="s">
        <v>179</v>
      </c>
      <c r="C90" s="16" t="s">
        <v>7</v>
      </c>
      <c r="D90" s="12" t="str">
        <f>IFERROR(__xludf.DUMMYFUNCTION("IFS(
  REGEXMATCH(A90&amp;B90, ""(?i)openai|gpt|gemini|anthropic|claude|mistral|cohere|rag|vector|llm|chatbot|ai-powered""), ""AI &amp; LLM"",
  REGEXMATCH(A90&amp;B90, ""(?i)twitter|instagram|facebook|linkedin|youtube|tiktok|threads|bluesky|pinterest|social video|r"&amp;"eels?|shorts?""), ""Social Media"",
  REGEXMATCH(A90&amp;B90, ""(?i)hubspot|pipedrive|stripe|shopify|woocommerce|sales|crm|invoice|order|leads?|recruitment|bamboohr|erpnext""), ""CRM &amp; Sales"",
  REGEXMATCH(A90&amp;B90, ""(?i)gmail|outlook|calendar|slack|discord|"&amp;"telegram|whatsapp|notion|trello|drive|sheets?|meeting|scheduler|appointment|mattermost""), ""Productivity &amp; Communication"",
  REGEXMATCH(A90&amp;B90, ""(?i)github|api|webhook|http|mysql|supabase|mongodb|redis|rss|pr|code review|incident|pagerduty|jira""), """&amp;"Development &amp; Utilities"",
  TRUE, ""Others""
)"),"AI &amp; LLM")</f>
        <v>AI &amp; LLM</v>
      </c>
    </row>
    <row r="91" ht="15.75" customHeight="1">
      <c r="A91" s="14" t="s">
        <v>180</v>
      </c>
      <c r="B91" s="15" t="s">
        <v>181</v>
      </c>
      <c r="C91" s="16" t="s">
        <v>7</v>
      </c>
      <c r="D91" s="12" t="str">
        <f>IFERROR(__xludf.DUMMYFUNCTION("IFS(
  REGEXMATCH(A91&amp;B91, ""(?i)openai|gpt|gemini|anthropic|claude|mistral|cohere|rag|vector|llm|chatbot|ai-powered""), ""AI &amp; LLM"",
  REGEXMATCH(A91&amp;B91, ""(?i)twitter|instagram|facebook|linkedin|youtube|tiktok|threads|bluesky|pinterest|social video|r"&amp;"eels?|shorts?""), ""Social Media"",
  REGEXMATCH(A91&amp;B91, ""(?i)hubspot|pipedrive|stripe|shopify|woocommerce|sales|crm|invoice|order|leads?|recruitment|bamboohr|erpnext""), ""CRM &amp; Sales"",
  REGEXMATCH(A91&amp;B91, ""(?i)gmail|outlook|calendar|slack|discord|"&amp;"telegram|whatsapp|notion|trello|drive|sheets?|meeting|scheduler|appointment|mattermost""), ""Productivity &amp; Communication"",
  REGEXMATCH(A91&amp;B91, ""(?i)github|api|webhook|http|mysql|supabase|mongodb|redis|rss|pr|code review|incident|pagerduty|jira""), """&amp;"Development &amp; Utilities"",
  TRUE, ""Others""
)"),"AI &amp; LLM")</f>
        <v>AI &amp; LLM</v>
      </c>
    </row>
    <row r="92" ht="15.75" customHeight="1">
      <c r="A92" s="14" t="s">
        <v>182</v>
      </c>
      <c r="B92" s="15" t="s">
        <v>183</v>
      </c>
      <c r="C92" s="16" t="s">
        <v>7</v>
      </c>
      <c r="D92" s="12" t="str">
        <f>IFERROR(__xludf.DUMMYFUNCTION("IFS(
  REGEXMATCH(A92&amp;B92, ""(?i)openai|gpt|gemini|anthropic|claude|mistral|cohere|rag|vector|llm|chatbot|ai-powered""), ""AI &amp; LLM"",
  REGEXMATCH(A92&amp;B92, ""(?i)twitter|instagram|facebook|linkedin|youtube|tiktok|threads|bluesky|pinterest|social video|r"&amp;"eels?|shorts?""), ""Social Media"",
  REGEXMATCH(A92&amp;B92, ""(?i)hubspot|pipedrive|stripe|shopify|woocommerce|sales|crm|invoice|order|leads?|recruitment|bamboohr|erpnext""), ""CRM &amp; Sales"",
  REGEXMATCH(A92&amp;B92, ""(?i)gmail|outlook|calendar|slack|discord|"&amp;"telegram|whatsapp|notion|trello|drive|sheets?|meeting|scheduler|appointment|mattermost""), ""Productivity &amp; Communication"",
  REGEXMATCH(A92&amp;B92, ""(?i)github|api|webhook|http|mysql|supabase|mongodb|redis|rss|pr|code review|incident|pagerduty|jira""), """&amp;"Development &amp; Utilities"",
  TRUE, ""Others""
)"),"AI &amp; LLM")</f>
        <v>AI &amp; LLM</v>
      </c>
    </row>
    <row r="93" ht="15.75" customHeight="1">
      <c r="A93" s="14" t="s">
        <v>184</v>
      </c>
      <c r="B93" s="15" t="s">
        <v>185</v>
      </c>
      <c r="C93" s="16" t="s">
        <v>7</v>
      </c>
      <c r="D93" s="12" t="str">
        <f>IFERROR(__xludf.DUMMYFUNCTION("IFS(
  REGEXMATCH(A93&amp;B93, ""(?i)openai|gpt|gemini|anthropic|claude|mistral|cohere|rag|vector|llm|chatbot|ai-powered""), ""AI &amp; LLM"",
  REGEXMATCH(A93&amp;B93, ""(?i)twitter|instagram|facebook|linkedin|youtube|tiktok|threads|bluesky|pinterest|social video|r"&amp;"eels?|shorts?""), ""Social Media"",
  REGEXMATCH(A93&amp;B93, ""(?i)hubspot|pipedrive|stripe|shopify|woocommerce|sales|crm|invoice|order|leads?|recruitment|bamboohr|erpnext""), ""CRM &amp; Sales"",
  REGEXMATCH(A93&amp;B93, ""(?i)gmail|outlook|calendar|slack|discord|"&amp;"telegram|whatsapp|notion|trello|drive|sheets?|meeting|scheduler|appointment|mattermost""), ""Productivity &amp; Communication"",
  REGEXMATCH(A93&amp;B93, ""(?i)github|api|webhook|http|mysql|supabase|mongodb|redis|rss|pr|code review|incident|pagerduty|jira""), """&amp;"Development &amp; Utilities"",
  TRUE, ""Others""
)"),"AI &amp; LLM")</f>
        <v>AI &amp; LLM</v>
      </c>
    </row>
    <row r="94" ht="15.75" customHeight="1">
      <c r="A94" s="14" t="s">
        <v>186</v>
      </c>
      <c r="B94" s="15" t="s">
        <v>187</v>
      </c>
      <c r="C94" s="16" t="s">
        <v>7</v>
      </c>
      <c r="D94" s="12" t="str">
        <f>IFERROR(__xludf.DUMMYFUNCTION("IFS(
  REGEXMATCH(A94&amp;B94, ""(?i)openai|gpt|gemini|anthropic|claude|mistral|cohere|rag|vector|llm|chatbot|ai-powered""), ""AI &amp; LLM"",
  REGEXMATCH(A94&amp;B94, ""(?i)twitter|instagram|facebook|linkedin|youtube|tiktok|threads|bluesky|pinterest|social video|r"&amp;"eels?|shorts?""), ""Social Media"",
  REGEXMATCH(A94&amp;B94, ""(?i)hubspot|pipedrive|stripe|shopify|woocommerce|sales|crm|invoice|order|leads?|recruitment|bamboohr|erpnext""), ""CRM &amp; Sales"",
  REGEXMATCH(A94&amp;B94, ""(?i)gmail|outlook|calendar|slack|discord|"&amp;"telegram|whatsapp|notion|trello|drive|sheets?|meeting|scheduler|appointment|mattermost""), ""Productivity &amp; Communication"",
  REGEXMATCH(A94&amp;B94, ""(?i)github|api|webhook|http|mysql|supabase|mongodb|redis|rss|pr|code review|incident|pagerduty|jira""), """&amp;"Development &amp; Utilities"",
  TRUE, ""Others""
)"),"AI &amp; LLM")</f>
        <v>AI &amp; LLM</v>
      </c>
    </row>
    <row r="95" ht="15.75" customHeight="1">
      <c r="A95" s="14" t="s">
        <v>188</v>
      </c>
      <c r="B95" s="15" t="s">
        <v>189</v>
      </c>
      <c r="C95" s="16" t="s">
        <v>7</v>
      </c>
      <c r="D95" s="12" t="str">
        <f>IFERROR(__xludf.DUMMYFUNCTION("IFS(
  REGEXMATCH(A95&amp;B95, ""(?i)openai|gpt|gemini|anthropic|claude|mistral|cohere|rag|vector|llm|chatbot|ai-powered""), ""AI &amp; LLM"",
  REGEXMATCH(A95&amp;B95, ""(?i)twitter|instagram|facebook|linkedin|youtube|tiktok|threads|bluesky|pinterest|social video|r"&amp;"eels?|shorts?""), ""Social Media"",
  REGEXMATCH(A95&amp;B95, ""(?i)hubspot|pipedrive|stripe|shopify|woocommerce|sales|crm|invoice|order|leads?|recruitment|bamboohr|erpnext""), ""CRM &amp; Sales"",
  REGEXMATCH(A95&amp;B95, ""(?i)gmail|outlook|calendar|slack|discord|"&amp;"telegram|whatsapp|notion|trello|drive|sheets?|meeting|scheduler|appointment|mattermost""), ""Productivity &amp; Communication"",
  REGEXMATCH(A95&amp;B95, ""(?i)github|api|webhook|http|mysql|supabase|mongodb|redis|rss|pr|code review|incident|pagerduty|jira""), """&amp;"Development &amp; Utilities"",
  TRUE, ""Others""
)"),"AI &amp; LLM")</f>
        <v>AI &amp; LLM</v>
      </c>
    </row>
    <row r="96" ht="15.75" customHeight="1">
      <c r="A96" s="14" t="s">
        <v>190</v>
      </c>
      <c r="B96" s="15" t="s">
        <v>191</v>
      </c>
      <c r="C96" s="16" t="s">
        <v>7</v>
      </c>
      <c r="D96" s="12" t="str">
        <f>IFERROR(__xludf.DUMMYFUNCTION("IFS(
  REGEXMATCH(A96&amp;B96, ""(?i)openai|gpt|gemini|anthropic|claude|mistral|cohere|rag|vector|llm|chatbot|ai-powered""), ""AI &amp; LLM"",
  REGEXMATCH(A96&amp;B96, ""(?i)twitter|instagram|facebook|linkedin|youtube|tiktok|threads|bluesky|pinterest|social video|r"&amp;"eels?|shorts?""), ""Social Media"",
  REGEXMATCH(A96&amp;B96, ""(?i)hubspot|pipedrive|stripe|shopify|woocommerce|sales|crm|invoice|order|leads?|recruitment|bamboohr|erpnext""), ""CRM &amp; Sales"",
  REGEXMATCH(A96&amp;B96, ""(?i)gmail|outlook|calendar|slack|discord|"&amp;"telegram|whatsapp|notion|trello|drive|sheets?|meeting|scheduler|appointment|mattermost""), ""Productivity &amp; Communication"",
  REGEXMATCH(A96&amp;B96, ""(?i)github|api|webhook|http|mysql|supabase|mongodb|redis|rss|pr|code review|incident|pagerduty|jira""), """&amp;"Development &amp; Utilities"",
  TRUE, ""Others""
)"),"AI &amp; LLM")</f>
        <v>AI &amp; LLM</v>
      </c>
    </row>
    <row r="97" ht="15.75" customHeight="1">
      <c r="A97" s="14" t="s">
        <v>192</v>
      </c>
      <c r="B97" s="15" t="s">
        <v>193</v>
      </c>
      <c r="C97" s="16" t="s">
        <v>7</v>
      </c>
      <c r="D97" s="12" t="str">
        <f>IFERROR(__xludf.DUMMYFUNCTION("IFS(
  REGEXMATCH(A97&amp;B97, ""(?i)openai|gpt|gemini|anthropic|claude|mistral|cohere|rag|vector|llm|chatbot|ai-powered""), ""AI &amp; LLM"",
  REGEXMATCH(A97&amp;B97, ""(?i)twitter|instagram|facebook|linkedin|youtube|tiktok|threads|bluesky|pinterest|social video|r"&amp;"eels?|shorts?""), ""Social Media"",
  REGEXMATCH(A97&amp;B97, ""(?i)hubspot|pipedrive|stripe|shopify|woocommerce|sales|crm|invoice|order|leads?|recruitment|bamboohr|erpnext""), ""CRM &amp; Sales"",
  REGEXMATCH(A97&amp;B97, ""(?i)gmail|outlook|calendar|slack|discord|"&amp;"telegram|whatsapp|notion|trello|drive|sheets?|meeting|scheduler|appointment|mattermost""), ""Productivity &amp; Communication"",
  REGEXMATCH(A97&amp;B97, ""(?i)github|api|webhook|http|mysql|supabase|mongodb|redis|rss|pr|code review|incident|pagerduty|jira""), """&amp;"Development &amp; Utilities"",
  TRUE, ""Others""
)"),"AI &amp; LLM")</f>
        <v>AI &amp; LLM</v>
      </c>
    </row>
    <row r="98" ht="15.75" customHeight="1">
      <c r="A98" s="14" t="s">
        <v>194</v>
      </c>
      <c r="B98" s="15" t="s">
        <v>195</v>
      </c>
      <c r="C98" s="16" t="s">
        <v>7</v>
      </c>
      <c r="D98" s="12" t="str">
        <f>IFERROR(__xludf.DUMMYFUNCTION("IFS(
  REGEXMATCH(A98&amp;B98, ""(?i)openai|gpt|gemini|anthropic|claude|mistral|cohere|rag|vector|llm|chatbot|ai-powered""), ""AI &amp; LLM"",
  REGEXMATCH(A98&amp;B98, ""(?i)twitter|instagram|facebook|linkedin|youtube|tiktok|threads|bluesky|pinterest|social video|r"&amp;"eels?|shorts?""), ""Social Media"",
  REGEXMATCH(A98&amp;B98, ""(?i)hubspot|pipedrive|stripe|shopify|woocommerce|sales|crm|invoice|order|leads?|recruitment|bamboohr|erpnext""), ""CRM &amp; Sales"",
  REGEXMATCH(A98&amp;B98, ""(?i)gmail|outlook|calendar|slack|discord|"&amp;"telegram|whatsapp|notion|trello|drive|sheets?|meeting|scheduler|appointment|mattermost""), ""Productivity &amp; Communication"",
  REGEXMATCH(A98&amp;B98, ""(?i)github|api|webhook|http|mysql|supabase|mongodb|redis|rss|pr|code review|incident|pagerduty|jira""), """&amp;"Development &amp; Utilities"",
  TRUE, ""Others""
)"),"AI &amp; LLM")</f>
        <v>AI &amp; LLM</v>
      </c>
    </row>
    <row r="99" ht="15.75" customHeight="1">
      <c r="A99" s="14" t="s">
        <v>196</v>
      </c>
      <c r="B99" s="15" t="s">
        <v>197</v>
      </c>
      <c r="C99" s="16" t="s">
        <v>7</v>
      </c>
      <c r="D99" s="12" t="str">
        <f>IFERROR(__xludf.DUMMYFUNCTION("IFS(
  REGEXMATCH(A99&amp;B99, ""(?i)openai|gpt|gemini|anthropic|claude|mistral|cohere|rag|vector|llm|chatbot|ai-powered""), ""AI &amp; LLM"",
  REGEXMATCH(A99&amp;B99, ""(?i)twitter|instagram|facebook|linkedin|youtube|tiktok|threads|bluesky|pinterest|social video|r"&amp;"eels?|shorts?""), ""Social Media"",
  REGEXMATCH(A99&amp;B99, ""(?i)hubspot|pipedrive|stripe|shopify|woocommerce|sales|crm|invoice|order|leads?|recruitment|bamboohr|erpnext""), ""CRM &amp; Sales"",
  REGEXMATCH(A99&amp;B99, ""(?i)gmail|outlook|calendar|slack|discord|"&amp;"telegram|whatsapp|notion|trello|drive|sheets?|meeting|scheduler|appointment|mattermost""), ""Productivity &amp; Communication"",
  REGEXMATCH(A99&amp;B99, ""(?i)github|api|webhook|http|mysql|supabase|mongodb|redis|rss|pr|code review|incident|pagerduty|jira""), """&amp;"Development &amp; Utilities"",
  TRUE, ""Others""
)"),"AI &amp; LLM")</f>
        <v>AI &amp; LLM</v>
      </c>
    </row>
    <row r="100" ht="15.75" customHeight="1">
      <c r="A100" s="14" t="s">
        <v>198</v>
      </c>
      <c r="B100" s="15" t="s">
        <v>199</v>
      </c>
      <c r="C100" s="16" t="s">
        <v>7</v>
      </c>
      <c r="D100" s="12" t="str">
        <f>IFERROR(__xludf.DUMMYFUNCTION("IFS(
  REGEXMATCH(A100&amp;B100, ""(?i)openai|gpt|gemini|anthropic|claude|mistral|cohere|rag|vector|llm|chatbot|ai-powered""), ""AI &amp; LLM"",
  REGEXMATCH(A100&amp;B100, ""(?i)twitter|instagram|facebook|linkedin|youtube|tiktok|threads|bluesky|pinterest|social vid"&amp;"eo|reels?|shorts?""), ""Social Media"",
  REGEXMATCH(A100&amp;B100, ""(?i)hubspot|pipedrive|stripe|shopify|woocommerce|sales|crm|invoice|order|leads?|recruitment|bamboohr|erpnext""), ""CRM &amp; Sales"",
  REGEXMATCH(A100&amp;B100, ""(?i)gmail|outlook|calendar|slack|"&amp;"discord|telegram|whatsapp|notion|trello|drive|sheets?|meeting|scheduler|appointment|mattermost""), ""Productivity &amp; Communication"",
  REGEXMATCH(A100&amp;B100, ""(?i)github|api|webhook|http|mysql|supabase|mongodb|redis|rss|pr|code review|incident|pagerduty|j"&amp;"ira""), ""Development &amp; Utilities"",
  TRUE, ""Others""
)"),"AI &amp; LLM")</f>
        <v>AI &amp; LLM</v>
      </c>
    </row>
    <row r="101" ht="15.75" customHeight="1">
      <c r="A101" s="14" t="s">
        <v>200</v>
      </c>
      <c r="B101" s="15" t="s">
        <v>201</v>
      </c>
      <c r="C101" s="16" t="s">
        <v>7</v>
      </c>
      <c r="D101" s="12" t="str">
        <f>IFERROR(__xludf.DUMMYFUNCTION("IFS(
  REGEXMATCH(A101&amp;B101, ""(?i)openai|gpt|gemini|anthropic|claude|mistral|cohere|rag|vector|llm|chatbot|ai-powered""), ""AI &amp; LLM"",
  REGEXMATCH(A101&amp;B101, ""(?i)twitter|instagram|facebook|linkedin|youtube|tiktok|threads|bluesky|pinterest|social vid"&amp;"eo|reels?|shorts?""), ""Social Media"",
  REGEXMATCH(A101&amp;B101, ""(?i)hubspot|pipedrive|stripe|shopify|woocommerce|sales|crm|invoice|order|leads?|recruitment|bamboohr|erpnext""), ""CRM &amp; Sales"",
  REGEXMATCH(A101&amp;B101, ""(?i)gmail|outlook|calendar|slack|"&amp;"discord|telegram|whatsapp|notion|trello|drive|sheets?|meeting|scheduler|appointment|mattermost""), ""Productivity &amp; Communication"",
  REGEXMATCH(A101&amp;B101, ""(?i)github|api|webhook|http|mysql|supabase|mongodb|redis|rss|pr|code review|incident|pagerduty|j"&amp;"ira""), ""Development &amp; Utilities"",
  TRUE, ""Others""
)"),"AI &amp; LLM")</f>
        <v>AI &amp; LLM</v>
      </c>
    </row>
    <row r="102" ht="15.75" customHeight="1">
      <c r="A102" s="14" t="s">
        <v>202</v>
      </c>
      <c r="B102" s="15" t="s">
        <v>203</v>
      </c>
      <c r="C102" s="16" t="s">
        <v>7</v>
      </c>
      <c r="D102" s="12" t="str">
        <f>IFERROR(__xludf.DUMMYFUNCTION("IFS(
  REGEXMATCH(A102&amp;B102, ""(?i)openai|gpt|gemini|anthropic|claude|mistral|cohere|rag|vector|llm|chatbot|ai-powered""), ""AI &amp; LLM"",
  REGEXMATCH(A102&amp;B102, ""(?i)twitter|instagram|facebook|linkedin|youtube|tiktok|threads|bluesky|pinterest|social vid"&amp;"eo|reels?|shorts?""), ""Social Media"",
  REGEXMATCH(A102&amp;B102, ""(?i)hubspot|pipedrive|stripe|shopify|woocommerce|sales|crm|invoice|order|leads?|recruitment|bamboohr|erpnext""), ""CRM &amp; Sales"",
  REGEXMATCH(A102&amp;B102, ""(?i)gmail|outlook|calendar|slack|"&amp;"discord|telegram|whatsapp|notion|trello|drive|sheets?|meeting|scheduler|appointment|mattermost""), ""Productivity &amp; Communication"",
  REGEXMATCH(A102&amp;B102, ""(?i)github|api|webhook|http|mysql|supabase|mongodb|redis|rss|pr|code review|incident|pagerduty|j"&amp;"ira""), ""Development &amp; Utilities"",
  TRUE, ""Others""
)"),"AI &amp; LLM")</f>
        <v>AI &amp; LLM</v>
      </c>
    </row>
    <row r="103" ht="15.75" customHeight="1">
      <c r="A103" s="14" t="s">
        <v>204</v>
      </c>
      <c r="B103" s="15" t="s">
        <v>205</v>
      </c>
      <c r="C103" s="16" t="s">
        <v>7</v>
      </c>
      <c r="D103" s="12" t="str">
        <f>IFERROR(__xludf.DUMMYFUNCTION("IFS(
  REGEXMATCH(A103&amp;B103, ""(?i)openai|gpt|gemini|anthropic|claude|mistral|cohere|rag|vector|llm|chatbot|ai-powered""), ""AI &amp; LLM"",
  REGEXMATCH(A103&amp;B103, ""(?i)twitter|instagram|facebook|linkedin|youtube|tiktok|threads|bluesky|pinterest|social vid"&amp;"eo|reels?|shorts?""), ""Social Media"",
  REGEXMATCH(A103&amp;B103, ""(?i)hubspot|pipedrive|stripe|shopify|woocommerce|sales|crm|invoice|order|leads?|recruitment|bamboohr|erpnext""), ""CRM &amp; Sales"",
  REGEXMATCH(A103&amp;B103, ""(?i)gmail|outlook|calendar|slack|"&amp;"discord|telegram|whatsapp|notion|trello|drive|sheets?|meeting|scheduler|appointment|mattermost""), ""Productivity &amp; Communication"",
  REGEXMATCH(A103&amp;B103, ""(?i)github|api|webhook|http|mysql|supabase|mongodb|redis|rss|pr|code review|incident|pagerduty|j"&amp;"ira""), ""Development &amp; Utilities"",
  TRUE, ""Others""
)"),"AI &amp; LLM")</f>
        <v>AI &amp; LLM</v>
      </c>
    </row>
    <row r="104" ht="15.75" customHeight="1">
      <c r="A104" s="14" t="s">
        <v>206</v>
      </c>
      <c r="B104" s="15" t="s">
        <v>207</v>
      </c>
      <c r="C104" s="16" t="s">
        <v>7</v>
      </c>
      <c r="D104" s="12" t="str">
        <f>IFERROR(__xludf.DUMMYFUNCTION("IFS(
  REGEXMATCH(A104&amp;B104, ""(?i)openai|gpt|gemini|anthropic|claude|mistral|cohere|rag|vector|llm|chatbot|ai-powered""), ""AI &amp; LLM"",
  REGEXMATCH(A104&amp;B104, ""(?i)twitter|instagram|facebook|linkedin|youtube|tiktok|threads|bluesky|pinterest|social vid"&amp;"eo|reels?|shorts?""), ""Social Media"",
  REGEXMATCH(A104&amp;B104, ""(?i)hubspot|pipedrive|stripe|shopify|woocommerce|sales|crm|invoice|order|leads?|recruitment|bamboohr|erpnext""), ""CRM &amp; Sales"",
  REGEXMATCH(A104&amp;B104, ""(?i)gmail|outlook|calendar|slack|"&amp;"discord|telegram|whatsapp|notion|trello|drive|sheets?|meeting|scheduler|appointment|mattermost""), ""Productivity &amp; Communication"",
  REGEXMATCH(A104&amp;B104, ""(?i)github|api|webhook|http|mysql|supabase|mongodb|redis|rss|pr|code review|incident|pagerduty|j"&amp;"ira""), ""Development &amp; Utilities"",
  TRUE, ""Others""
)"),"CRM &amp; Sales")</f>
        <v>CRM &amp; Sales</v>
      </c>
    </row>
    <row r="105" ht="15.75" customHeight="1">
      <c r="A105" s="14" t="s">
        <v>208</v>
      </c>
      <c r="B105" s="15" t="s">
        <v>209</v>
      </c>
      <c r="C105" s="16" t="s">
        <v>7</v>
      </c>
      <c r="D105" s="12" t="str">
        <f>IFERROR(__xludf.DUMMYFUNCTION("IFS(
  REGEXMATCH(A105&amp;B105, ""(?i)openai|gpt|gemini|anthropic|claude|mistral|cohere|rag|vector|llm|chatbot|ai-powered""), ""AI &amp; LLM"",
  REGEXMATCH(A105&amp;B105, ""(?i)twitter|instagram|facebook|linkedin|youtube|tiktok|threads|bluesky|pinterest|social vid"&amp;"eo|reels?|shorts?""), ""Social Media"",
  REGEXMATCH(A105&amp;B105, ""(?i)hubspot|pipedrive|stripe|shopify|woocommerce|sales|crm|invoice|order|leads?|recruitment|bamboohr|erpnext""), ""CRM &amp; Sales"",
  REGEXMATCH(A105&amp;B105, ""(?i)gmail|outlook|calendar|slack|"&amp;"discord|telegram|whatsapp|notion|trello|drive|sheets?|meeting|scheduler|appointment|mattermost""), ""Productivity &amp; Communication"",
  REGEXMATCH(A105&amp;B105, ""(?i)github|api|webhook|http|mysql|supabase|mongodb|redis|rss|pr|code review|incident|pagerduty|j"&amp;"ira""), ""Development &amp; Utilities"",
  TRUE, ""Others""
)"),"AI &amp; LLM")</f>
        <v>AI &amp; LLM</v>
      </c>
    </row>
    <row r="106" ht="15.75" customHeight="1">
      <c r="A106" s="14" t="s">
        <v>210</v>
      </c>
      <c r="B106" s="15" t="s">
        <v>211</v>
      </c>
      <c r="C106" s="16" t="s">
        <v>7</v>
      </c>
      <c r="D106" s="12" t="str">
        <f>IFERROR(__xludf.DUMMYFUNCTION("IFS(
  REGEXMATCH(A106&amp;B106, ""(?i)openai|gpt|gemini|anthropic|claude|mistral|cohere|rag|vector|llm|chatbot|ai-powered""), ""AI &amp; LLM"",
  REGEXMATCH(A106&amp;B106, ""(?i)twitter|instagram|facebook|linkedin|youtube|tiktok|threads|bluesky|pinterest|social vid"&amp;"eo|reels?|shorts?""), ""Social Media"",
  REGEXMATCH(A106&amp;B106, ""(?i)hubspot|pipedrive|stripe|shopify|woocommerce|sales|crm|invoice|order|leads?|recruitment|bamboohr|erpnext""), ""CRM &amp; Sales"",
  REGEXMATCH(A106&amp;B106, ""(?i)gmail|outlook|calendar|slack|"&amp;"discord|telegram|whatsapp|notion|trello|drive|sheets?|meeting|scheduler|appointment|mattermost""), ""Productivity &amp; Communication"",
  REGEXMATCH(A106&amp;B106, ""(?i)github|api|webhook|http|mysql|supabase|mongodb|redis|rss|pr|code review|incident|pagerduty|j"&amp;"ira""), ""Development &amp; Utilities"",
  TRUE, ""Others""
)"),"AI &amp; LLM")</f>
        <v>AI &amp; LLM</v>
      </c>
    </row>
    <row r="107" ht="15.75" customHeight="1">
      <c r="A107" s="14" t="s">
        <v>212</v>
      </c>
      <c r="B107" s="15" t="s">
        <v>213</v>
      </c>
      <c r="C107" s="16" t="s">
        <v>7</v>
      </c>
      <c r="D107" s="12" t="str">
        <f>IFERROR(__xludf.DUMMYFUNCTION("IFS(
  REGEXMATCH(A107&amp;B107, ""(?i)openai|gpt|gemini|anthropic|claude|mistral|cohere|rag|vector|llm|chatbot|ai-powered""), ""AI &amp; LLM"",
  REGEXMATCH(A107&amp;B107, ""(?i)twitter|instagram|facebook|linkedin|youtube|tiktok|threads|bluesky|pinterest|social vid"&amp;"eo|reels?|shorts?""), ""Social Media"",
  REGEXMATCH(A107&amp;B107, ""(?i)hubspot|pipedrive|stripe|shopify|woocommerce|sales|crm|invoice|order|leads?|recruitment|bamboohr|erpnext""), ""CRM &amp; Sales"",
  REGEXMATCH(A107&amp;B107, ""(?i)gmail|outlook|calendar|slack|"&amp;"discord|telegram|whatsapp|notion|trello|drive|sheets?|meeting|scheduler|appointment|mattermost""), ""Productivity &amp; Communication"",
  REGEXMATCH(A107&amp;B107, ""(?i)github|api|webhook|http|mysql|supabase|mongodb|redis|rss|pr|code review|incident|pagerduty|j"&amp;"ira""), ""Development &amp; Utilities"",
  TRUE, ""Others""
)"),"AI &amp; LLM")</f>
        <v>AI &amp; LLM</v>
      </c>
    </row>
    <row r="108" ht="15.75" customHeight="1">
      <c r="A108" s="14" t="s">
        <v>214</v>
      </c>
      <c r="B108" s="15" t="s">
        <v>215</v>
      </c>
      <c r="C108" s="16" t="s">
        <v>7</v>
      </c>
      <c r="D108" s="12" t="str">
        <f>IFERROR(__xludf.DUMMYFUNCTION("IFS(
  REGEXMATCH(A108&amp;B108, ""(?i)openai|gpt|gemini|anthropic|claude|mistral|cohere|rag|vector|llm|chatbot|ai-powered""), ""AI &amp; LLM"",
  REGEXMATCH(A108&amp;B108, ""(?i)twitter|instagram|facebook|linkedin|youtube|tiktok|threads|bluesky|pinterest|social vid"&amp;"eo|reels?|shorts?""), ""Social Media"",
  REGEXMATCH(A108&amp;B108, ""(?i)hubspot|pipedrive|stripe|shopify|woocommerce|sales|crm|invoice|order|leads?|recruitment|bamboohr|erpnext""), ""CRM &amp; Sales"",
  REGEXMATCH(A108&amp;B108, ""(?i)gmail|outlook|calendar|slack|"&amp;"discord|telegram|whatsapp|notion|trello|drive|sheets?|meeting|scheduler|appointment|mattermost""), ""Productivity &amp; Communication"",
  REGEXMATCH(A108&amp;B108, ""(?i)github|api|webhook|http|mysql|supabase|mongodb|redis|rss|pr|code review|incident|pagerduty|j"&amp;"ira""), ""Development &amp; Utilities"",
  TRUE, ""Others""
)"),"AI &amp; LLM")</f>
        <v>AI &amp; LLM</v>
      </c>
    </row>
    <row r="109" ht="15.75" customHeight="1">
      <c r="A109" s="14" t="s">
        <v>216</v>
      </c>
      <c r="B109" s="15" t="s">
        <v>217</v>
      </c>
      <c r="C109" s="16" t="s">
        <v>7</v>
      </c>
      <c r="D109" s="12" t="str">
        <f>IFERROR(__xludf.DUMMYFUNCTION("IFS(
  REGEXMATCH(A109&amp;B109, ""(?i)openai|gpt|gemini|anthropic|claude|mistral|cohere|rag|vector|llm|chatbot|ai-powered""), ""AI &amp; LLM"",
  REGEXMATCH(A109&amp;B109, ""(?i)twitter|instagram|facebook|linkedin|youtube|tiktok|threads|bluesky|pinterest|social vid"&amp;"eo|reels?|shorts?""), ""Social Media"",
  REGEXMATCH(A109&amp;B109, ""(?i)hubspot|pipedrive|stripe|shopify|woocommerce|sales|crm|invoice|order|leads?|recruitment|bamboohr|erpnext""), ""CRM &amp; Sales"",
  REGEXMATCH(A109&amp;B109, ""(?i)gmail|outlook|calendar|slack|"&amp;"discord|telegram|whatsapp|notion|trello|drive|sheets?|meeting|scheduler|appointment|mattermost""), ""Productivity &amp; Communication"",
  REGEXMATCH(A109&amp;B109, ""(?i)github|api|webhook|http|mysql|supabase|mongodb|redis|rss|pr|code review|incident|pagerduty|j"&amp;"ira""), ""Development &amp; Utilities"",
  TRUE, ""Others""
)"),"AI &amp; LLM")</f>
        <v>AI &amp; LLM</v>
      </c>
    </row>
    <row r="110" ht="15.75" customHeight="1">
      <c r="A110" s="14" t="s">
        <v>218</v>
      </c>
      <c r="B110" s="15" t="s">
        <v>219</v>
      </c>
      <c r="C110" s="16" t="s">
        <v>7</v>
      </c>
      <c r="D110" s="12" t="str">
        <f>IFERROR(__xludf.DUMMYFUNCTION("IFS(
  REGEXMATCH(A110&amp;B110, ""(?i)openai|gpt|gemini|anthropic|claude|mistral|cohere|rag|vector|llm|chatbot|ai-powered""), ""AI &amp; LLM"",
  REGEXMATCH(A110&amp;B110, ""(?i)twitter|instagram|facebook|linkedin|youtube|tiktok|threads|bluesky|pinterest|social vid"&amp;"eo|reels?|shorts?""), ""Social Media"",
  REGEXMATCH(A110&amp;B110, ""(?i)hubspot|pipedrive|stripe|shopify|woocommerce|sales|crm|invoice|order|leads?|recruitment|bamboohr|erpnext""), ""CRM &amp; Sales"",
  REGEXMATCH(A110&amp;B110, ""(?i)gmail|outlook|calendar|slack|"&amp;"discord|telegram|whatsapp|notion|trello|drive|sheets?|meeting|scheduler|appointment|mattermost""), ""Productivity &amp; Communication"",
  REGEXMATCH(A110&amp;B110, ""(?i)github|api|webhook|http|mysql|supabase|mongodb|redis|rss|pr|code review|incident|pagerduty|j"&amp;"ira""), ""Development &amp; Utilities"",
  TRUE, ""Others""
)"),"AI &amp; LLM")</f>
        <v>AI &amp; LLM</v>
      </c>
    </row>
    <row r="111" ht="15.75" customHeight="1">
      <c r="A111" s="14" t="s">
        <v>220</v>
      </c>
      <c r="B111" s="15" t="s">
        <v>221</v>
      </c>
      <c r="C111" s="16" t="s">
        <v>7</v>
      </c>
      <c r="D111" s="12" t="str">
        <f>IFERROR(__xludf.DUMMYFUNCTION("IFS(
  REGEXMATCH(A111&amp;B111, ""(?i)openai|gpt|gemini|anthropic|claude|mistral|cohere|rag|vector|llm|chatbot|ai-powered""), ""AI &amp; LLM"",
  REGEXMATCH(A111&amp;B111, ""(?i)twitter|instagram|facebook|linkedin|youtube|tiktok|threads|bluesky|pinterest|social vid"&amp;"eo|reels?|shorts?""), ""Social Media"",
  REGEXMATCH(A111&amp;B111, ""(?i)hubspot|pipedrive|stripe|shopify|woocommerce|sales|crm|invoice|order|leads?|recruitment|bamboohr|erpnext""), ""CRM &amp; Sales"",
  REGEXMATCH(A111&amp;B111, ""(?i)gmail|outlook|calendar|slack|"&amp;"discord|telegram|whatsapp|notion|trello|drive|sheets?|meeting|scheduler|appointment|mattermost""), ""Productivity &amp; Communication"",
  REGEXMATCH(A111&amp;B111, ""(?i)github|api|webhook|http|mysql|supabase|mongodb|redis|rss|pr|code review|incident|pagerduty|j"&amp;"ira""), ""Development &amp; Utilities"",
  TRUE, ""Others""
)"),"AI &amp; LLM")</f>
        <v>AI &amp; LLM</v>
      </c>
    </row>
    <row r="112" ht="15.75" customHeight="1">
      <c r="A112" s="14" t="s">
        <v>222</v>
      </c>
      <c r="B112" s="15" t="s">
        <v>223</v>
      </c>
      <c r="C112" s="16" t="s">
        <v>7</v>
      </c>
      <c r="D112" s="12" t="str">
        <f>IFERROR(__xludf.DUMMYFUNCTION("IFS(
  REGEXMATCH(A112&amp;B112, ""(?i)openai|gpt|gemini|anthropic|claude|mistral|cohere|rag|vector|llm|chatbot|ai-powered""), ""AI &amp; LLM"",
  REGEXMATCH(A112&amp;B112, ""(?i)twitter|instagram|facebook|linkedin|youtube|tiktok|threads|bluesky|pinterest|social vid"&amp;"eo|reels?|shorts?""), ""Social Media"",
  REGEXMATCH(A112&amp;B112, ""(?i)hubspot|pipedrive|stripe|shopify|woocommerce|sales|crm|invoice|order|leads?|recruitment|bamboohr|erpnext""), ""CRM &amp; Sales"",
  REGEXMATCH(A112&amp;B112, ""(?i)gmail|outlook|calendar|slack|"&amp;"discord|telegram|whatsapp|notion|trello|drive|sheets?|meeting|scheduler|appointment|mattermost""), ""Productivity &amp; Communication"",
  REGEXMATCH(A112&amp;B112, ""(?i)github|api|webhook|http|mysql|supabase|mongodb|redis|rss|pr|code review|incident|pagerduty|j"&amp;"ira""), ""Development &amp; Utilities"",
  TRUE, ""Others""
)"),"AI &amp; LLM")</f>
        <v>AI &amp; LLM</v>
      </c>
    </row>
    <row r="113" ht="15.75" customHeight="1">
      <c r="A113" s="14" t="s">
        <v>224</v>
      </c>
      <c r="B113" s="15" t="s">
        <v>225</v>
      </c>
      <c r="C113" s="16" t="s">
        <v>7</v>
      </c>
      <c r="D113" s="12" t="str">
        <f>IFERROR(__xludf.DUMMYFUNCTION("IFS(
  REGEXMATCH(A113&amp;B113, ""(?i)openai|gpt|gemini|anthropic|claude|mistral|cohere|rag|vector|llm|chatbot|ai-powered""), ""AI &amp; LLM"",
  REGEXMATCH(A113&amp;B113, ""(?i)twitter|instagram|facebook|linkedin|youtube|tiktok|threads|bluesky|pinterest|social vid"&amp;"eo|reels?|shorts?""), ""Social Media"",
  REGEXMATCH(A113&amp;B113, ""(?i)hubspot|pipedrive|stripe|shopify|woocommerce|sales|crm|invoice|order|leads?|recruitment|bamboohr|erpnext""), ""CRM &amp; Sales"",
  REGEXMATCH(A113&amp;B113, ""(?i)gmail|outlook|calendar|slack|"&amp;"discord|telegram|whatsapp|notion|trello|drive|sheets?|meeting|scheduler|appointment|mattermost""), ""Productivity &amp; Communication"",
  REGEXMATCH(A113&amp;B113, ""(?i)github|api|webhook|http|mysql|supabase|mongodb|redis|rss|pr|code review|incident|pagerduty|j"&amp;"ira""), ""Development &amp; Utilities"",
  TRUE, ""Others""
)"),"Productivity &amp; Communication")</f>
        <v>Productivity &amp; Communication</v>
      </c>
    </row>
    <row r="114" ht="15.75" customHeight="1">
      <c r="A114" s="14" t="s">
        <v>226</v>
      </c>
      <c r="B114" s="15" t="s">
        <v>227</v>
      </c>
      <c r="C114" s="16" t="s">
        <v>7</v>
      </c>
      <c r="D114" s="12" t="str">
        <f>IFERROR(__xludf.DUMMYFUNCTION("IFS(
  REGEXMATCH(A114&amp;B114, ""(?i)openai|gpt|gemini|anthropic|claude|mistral|cohere|rag|vector|llm|chatbot|ai-powered""), ""AI &amp; LLM"",
  REGEXMATCH(A114&amp;B114, ""(?i)twitter|instagram|facebook|linkedin|youtube|tiktok|threads|bluesky|pinterest|social vid"&amp;"eo|reels?|shorts?""), ""Social Media"",
  REGEXMATCH(A114&amp;B114, ""(?i)hubspot|pipedrive|stripe|shopify|woocommerce|sales|crm|invoice|order|leads?|recruitment|bamboohr|erpnext""), ""CRM &amp; Sales"",
  REGEXMATCH(A114&amp;B114, ""(?i)gmail|outlook|calendar|slack|"&amp;"discord|telegram|whatsapp|notion|trello|drive|sheets?|meeting|scheduler|appointment|mattermost""), ""Productivity &amp; Communication"",
  REGEXMATCH(A114&amp;B114, ""(?i)github|api|webhook|http|mysql|supabase|mongodb|redis|rss|pr|code review|incident|pagerduty|j"&amp;"ira""), ""Development &amp; Utilities"",
  TRUE, ""Others""
)"),"AI &amp; LLM")</f>
        <v>AI &amp; LLM</v>
      </c>
    </row>
    <row r="115" ht="15.75" customHeight="1">
      <c r="A115" s="14" t="s">
        <v>228</v>
      </c>
      <c r="B115" s="15" t="s">
        <v>229</v>
      </c>
      <c r="C115" s="16" t="s">
        <v>7</v>
      </c>
      <c r="D115" s="12" t="str">
        <f>IFERROR(__xludf.DUMMYFUNCTION("IFS(
  REGEXMATCH(A115&amp;B115, ""(?i)openai|gpt|gemini|anthropic|claude|mistral|cohere|rag|vector|llm|chatbot|ai-powered""), ""AI &amp; LLM"",
  REGEXMATCH(A115&amp;B115, ""(?i)twitter|instagram|facebook|linkedin|youtube|tiktok|threads|bluesky|pinterest|social vid"&amp;"eo|reels?|shorts?""), ""Social Media"",
  REGEXMATCH(A115&amp;B115, ""(?i)hubspot|pipedrive|stripe|shopify|woocommerce|sales|crm|invoice|order|leads?|recruitment|bamboohr|erpnext""), ""CRM &amp; Sales"",
  REGEXMATCH(A115&amp;B115, ""(?i)gmail|outlook|calendar|slack|"&amp;"discord|telegram|whatsapp|notion|trello|drive|sheets?|meeting|scheduler|appointment|mattermost""), ""Productivity &amp; Communication"",
  REGEXMATCH(A115&amp;B115, ""(?i)github|api|webhook|http|mysql|supabase|mongodb|redis|rss|pr|code review|incident|pagerduty|j"&amp;"ira""), ""Development &amp; Utilities"",
  TRUE, ""Others""
)"),"AI &amp; LLM")</f>
        <v>AI &amp; LLM</v>
      </c>
    </row>
    <row r="116" ht="15.75" customHeight="1">
      <c r="A116" s="14" t="s">
        <v>230</v>
      </c>
      <c r="B116" s="15" t="s">
        <v>231</v>
      </c>
      <c r="C116" s="16" t="s">
        <v>7</v>
      </c>
      <c r="D116" s="12" t="str">
        <f>IFERROR(__xludf.DUMMYFUNCTION("IFS(
  REGEXMATCH(A116&amp;B116, ""(?i)openai|gpt|gemini|anthropic|claude|mistral|cohere|rag|vector|llm|chatbot|ai-powered""), ""AI &amp; LLM"",
  REGEXMATCH(A116&amp;B116, ""(?i)twitter|instagram|facebook|linkedin|youtube|tiktok|threads|bluesky|pinterest|social vid"&amp;"eo|reels?|shorts?""), ""Social Media"",
  REGEXMATCH(A116&amp;B116, ""(?i)hubspot|pipedrive|stripe|shopify|woocommerce|sales|crm|invoice|order|leads?|recruitment|bamboohr|erpnext""), ""CRM &amp; Sales"",
  REGEXMATCH(A116&amp;B116, ""(?i)gmail|outlook|calendar|slack|"&amp;"discord|telegram|whatsapp|notion|trello|drive|sheets?|meeting|scheduler|appointment|mattermost""), ""Productivity &amp; Communication"",
  REGEXMATCH(A116&amp;B116, ""(?i)github|api|webhook|http|mysql|supabase|mongodb|redis|rss|pr|code review|incident|pagerduty|j"&amp;"ira""), ""Development &amp; Utilities"",
  TRUE, ""Others""
)"),"AI &amp; LLM")</f>
        <v>AI &amp; LLM</v>
      </c>
    </row>
    <row r="117" ht="15.75" customHeight="1">
      <c r="A117" s="14" t="s">
        <v>232</v>
      </c>
      <c r="B117" s="15" t="s">
        <v>233</v>
      </c>
      <c r="C117" s="16" t="s">
        <v>7</v>
      </c>
      <c r="D117" s="12" t="str">
        <f>IFERROR(__xludf.DUMMYFUNCTION("IFS(
  REGEXMATCH(A117&amp;B117, ""(?i)openai|gpt|gemini|anthropic|claude|mistral|cohere|rag|vector|llm|chatbot|ai-powered""), ""AI &amp; LLM"",
  REGEXMATCH(A117&amp;B117, ""(?i)twitter|instagram|facebook|linkedin|youtube|tiktok|threads|bluesky|pinterest|social vid"&amp;"eo|reels?|shorts?""), ""Social Media"",
  REGEXMATCH(A117&amp;B117, ""(?i)hubspot|pipedrive|stripe|shopify|woocommerce|sales|crm|invoice|order|leads?|recruitment|bamboohr|erpnext""), ""CRM &amp; Sales"",
  REGEXMATCH(A117&amp;B117, ""(?i)gmail|outlook|calendar|slack|"&amp;"discord|telegram|whatsapp|notion|trello|drive|sheets?|meeting|scheduler|appointment|mattermost""), ""Productivity &amp; Communication"",
  REGEXMATCH(A117&amp;B117, ""(?i)github|api|webhook|http|mysql|supabase|mongodb|redis|rss|pr|code review|incident|pagerduty|j"&amp;"ira""), ""Development &amp; Utilities"",
  TRUE, ""Others""
)"),"Productivity &amp; Communication")</f>
        <v>Productivity &amp; Communication</v>
      </c>
    </row>
    <row r="118" ht="15.75" customHeight="1">
      <c r="A118" s="14" t="s">
        <v>234</v>
      </c>
      <c r="B118" s="15" t="s">
        <v>235</v>
      </c>
      <c r="C118" s="16" t="s">
        <v>7</v>
      </c>
      <c r="D118" s="12" t="str">
        <f>IFERROR(__xludf.DUMMYFUNCTION("IFS(
  REGEXMATCH(A118&amp;B118, ""(?i)openai|gpt|gemini|anthropic|claude|mistral|cohere|rag|vector|llm|chatbot|ai-powered""), ""AI &amp; LLM"",
  REGEXMATCH(A118&amp;B118, ""(?i)twitter|instagram|facebook|linkedin|youtube|tiktok|threads|bluesky|pinterest|social vid"&amp;"eo|reels?|shorts?""), ""Social Media"",
  REGEXMATCH(A118&amp;B118, ""(?i)hubspot|pipedrive|stripe|shopify|woocommerce|sales|crm|invoice|order|leads?|recruitment|bamboohr|erpnext""), ""CRM &amp; Sales"",
  REGEXMATCH(A118&amp;B118, ""(?i)gmail|outlook|calendar|slack|"&amp;"discord|telegram|whatsapp|notion|trello|drive|sheets?|meeting|scheduler|appointment|mattermost""), ""Productivity &amp; Communication"",
  REGEXMATCH(A118&amp;B118, ""(?i)github|api|webhook|http|mysql|supabase|mongodb|redis|rss|pr|code review|incident|pagerduty|j"&amp;"ira""), ""Development &amp; Utilities"",
  TRUE, ""Others""
)"),"Productivity &amp; Communication")</f>
        <v>Productivity &amp; Communication</v>
      </c>
    </row>
    <row r="119" ht="15.75" customHeight="1">
      <c r="A119" s="14" t="s">
        <v>236</v>
      </c>
      <c r="B119" s="15" t="s">
        <v>237</v>
      </c>
      <c r="C119" s="16" t="s">
        <v>7</v>
      </c>
      <c r="D119" s="12" t="str">
        <f>IFERROR(__xludf.DUMMYFUNCTION("IFS(
  REGEXMATCH(A119&amp;B119, ""(?i)openai|gpt|gemini|anthropic|claude|mistral|cohere|rag|vector|llm|chatbot|ai-powered""), ""AI &amp; LLM"",
  REGEXMATCH(A119&amp;B119, ""(?i)twitter|instagram|facebook|linkedin|youtube|tiktok|threads|bluesky|pinterest|social vid"&amp;"eo|reels?|shorts?""), ""Social Media"",
  REGEXMATCH(A119&amp;B119, ""(?i)hubspot|pipedrive|stripe|shopify|woocommerce|sales|crm|invoice|order|leads?|recruitment|bamboohr|erpnext""), ""CRM &amp; Sales"",
  REGEXMATCH(A119&amp;B119, ""(?i)gmail|outlook|calendar|slack|"&amp;"discord|telegram|whatsapp|notion|trello|drive|sheets?|meeting|scheduler|appointment|mattermost""), ""Productivity &amp; Communication"",
  REGEXMATCH(A119&amp;B119, ""(?i)github|api|webhook|http|mysql|supabase|mongodb|redis|rss|pr|code review|incident|pagerduty|j"&amp;"ira""), ""Development &amp; Utilities"",
  TRUE, ""Others""
)"),"AI &amp; LLM")</f>
        <v>AI &amp; LLM</v>
      </c>
    </row>
    <row r="120" ht="15.75" customHeight="1">
      <c r="A120" s="14" t="s">
        <v>238</v>
      </c>
      <c r="B120" s="15" t="s">
        <v>239</v>
      </c>
      <c r="C120" s="16" t="s">
        <v>7</v>
      </c>
      <c r="D120" s="12" t="str">
        <f>IFERROR(__xludf.DUMMYFUNCTION("IFS(
  REGEXMATCH(A120&amp;B120, ""(?i)openai|gpt|gemini|anthropic|claude|mistral|cohere|rag|vector|llm|chatbot|ai-powered""), ""AI &amp; LLM"",
  REGEXMATCH(A120&amp;B120, ""(?i)twitter|instagram|facebook|linkedin|youtube|tiktok|threads|bluesky|pinterest|social vid"&amp;"eo|reels?|shorts?""), ""Social Media"",
  REGEXMATCH(A120&amp;B120, ""(?i)hubspot|pipedrive|stripe|shopify|woocommerce|sales|crm|invoice|order|leads?|recruitment|bamboohr|erpnext""), ""CRM &amp; Sales"",
  REGEXMATCH(A120&amp;B120, ""(?i)gmail|outlook|calendar|slack|"&amp;"discord|telegram|whatsapp|notion|trello|drive|sheets?|meeting|scheduler|appointment|mattermost""), ""Productivity &amp; Communication"",
  REGEXMATCH(A120&amp;B120, ""(?i)github|api|webhook|http|mysql|supabase|mongodb|redis|rss|pr|code review|incident|pagerduty|j"&amp;"ira""), ""Development &amp; Utilities"",
  TRUE, ""Others""
)"),"AI &amp; LLM")</f>
        <v>AI &amp; LLM</v>
      </c>
    </row>
    <row r="121" ht="15.75" customHeight="1">
      <c r="A121" s="14" t="s">
        <v>240</v>
      </c>
      <c r="B121" s="15" t="s">
        <v>241</v>
      </c>
      <c r="C121" s="16" t="s">
        <v>7</v>
      </c>
      <c r="D121" s="12" t="str">
        <f>IFERROR(__xludf.DUMMYFUNCTION("IFS(
  REGEXMATCH(A121&amp;B121, ""(?i)openai|gpt|gemini|anthropic|claude|mistral|cohere|rag|vector|llm|chatbot|ai-powered""), ""AI &amp; LLM"",
  REGEXMATCH(A121&amp;B121, ""(?i)twitter|instagram|facebook|linkedin|youtube|tiktok|threads|bluesky|pinterest|social vid"&amp;"eo|reels?|shorts?""), ""Social Media"",
  REGEXMATCH(A121&amp;B121, ""(?i)hubspot|pipedrive|stripe|shopify|woocommerce|sales|crm|invoice|order|leads?|recruitment|bamboohr|erpnext""), ""CRM &amp; Sales"",
  REGEXMATCH(A121&amp;B121, ""(?i)gmail|outlook|calendar|slack|"&amp;"discord|telegram|whatsapp|notion|trello|drive|sheets?|meeting|scheduler|appointment|mattermost""), ""Productivity &amp; Communication"",
  REGEXMATCH(A121&amp;B121, ""(?i)github|api|webhook|http|mysql|supabase|mongodb|redis|rss|pr|code review|incident|pagerduty|j"&amp;"ira""), ""Development &amp; Utilities"",
  TRUE, ""Others""
)"),"Productivity &amp; Communication")</f>
        <v>Productivity &amp; Communication</v>
      </c>
    </row>
    <row r="122" ht="15.75" customHeight="1">
      <c r="A122" s="14" t="s">
        <v>242</v>
      </c>
      <c r="B122" s="15" t="s">
        <v>243</v>
      </c>
      <c r="C122" s="16" t="s">
        <v>7</v>
      </c>
      <c r="D122" s="12" t="str">
        <f>IFERROR(__xludf.DUMMYFUNCTION("IFS(
  REGEXMATCH(A122&amp;B122, ""(?i)openai|gpt|gemini|anthropic|claude|mistral|cohere|rag|vector|llm|chatbot|ai-powered""), ""AI &amp; LLM"",
  REGEXMATCH(A122&amp;B122, ""(?i)twitter|instagram|facebook|linkedin|youtube|tiktok|threads|bluesky|pinterest|social vid"&amp;"eo|reels?|shorts?""), ""Social Media"",
  REGEXMATCH(A122&amp;B122, ""(?i)hubspot|pipedrive|stripe|shopify|woocommerce|sales|crm|invoice|order|leads?|recruitment|bamboohr|erpnext""), ""CRM &amp; Sales"",
  REGEXMATCH(A122&amp;B122, ""(?i)gmail|outlook|calendar|slack|"&amp;"discord|telegram|whatsapp|notion|trello|drive|sheets?|meeting|scheduler|appointment|mattermost""), ""Productivity &amp; Communication"",
  REGEXMATCH(A122&amp;B122, ""(?i)github|api|webhook|http|mysql|supabase|mongodb|redis|rss|pr|code review|incident|pagerduty|j"&amp;"ira""), ""Development &amp; Utilities"",
  TRUE, ""Others""
)"),"AI &amp; LLM")</f>
        <v>AI &amp; LLM</v>
      </c>
    </row>
    <row r="123" ht="15.75" customHeight="1">
      <c r="A123" s="14" t="s">
        <v>244</v>
      </c>
      <c r="B123" s="15" t="s">
        <v>245</v>
      </c>
      <c r="C123" s="16" t="s">
        <v>7</v>
      </c>
      <c r="D123" s="12" t="str">
        <f>IFERROR(__xludf.DUMMYFUNCTION("IFS(
  REGEXMATCH(A123&amp;B123, ""(?i)openai|gpt|gemini|anthropic|claude|mistral|cohere|rag|vector|llm|chatbot|ai-powered""), ""AI &amp; LLM"",
  REGEXMATCH(A123&amp;B123, ""(?i)twitter|instagram|facebook|linkedin|youtube|tiktok|threads|bluesky|pinterest|social vid"&amp;"eo|reels?|shorts?""), ""Social Media"",
  REGEXMATCH(A123&amp;B123, ""(?i)hubspot|pipedrive|stripe|shopify|woocommerce|sales|crm|invoice|order|leads?|recruitment|bamboohr|erpnext""), ""CRM &amp; Sales"",
  REGEXMATCH(A123&amp;B123, ""(?i)gmail|outlook|calendar|slack|"&amp;"discord|telegram|whatsapp|notion|trello|drive|sheets?|meeting|scheduler|appointment|mattermost""), ""Productivity &amp; Communication"",
  REGEXMATCH(A123&amp;B123, ""(?i)github|api|webhook|http|mysql|supabase|mongodb|redis|rss|pr|code review|incident|pagerduty|j"&amp;"ira""), ""Development &amp; Utilities"",
  TRUE, ""Others""
)"),"AI &amp; LLM")</f>
        <v>AI &amp; LLM</v>
      </c>
    </row>
    <row r="124" ht="15.75" customHeight="1">
      <c r="A124" s="14" t="s">
        <v>246</v>
      </c>
      <c r="B124" s="15" t="s">
        <v>247</v>
      </c>
      <c r="C124" s="16" t="s">
        <v>7</v>
      </c>
      <c r="D124" s="12" t="str">
        <f>IFERROR(__xludf.DUMMYFUNCTION("IFS(
  REGEXMATCH(A124&amp;B124, ""(?i)openai|gpt|gemini|anthropic|claude|mistral|cohere|rag|vector|llm|chatbot|ai-powered""), ""AI &amp; LLM"",
  REGEXMATCH(A124&amp;B124, ""(?i)twitter|instagram|facebook|linkedin|youtube|tiktok|threads|bluesky|pinterest|social vid"&amp;"eo|reels?|shorts?""), ""Social Media"",
  REGEXMATCH(A124&amp;B124, ""(?i)hubspot|pipedrive|stripe|shopify|woocommerce|sales|crm|invoice|order|leads?|recruitment|bamboohr|erpnext""), ""CRM &amp; Sales"",
  REGEXMATCH(A124&amp;B124, ""(?i)gmail|outlook|calendar|slack|"&amp;"discord|telegram|whatsapp|notion|trello|drive|sheets?|meeting|scheduler|appointment|mattermost""), ""Productivity &amp; Communication"",
  REGEXMATCH(A124&amp;B124, ""(?i)github|api|webhook|http|mysql|supabase|mongodb|redis|rss|pr|code review|incident|pagerduty|j"&amp;"ira""), ""Development &amp; Utilities"",
  TRUE, ""Others""
)"),"AI &amp; LLM")</f>
        <v>AI &amp; LLM</v>
      </c>
    </row>
    <row r="125" ht="15.75" customHeight="1">
      <c r="A125" s="14" t="s">
        <v>248</v>
      </c>
      <c r="B125" s="15" t="s">
        <v>249</v>
      </c>
      <c r="C125" s="16" t="s">
        <v>7</v>
      </c>
      <c r="D125" s="12" t="str">
        <f>IFERROR(__xludf.DUMMYFUNCTION("IFS(
  REGEXMATCH(A125&amp;B125, ""(?i)openai|gpt|gemini|anthropic|claude|mistral|cohere|rag|vector|llm|chatbot|ai-powered""), ""AI &amp; LLM"",
  REGEXMATCH(A125&amp;B125, ""(?i)twitter|instagram|facebook|linkedin|youtube|tiktok|threads|bluesky|pinterest|social vid"&amp;"eo|reels?|shorts?""), ""Social Media"",
  REGEXMATCH(A125&amp;B125, ""(?i)hubspot|pipedrive|stripe|shopify|woocommerce|sales|crm|invoice|order|leads?|recruitment|bamboohr|erpnext""), ""CRM &amp; Sales"",
  REGEXMATCH(A125&amp;B125, ""(?i)gmail|outlook|calendar|slack|"&amp;"discord|telegram|whatsapp|notion|trello|drive|sheets?|meeting|scheduler|appointment|mattermost""), ""Productivity &amp; Communication"",
  REGEXMATCH(A125&amp;B125, ""(?i)github|api|webhook|http|mysql|supabase|mongodb|redis|rss|pr|code review|incident|pagerduty|j"&amp;"ira""), ""Development &amp; Utilities"",
  TRUE, ""Others""
)"),"AI &amp; LLM")</f>
        <v>AI &amp; LLM</v>
      </c>
    </row>
    <row r="126" ht="15.75" customHeight="1">
      <c r="A126" s="14" t="s">
        <v>250</v>
      </c>
      <c r="B126" s="15" t="s">
        <v>251</v>
      </c>
      <c r="C126" s="16" t="s">
        <v>7</v>
      </c>
      <c r="D126" s="12" t="str">
        <f>IFERROR(__xludf.DUMMYFUNCTION("IFS(
  REGEXMATCH(A126&amp;B126, ""(?i)openai|gpt|gemini|anthropic|claude|mistral|cohere|rag|vector|llm|chatbot|ai-powered""), ""AI &amp; LLM"",
  REGEXMATCH(A126&amp;B126, ""(?i)twitter|instagram|facebook|linkedin|youtube|tiktok|threads|bluesky|pinterest|social vid"&amp;"eo|reels?|shorts?""), ""Social Media"",
  REGEXMATCH(A126&amp;B126, ""(?i)hubspot|pipedrive|stripe|shopify|woocommerce|sales|crm|invoice|order|leads?|recruitment|bamboohr|erpnext""), ""CRM &amp; Sales"",
  REGEXMATCH(A126&amp;B126, ""(?i)gmail|outlook|calendar|slack|"&amp;"discord|telegram|whatsapp|notion|trello|drive|sheets?|meeting|scheduler|appointment|mattermost""), ""Productivity &amp; Communication"",
  REGEXMATCH(A126&amp;B126, ""(?i)github|api|webhook|http|mysql|supabase|mongodb|redis|rss|pr|code review|incident|pagerduty|j"&amp;"ira""), ""Development &amp; Utilities"",
  TRUE, ""Others""
)"),"AI &amp; LLM")</f>
        <v>AI &amp; LLM</v>
      </c>
    </row>
    <row r="127" ht="15.75" customHeight="1">
      <c r="A127" s="14" t="s">
        <v>252</v>
      </c>
      <c r="B127" s="15" t="s">
        <v>253</v>
      </c>
      <c r="C127" s="16" t="s">
        <v>7</v>
      </c>
      <c r="D127" s="12" t="str">
        <f>IFERROR(__xludf.DUMMYFUNCTION("IFS(
  REGEXMATCH(A127&amp;B127, ""(?i)openai|gpt|gemini|anthropic|claude|mistral|cohere|rag|vector|llm|chatbot|ai-powered""), ""AI &amp; LLM"",
  REGEXMATCH(A127&amp;B127, ""(?i)twitter|instagram|facebook|linkedin|youtube|tiktok|threads|bluesky|pinterest|social vid"&amp;"eo|reels?|shorts?""), ""Social Media"",
  REGEXMATCH(A127&amp;B127, ""(?i)hubspot|pipedrive|stripe|shopify|woocommerce|sales|crm|invoice|order|leads?|recruitment|bamboohr|erpnext""), ""CRM &amp; Sales"",
  REGEXMATCH(A127&amp;B127, ""(?i)gmail|outlook|calendar|slack|"&amp;"discord|telegram|whatsapp|notion|trello|drive|sheets?|meeting|scheduler|appointment|mattermost""), ""Productivity &amp; Communication"",
  REGEXMATCH(A127&amp;B127, ""(?i)github|api|webhook|http|mysql|supabase|mongodb|redis|rss|pr|code review|incident|pagerduty|j"&amp;"ira""), ""Development &amp; Utilities"",
  TRUE, ""Others""
)"),"AI &amp; LLM")</f>
        <v>AI &amp; LLM</v>
      </c>
    </row>
    <row r="128" ht="15.75" customHeight="1">
      <c r="A128" s="14" t="s">
        <v>254</v>
      </c>
      <c r="B128" s="15" t="s">
        <v>255</v>
      </c>
      <c r="C128" s="16" t="s">
        <v>7</v>
      </c>
      <c r="D128" s="12" t="str">
        <f>IFERROR(__xludf.DUMMYFUNCTION("IFS(
  REGEXMATCH(A128&amp;B128, ""(?i)openai|gpt|gemini|anthropic|claude|mistral|cohere|rag|vector|llm|chatbot|ai-powered""), ""AI &amp; LLM"",
  REGEXMATCH(A128&amp;B128, ""(?i)twitter|instagram|facebook|linkedin|youtube|tiktok|threads|bluesky|pinterest|social vid"&amp;"eo|reels?|shorts?""), ""Social Media"",
  REGEXMATCH(A128&amp;B128, ""(?i)hubspot|pipedrive|stripe|shopify|woocommerce|sales|crm|invoice|order|leads?|recruitment|bamboohr|erpnext""), ""CRM &amp; Sales"",
  REGEXMATCH(A128&amp;B128, ""(?i)gmail|outlook|calendar|slack|"&amp;"discord|telegram|whatsapp|notion|trello|drive|sheets?|meeting|scheduler|appointment|mattermost""), ""Productivity &amp; Communication"",
  REGEXMATCH(A128&amp;B128, ""(?i)github|api|webhook|http|mysql|supabase|mongodb|redis|rss|pr|code review|incident|pagerduty|j"&amp;"ira""), ""Development &amp; Utilities"",
  TRUE, ""Others""
)"),"AI &amp; LLM")</f>
        <v>AI &amp; LLM</v>
      </c>
    </row>
    <row r="129" ht="15.75" customHeight="1">
      <c r="A129" s="14" t="s">
        <v>256</v>
      </c>
      <c r="B129" s="15" t="s">
        <v>257</v>
      </c>
      <c r="C129" s="16" t="s">
        <v>7</v>
      </c>
      <c r="D129" s="12" t="str">
        <f>IFERROR(__xludf.DUMMYFUNCTION("IFS(
  REGEXMATCH(A129&amp;B129, ""(?i)openai|gpt|gemini|anthropic|claude|mistral|cohere|rag|vector|llm|chatbot|ai-powered""), ""AI &amp; LLM"",
  REGEXMATCH(A129&amp;B129, ""(?i)twitter|instagram|facebook|linkedin|youtube|tiktok|threads|bluesky|pinterest|social vid"&amp;"eo|reels?|shorts?""), ""Social Media"",
  REGEXMATCH(A129&amp;B129, ""(?i)hubspot|pipedrive|stripe|shopify|woocommerce|sales|crm|invoice|order|leads?|recruitment|bamboohr|erpnext""), ""CRM &amp; Sales"",
  REGEXMATCH(A129&amp;B129, ""(?i)gmail|outlook|calendar|slack|"&amp;"discord|telegram|whatsapp|notion|trello|drive|sheets?|meeting|scheduler|appointment|mattermost""), ""Productivity &amp; Communication"",
  REGEXMATCH(A129&amp;B129, ""(?i)github|api|webhook|http|mysql|supabase|mongodb|redis|rss|pr|code review|incident|pagerduty|j"&amp;"ira""), ""Development &amp; Utilities"",
  TRUE, ""Others""
)"),"AI &amp; LLM")</f>
        <v>AI &amp; LLM</v>
      </c>
    </row>
    <row r="130" ht="15.75" customHeight="1">
      <c r="A130" s="14" t="s">
        <v>258</v>
      </c>
      <c r="B130" s="15" t="s">
        <v>259</v>
      </c>
      <c r="C130" s="16" t="s">
        <v>7</v>
      </c>
      <c r="D130" s="12" t="str">
        <f>IFERROR(__xludf.DUMMYFUNCTION("IFS(
  REGEXMATCH(A130&amp;B130, ""(?i)openai|gpt|gemini|anthropic|claude|mistral|cohere|rag|vector|llm|chatbot|ai-powered""), ""AI &amp; LLM"",
  REGEXMATCH(A130&amp;B130, ""(?i)twitter|instagram|facebook|linkedin|youtube|tiktok|threads|bluesky|pinterest|social vid"&amp;"eo|reels?|shorts?""), ""Social Media"",
  REGEXMATCH(A130&amp;B130, ""(?i)hubspot|pipedrive|stripe|shopify|woocommerce|sales|crm|invoice|order|leads?|recruitment|bamboohr|erpnext""), ""CRM &amp; Sales"",
  REGEXMATCH(A130&amp;B130, ""(?i)gmail|outlook|calendar|slack|"&amp;"discord|telegram|whatsapp|notion|trello|drive|sheets?|meeting|scheduler|appointment|mattermost""), ""Productivity &amp; Communication"",
  REGEXMATCH(A130&amp;B130, ""(?i)github|api|webhook|http|mysql|supabase|mongodb|redis|rss|pr|code review|incident|pagerduty|j"&amp;"ira""), ""Development &amp; Utilities"",
  TRUE, ""Others""
)"),"AI &amp; LLM")</f>
        <v>AI &amp; LLM</v>
      </c>
    </row>
    <row r="131" ht="15.75" customHeight="1">
      <c r="A131" s="14" t="s">
        <v>260</v>
      </c>
      <c r="B131" s="15" t="s">
        <v>261</v>
      </c>
      <c r="C131" s="16" t="s">
        <v>7</v>
      </c>
      <c r="D131" s="12" t="str">
        <f>IFERROR(__xludf.DUMMYFUNCTION("IFS(
  REGEXMATCH(A131&amp;B131, ""(?i)openai|gpt|gemini|anthropic|claude|mistral|cohere|rag|vector|llm|chatbot|ai-powered""), ""AI &amp; LLM"",
  REGEXMATCH(A131&amp;B131, ""(?i)twitter|instagram|facebook|linkedin|youtube|tiktok|threads|bluesky|pinterest|social vid"&amp;"eo|reels?|shorts?""), ""Social Media"",
  REGEXMATCH(A131&amp;B131, ""(?i)hubspot|pipedrive|stripe|shopify|woocommerce|sales|crm|invoice|order|leads?|recruitment|bamboohr|erpnext""), ""CRM &amp; Sales"",
  REGEXMATCH(A131&amp;B131, ""(?i)gmail|outlook|calendar|slack|"&amp;"discord|telegram|whatsapp|notion|trello|drive|sheets?|meeting|scheduler|appointment|mattermost""), ""Productivity &amp; Communication"",
  REGEXMATCH(A131&amp;B131, ""(?i)github|api|webhook|http|mysql|supabase|mongodb|redis|rss|pr|code review|incident|pagerduty|j"&amp;"ira""), ""Development &amp; Utilities"",
  TRUE, ""Others""
)"),"Productivity &amp; Communication")</f>
        <v>Productivity &amp; Communication</v>
      </c>
    </row>
    <row r="132" ht="15.75" customHeight="1">
      <c r="A132" s="14" t="s">
        <v>262</v>
      </c>
      <c r="B132" s="15" t="s">
        <v>263</v>
      </c>
      <c r="C132" s="16" t="s">
        <v>7</v>
      </c>
      <c r="D132" s="12" t="str">
        <f>IFERROR(__xludf.DUMMYFUNCTION("IFS(
  REGEXMATCH(A132&amp;B132, ""(?i)openai|gpt|gemini|anthropic|claude|mistral|cohere|rag|vector|llm|chatbot|ai-powered""), ""AI &amp; LLM"",
  REGEXMATCH(A132&amp;B132, ""(?i)twitter|instagram|facebook|linkedin|youtube|tiktok|threads|bluesky|pinterest|social vid"&amp;"eo|reels?|shorts?""), ""Social Media"",
  REGEXMATCH(A132&amp;B132, ""(?i)hubspot|pipedrive|stripe|shopify|woocommerce|sales|crm|invoice|order|leads?|recruitment|bamboohr|erpnext""), ""CRM &amp; Sales"",
  REGEXMATCH(A132&amp;B132, ""(?i)gmail|outlook|calendar|slack|"&amp;"discord|telegram|whatsapp|notion|trello|drive|sheets?|meeting|scheduler|appointment|mattermost""), ""Productivity &amp; Communication"",
  REGEXMATCH(A132&amp;B132, ""(?i)github|api|webhook|http|mysql|supabase|mongodb|redis|rss|pr|code review|incident|pagerduty|j"&amp;"ira""), ""Development &amp; Utilities"",
  TRUE, ""Others""
)"),"AI &amp; LLM")</f>
        <v>AI &amp; LLM</v>
      </c>
    </row>
    <row r="133" ht="15.75" customHeight="1">
      <c r="A133" s="14" t="s">
        <v>264</v>
      </c>
      <c r="B133" s="15" t="s">
        <v>265</v>
      </c>
      <c r="C133" s="16" t="s">
        <v>7</v>
      </c>
      <c r="D133" s="12" t="str">
        <f>IFERROR(__xludf.DUMMYFUNCTION("IFS(
  REGEXMATCH(A133&amp;B133, ""(?i)openai|gpt|gemini|anthropic|claude|mistral|cohere|rag|vector|llm|chatbot|ai-powered""), ""AI &amp; LLM"",
  REGEXMATCH(A133&amp;B133, ""(?i)twitter|instagram|facebook|linkedin|youtube|tiktok|threads|bluesky|pinterest|social vid"&amp;"eo|reels?|shorts?""), ""Social Media"",
  REGEXMATCH(A133&amp;B133, ""(?i)hubspot|pipedrive|stripe|shopify|woocommerce|sales|crm|invoice|order|leads?|recruitment|bamboohr|erpnext""), ""CRM &amp; Sales"",
  REGEXMATCH(A133&amp;B133, ""(?i)gmail|outlook|calendar|slack|"&amp;"discord|telegram|whatsapp|notion|trello|drive|sheets?|meeting|scheduler|appointment|mattermost""), ""Productivity &amp; Communication"",
  REGEXMATCH(A133&amp;B133, ""(?i)github|api|webhook|http|mysql|supabase|mongodb|redis|rss|pr|code review|incident|pagerduty|j"&amp;"ira""), ""Development &amp; Utilities"",
  TRUE, ""Others""
)"),"AI &amp; LLM")</f>
        <v>AI &amp; LLM</v>
      </c>
    </row>
    <row r="134" ht="15.75" customHeight="1">
      <c r="A134" s="14" t="s">
        <v>266</v>
      </c>
      <c r="B134" s="15" t="s">
        <v>267</v>
      </c>
      <c r="C134" s="16" t="s">
        <v>7</v>
      </c>
      <c r="D134" s="12" t="str">
        <f>IFERROR(__xludf.DUMMYFUNCTION("IFS(
  REGEXMATCH(A134&amp;B134, ""(?i)openai|gpt|gemini|anthropic|claude|mistral|cohere|rag|vector|llm|chatbot|ai-powered""), ""AI &amp; LLM"",
  REGEXMATCH(A134&amp;B134, ""(?i)twitter|instagram|facebook|linkedin|youtube|tiktok|threads|bluesky|pinterest|social vid"&amp;"eo|reels?|shorts?""), ""Social Media"",
  REGEXMATCH(A134&amp;B134, ""(?i)hubspot|pipedrive|stripe|shopify|woocommerce|sales|crm|invoice|order|leads?|recruitment|bamboohr|erpnext""), ""CRM &amp; Sales"",
  REGEXMATCH(A134&amp;B134, ""(?i)gmail|outlook|calendar|slack|"&amp;"discord|telegram|whatsapp|notion|trello|drive|sheets?|meeting|scheduler|appointment|mattermost""), ""Productivity &amp; Communication"",
  REGEXMATCH(A134&amp;B134, ""(?i)github|api|webhook|http|mysql|supabase|mongodb|redis|rss|pr|code review|incident|pagerduty|j"&amp;"ira""), ""Development &amp; Utilities"",
  TRUE, ""Others""
)"),"AI &amp; LLM")</f>
        <v>AI &amp; LLM</v>
      </c>
    </row>
    <row r="135" ht="15.75" customHeight="1">
      <c r="A135" s="14" t="s">
        <v>268</v>
      </c>
      <c r="B135" s="15" t="s">
        <v>269</v>
      </c>
      <c r="C135" s="16" t="s">
        <v>7</v>
      </c>
      <c r="D135" s="12" t="str">
        <f>IFERROR(__xludf.DUMMYFUNCTION("IFS(
  REGEXMATCH(A135&amp;B135, ""(?i)openai|gpt|gemini|anthropic|claude|mistral|cohere|rag|vector|llm|chatbot|ai-powered""), ""AI &amp; LLM"",
  REGEXMATCH(A135&amp;B135, ""(?i)twitter|instagram|facebook|linkedin|youtube|tiktok|threads|bluesky|pinterest|social vid"&amp;"eo|reels?|shorts?""), ""Social Media"",
  REGEXMATCH(A135&amp;B135, ""(?i)hubspot|pipedrive|stripe|shopify|woocommerce|sales|crm|invoice|order|leads?|recruitment|bamboohr|erpnext""), ""CRM &amp; Sales"",
  REGEXMATCH(A135&amp;B135, ""(?i)gmail|outlook|calendar|slack|"&amp;"discord|telegram|whatsapp|notion|trello|drive|sheets?|meeting|scheduler|appointment|mattermost""), ""Productivity &amp; Communication"",
  REGEXMATCH(A135&amp;B135, ""(?i)github|api|webhook|http|mysql|supabase|mongodb|redis|rss|pr|code review|incident|pagerduty|j"&amp;"ira""), ""Development &amp; Utilities"",
  TRUE, ""Others""
)"),"Development &amp; Utilities")</f>
        <v>Development &amp; Utilities</v>
      </c>
    </row>
    <row r="136" ht="15.75" customHeight="1">
      <c r="A136" s="14" t="s">
        <v>270</v>
      </c>
      <c r="B136" s="15" t="s">
        <v>271</v>
      </c>
      <c r="C136" s="16" t="s">
        <v>7</v>
      </c>
      <c r="D136" s="12" t="str">
        <f>IFERROR(__xludf.DUMMYFUNCTION("IFS(
  REGEXMATCH(A136&amp;B136, ""(?i)openai|gpt|gemini|anthropic|claude|mistral|cohere|rag|vector|llm|chatbot|ai-powered""), ""AI &amp; LLM"",
  REGEXMATCH(A136&amp;B136, ""(?i)twitter|instagram|facebook|linkedin|youtube|tiktok|threads|bluesky|pinterest|social vid"&amp;"eo|reels?|shorts?""), ""Social Media"",
  REGEXMATCH(A136&amp;B136, ""(?i)hubspot|pipedrive|stripe|shopify|woocommerce|sales|crm|invoice|order|leads?|recruitment|bamboohr|erpnext""), ""CRM &amp; Sales"",
  REGEXMATCH(A136&amp;B136, ""(?i)gmail|outlook|calendar|slack|"&amp;"discord|telegram|whatsapp|notion|trello|drive|sheets?|meeting|scheduler|appointment|mattermost""), ""Productivity &amp; Communication"",
  REGEXMATCH(A136&amp;B136, ""(?i)github|api|webhook|http|mysql|supabase|mongodb|redis|rss|pr|code review|incident|pagerduty|j"&amp;"ira""), ""Development &amp; Utilities"",
  TRUE, ""Others""
)"),"AI &amp; LLM")</f>
        <v>AI &amp; LLM</v>
      </c>
    </row>
    <row r="137" ht="15.75" customHeight="1">
      <c r="A137" s="14" t="s">
        <v>272</v>
      </c>
      <c r="B137" s="15" t="s">
        <v>273</v>
      </c>
      <c r="C137" s="16" t="s">
        <v>7</v>
      </c>
      <c r="D137" s="12" t="str">
        <f>IFERROR(__xludf.DUMMYFUNCTION("IFS(
  REGEXMATCH(A137&amp;B137, ""(?i)openai|gpt|gemini|anthropic|claude|mistral|cohere|rag|vector|llm|chatbot|ai-powered""), ""AI &amp; LLM"",
  REGEXMATCH(A137&amp;B137, ""(?i)twitter|instagram|facebook|linkedin|youtube|tiktok|threads|bluesky|pinterest|social vid"&amp;"eo|reels?|shorts?""), ""Social Media"",
  REGEXMATCH(A137&amp;B137, ""(?i)hubspot|pipedrive|stripe|shopify|woocommerce|sales|crm|invoice|order|leads?|recruitment|bamboohr|erpnext""), ""CRM &amp; Sales"",
  REGEXMATCH(A137&amp;B137, ""(?i)gmail|outlook|calendar|slack|"&amp;"discord|telegram|whatsapp|notion|trello|drive|sheets?|meeting|scheduler|appointment|mattermost""), ""Productivity &amp; Communication"",
  REGEXMATCH(A137&amp;B137, ""(?i)github|api|webhook|http|mysql|supabase|mongodb|redis|rss|pr|code review|incident|pagerduty|j"&amp;"ira""), ""Development &amp; Utilities"",
  TRUE, ""Others""
)"),"Productivity &amp; Communication")</f>
        <v>Productivity &amp; Communication</v>
      </c>
    </row>
    <row r="138" ht="15.75" customHeight="1">
      <c r="A138" s="14" t="s">
        <v>274</v>
      </c>
      <c r="B138" s="15" t="s">
        <v>275</v>
      </c>
      <c r="C138" s="16" t="s">
        <v>7</v>
      </c>
      <c r="D138" s="12" t="str">
        <f>IFERROR(__xludf.DUMMYFUNCTION("IFS(
  REGEXMATCH(A138&amp;B138, ""(?i)openai|gpt|gemini|anthropic|claude|mistral|cohere|rag|vector|llm|chatbot|ai-powered""), ""AI &amp; LLM"",
  REGEXMATCH(A138&amp;B138, ""(?i)twitter|instagram|facebook|linkedin|youtube|tiktok|threads|bluesky|pinterest|social vid"&amp;"eo|reels?|shorts?""), ""Social Media"",
  REGEXMATCH(A138&amp;B138, ""(?i)hubspot|pipedrive|stripe|shopify|woocommerce|sales|crm|invoice|order|leads?|recruitment|bamboohr|erpnext""), ""CRM &amp; Sales"",
  REGEXMATCH(A138&amp;B138, ""(?i)gmail|outlook|calendar|slack|"&amp;"discord|telegram|whatsapp|notion|trello|drive|sheets?|meeting|scheduler|appointment|mattermost""), ""Productivity &amp; Communication"",
  REGEXMATCH(A138&amp;B138, ""(?i)github|api|webhook|http|mysql|supabase|mongodb|redis|rss|pr|code review|incident|pagerduty|j"&amp;"ira""), ""Development &amp; Utilities"",
  TRUE, ""Others""
)"),"AI &amp; LLM")</f>
        <v>AI &amp; LLM</v>
      </c>
    </row>
    <row r="139" ht="15.75" customHeight="1">
      <c r="A139" s="14" t="s">
        <v>276</v>
      </c>
      <c r="B139" s="15" t="s">
        <v>277</v>
      </c>
      <c r="C139" s="16" t="s">
        <v>7</v>
      </c>
      <c r="D139" s="12" t="str">
        <f>IFERROR(__xludf.DUMMYFUNCTION("IFS(
  REGEXMATCH(A139&amp;B139, ""(?i)openai|gpt|gemini|anthropic|claude|mistral|cohere|rag|vector|llm|chatbot|ai-powered""), ""AI &amp; LLM"",
  REGEXMATCH(A139&amp;B139, ""(?i)twitter|instagram|facebook|linkedin|youtube|tiktok|threads|bluesky|pinterest|social vid"&amp;"eo|reels?|shorts?""), ""Social Media"",
  REGEXMATCH(A139&amp;B139, ""(?i)hubspot|pipedrive|stripe|shopify|woocommerce|sales|crm|invoice|order|leads?|recruitment|bamboohr|erpnext""), ""CRM &amp; Sales"",
  REGEXMATCH(A139&amp;B139, ""(?i)gmail|outlook|calendar|slack|"&amp;"discord|telegram|whatsapp|notion|trello|drive|sheets?|meeting|scheduler|appointment|mattermost""), ""Productivity &amp; Communication"",
  REGEXMATCH(A139&amp;B139, ""(?i)github|api|webhook|http|mysql|supabase|mongodb|redis|rss|pr|code review|incident|pagerduty|j"&amp;"ira""), ""Development &amp; Utilities"",
  TRUE, ""Others""
)"),"AI &amp; LLM")</f>
        <v>AI &amp; LLM</v>
      </c>
    </row>
    <row r="140" ht="15.75" customHeight="1">
      <c r="A140" s="14" t="s">
        <v>278</v>
      </c>
      <c r="B140" s="15" t="s">
        <v>279</v>
      </c>
      <c r="C140" s="16" t="s">
        <v>7</v>
      </c>
      <c r="D140" s="12" t="str">
        <f>IFERROR(__xludf.DUMMYFUNCTION("IFS(
  REGEXMATCH(A140&amp;B140, ""(?i)openai|gpt|gemini|anthropic|claude|mistral|cohere|rag|vector|llm|chatbot|ai-powered""), ""AI &amp; LLM"",
  REGEXMATCH(A140&amp;B140, ""(?i)twitter|instagram|facebook|linkedin|youtube|tiktok|threads|bluesky|pinterest|social vid"&amp;"eo|reels?|shorts?""), ""Social Media"",
  REGEXMATCH(A140&amp;B140, ""(?i)hubspot|pipedrive|stripe|shopify|woocommerce|sales|crm|invoice|order|leads?|recruitment|bamboohr|erpnext""), ""CRM &amp; Sales"",
  REGEXMATCH(A140&amp;B140, ""(?i)gmail|outlook|calendar|slack|"&amp;"discord|telegram|whatsapp|notion|trello|drive|sheets?|meeting|scheduler|appointment|mattermost""), ""Productivity &amp; Communication"",
  REGEXMATCH(A140&amp;B140, ""(?i)github|api|webhook|http|mysql|supabase|mongodb|redis|rss|pr|code review|incident|pagerduty|j"&amp;"ira""), ""Development &amp; Utilities"",
  TRUE, ""Others""
)"),"AI &amp; LLM")</f>
        <v>AI &amp; LLM</v>
      </c>
    </row>
    <row r="141" ht="15.75" customHeight="1">
      <c r="A141" s="14" t="s">
        <v>280</v>
      </c>
      <c r="B141" s="15" t="s">
        <v>281</v>
      </c>
      <c r="C141" s="16" t="s">
        <v>7</v>
      </c>
      <c r="D141" s="12" t="str">
        <f>IFERROR(__xludf.DUMMYFUNCTION("IFS(
  REGEXMATCH(A141&amp;B141, ""(?i)openai|gpt|gemini|anthropic|claude|mistral|cohere|rag|vector|llm|chatbot|ai-powered""), ""AI &amp; LLM"",
  REGEXMATCH(A141&amp;B141, ""(?i)twitter|instagram|facebook|linkedin|youtube|tiktok|threads|bluesky|pinterest|social vid"&amp;"eo|reels?|shorts?""), ""Social Media"",
  REGEXMATCH(A141&amp;B141, ""(?i)hubspot|pipedrive|stripe|shopify|woocommerce|sales|crm|invoice|order|leads?|recruitment|bamboohr|erpnext""), ""CRM &amp; Sales"",
  REGEXMATCH(A141&amp;B141, ""(?i)gmail|outlook|calendar|slack|"&amp;"discord|telegram|whatsapp|notion|trello|drive|sheets?|meeting|scheduler|appointment|mattermost""), ""Productivity &amp; Communication"",
  REGEXMATCH(A141&amp;B141, ""(?i)github|api|webhook|http|mysql|supabase|mongodb|redis|rss|pr|code review|incident|pagerduty|j"&amp;"ira""), ""Development &amp; Utilities"",
  TRUE, ""Others""
)"),"Social Media")</f>
        <v>Social Media</v>
      </c>
    </row>
    <row r="142" ht="15.75" customHeight="1">
      <c r="A142" s="14" t="s">
        <v>282</v>
      </c>
      <c r="B142" s="15" t="s">
        <v>283</v>
      </c>
      <c r="C142" s="16" t="s">
        <v>7</v>
      </c>
      <c r="D142" s="12" t="str">
        <f>IFERROR(__xludf.DUMMYFUNCTION("IFS(
  REGEXMATCH(A142&amp;B142, ""(?i)openai|gpt|gemini|anthropic|claude|mistral|cohere|rag|vector|llm|chatbot|ai-powered""), ""AI &amp; LLM"",
  REGEXMATCH(A142&amp;B142, ""(?i)twitter|instagram|facebook|linkedin|youtube|tiktok|threads|bluesky|pinterest|social vid"&amp;"eo|reels?|shorts?""), ""Social Media"",
  REGEXMATCH(A142&amp;B142, ""(?i)hubspot|pipedrive|stripe|shopify|woocommerce|sales|crm|invoice|order|leads?|recruitment|bamboohr|erpnext""), ""CRM &amp; Sales"",
  REGEXMATCH(A142&amp;B142, ""(?i)gmail|outlook|calendar|slack|"&amp;"discord|telegram|whatsapp|notion|trello|drive|sheets?|meeting|scheduler|appointment|mattermost""), ""Productivity &amp; Communication"",
  REGEXMATCH(A142&amp;B142, ""(?i)github|api|webhook|http|mysql|supabase|mongodb|redis|rss|pr|code review|incident|pagerduty|j"&amp;"ira""), ""Development &amp; Utilities"",
  TRUE, ""Others""
)"),"AI &amp; LLM")</f>
        <v>AI &amp; LLM</v>
      </c>
    </row>
    <row r="143" ht="15.75" customHeight="1">
      <c r="A143" s="14" t="s">
        <v>284</v>
      </c>
      <c r="B143" s="15" t="s">
        <v>285</v>
      </c>
      <c r="C143" s="16" t="s">
        <v>7</v>
      </c>
      <c r="D143" s="12" t="str">
        <f>IFERROR(__xludf.DUMMYFUNCTION("IFS(
  REGEXMATCH(A143&amp;B143, ""(?i)openai|gpt|gemini|anthropic|claude|mistral|cohere|rag|vector|llm|chatbot|ai-powered""), ""AI &amp; LLM"",
  REGEXMATCH(A143&amp;B143, ""(?i)twitter|instagram|facebook|linkedin|youtube|tiktok|threads|bluesky|pinterest|social vid"&amp;"eo|reels?|shorts?""), ""Social Media"",
  REGEXMATCH(A143&amp;B143, ""(?i)hubspot|pipedrive|stripe|shopify|woocommerce|sales|crm|invoice|order|leads?|recruitment|bamboohr|erpnext""), ""CRM &amp; Sales"",
  REGEXMATCH(A143&amp;B143, ""(?i)gmail|outlook|calendar|slack|"&amp;"discord|telegram|whatsapp|notion|trello|drive|sheets?|meeting|scheduler|appointment|mattermost""), ""Productivity &amp; Communication"",
  REGEXMATCH(A143&amp;B143, ""(?i)github|api|webhook|http|mysql|supabase|mongodb|redis|rss|pr|code review|incident|pagerduty|j"&amp;"ira""), ""Development &amp; Utilities"",
  TRUE, ""Others""
)"),"AI &amp; LLM")</f>
        <v>AI &amp; LLM</v>
      </c>
    </row>
    <row r="144" ht="15.75" customHeight="1">
      <c r="A144" s="14" t="s">
        <v>286</v>
      </c>
      <c r="B144" s="15" t="s">
        <v>287</v>
      </c>
      <c r="C144" s="16" t="s">
        <v>7</v>
      </c>
      <c r="D144" s="12" t="str">
        <f>IFERROR(__xludf.DUMMYFUNCTION("IFS(
  REGEXMATCH(A144&amp;B144, ""(?i)openai|gpt|gemini|anthropic|claude|mistral|cohere|rag|vector|llm|chatbot|ai-powered""), ""AI &amp; LLM"",
  REGEXMATCH(A144&amp;B144, ""(?i)twitter|instagram|facebook|linkedin|youtube|tiktok|threads|bluesky|pinterest|social vid"&amp;"eo|reels?|shorts?""), ""Social Media"",
  REGEXMATCH(A144&amp;B144, ""(?i)hubspot|pipedrive|stripe|shopify|woocommerce|sales|crm|invoice|order|leads?|recruitment|bamboohr|erpnext""), ""CRM &amp; Sales"",
  REGEXMATCH(A144&amp;B144, ""(?i)gmail|outlook|calendar|slack|"&amp;"discord|telegram|whatsapp|notion|trello|drive|sheets?|meeting|scheduler|appointment|mattermost""), ""Productivity &amp; Communication"",
  REGEXMATCH(A144&amp;B144, ""(?i)github|api|webhook|http|mysql|supabase|mongodb|redis|rss|pr|code review|incident|pagerduty|j"&amp;"ira""), ""Development &amp; Utilities"",
  TRUE, ""Others""
)"),"AI &amp; LLM")</f>
        <v>AI &amp; LLM</v>
      </c>
    </row>
    <row r="145" ht="15.75" customHeight="1">
      <c r="A145" s="14" t="s">
        <v>288</v>
      </c>
      <c r="B145" s="15" t="s">
        <v>289</v>
      </c>
      <c r="C145" s="16" t="s">
        <v>7</v>
      </c>
      <c r="D145" s="12" t="str">
        <f>IFERROR(__xludf.DUMMYFUNCTION("IFS(
  REGEXMATCH(A145&amp;B145, ""(?i)openai|gpt|gemini|anthropic|claude|mistral|cohere|rag|vector|llm|chatbot|ai-powered""), ""AI &amp; LLM"",
  REGEXMATCH(A145&amp;B145, ""(?i)twitter|instagram|facebook|linkedin|youtube|tiktok|threads|bluesky|pinterest|social vid"&amp;"eo|reels?|shorts?""), ""Social Media"",
  REGEXMATCH(A145&amp;B145, ""(?i)hubspot|pipedrive|stripe|shopify|woocommerce|sales|crm|invoice|order|leads?|recruitment|bamboohr|erpnext""), ""CRM &amp; Sales"",
  REGEXMATCH(A145&amp;B145, ""(?i)gmail|outlook|calendar|slack|"&amp;"discord|telegram|whatsapp|notion|trello|drive|sheets?|meeting|scheduler|appointment|mattermost""), ""Productivity &amp; Communication"",
  REGEXMATCH(A145&amp;B145, ""(?i)github|api|webhook|http|mysql|supabase|mongodb|redis|rss|pr|code review|incident|pagerduty|j"&amp;"ira""), ""Development &amp; Utilities"",
  TRUE, ""Others""
)"),"AI &amp; LLM")</f>
        <v>AI &amp; LLM</v>
      </c>
    </row>
    <row r="146" ht="15.75" customHeight="1">
      <c r="A146" s="14" t="s">
        <v>290</v>
      </c>
      <c r="B146" s="15" t="s">
        <v>291</v>
      </c>
      <c r="C146" s="16" t="s">
        <v>7</v>
      </c>
      <c r="D146" s="12" t="str">
        <f>IFERROR(__xludf.DUMMYFUNCTION("IFS(
  REGEXMATCH(A146&amp;B146, ""(?i)openai|gpt|gemini|anthropic|claude|mistral|cohere|rag|vector|llm|chatbot|ai-powered""), ""AI &amp; LLM"",
  REGEXMATCH(A146&amp;B146, ""(?i)twitter|instagram|facebook|linkedin|youtube|tiktok|threads|bluesky|pinterest|social vid"&amp;"eo|reels?|shorts?""), ""Social Media"",
  REGEXMATCH(A146&amp;B146, ""(?i)hubspot|pipedrive|stripe|shopify|woocommerce|sales|crm|invoice|order|leads?|recruitment|bamboohr|erpnext""), ""CRM &amp; Sales"",
  REGEXMATCH(A146&amp;B146, ""(?i)gmail|outlook|calendar|slack|"&amp;"discord|telegram|whatsapp|notion|trello|drive|sheets?|meeting|scheduler|appointment|mattermost""), ""Productivity &amp; Communication"",
  REGEXMATCH(A146&amp;B146, ""(?i)github|api|webhook|http|mysql|supabase|mongodb|redis|rss|pr|code review|incident|pagerduty|j"&amp;"ira""), ""Development &amp; Utilities"",
  TRUE, ""Others""
)"),"AI &amp; LLM")</f>
        <v>AI &amp; LLM</v>
      </c>
    </row>
    <row r="147" ht="15.75" customHeight="1">
      <c r="A147" s="14" t="s">
        <v>292</v>
      </c>
      <c r="B147" s="15" t="s">
        <v>293</v>
      </c>
      <c r="C147" s="16" t="s">
        <v>7</v>
      </c>
      <c r="D147" s="12" t="str">
        <f>IFERROR(__xludf.DUMMYFUNCTION("IFS(
  REGEXMATCH(A147&amp;B147, ""(?i)openai|gpt|gemini|anthropic|claude|mistral|cohere|rag|vector|llm|chatbot|ai-powered""), ""AI &amp; LLM"",
  REGEXMATCH(A147&amp;B147, ""(?i)twitter|instagram|facebook|linkedin|youtube|tiktok|threads|bluesky|pinterest|social vid"&amp;"eo|reels?|shorts?""), ""Social Media"",
  REGEXMATCH(A147&amp;B147, ""(?i)hubspot|pipedrive|stripe|shopify|woocommerce|sales|crm|invoice|order|leads?|recruitment|bamboohr|erpnext""), ""CRM &amp; Sales"",
  REGEXMATCH(A147&amp;B147, ""(?i)gmail|outlook|calendar|slack|"&amp;"discord|telegram|whatsapp|notion|trello|drive|sheets?|meeting|scheduler|appointment|mattermost""), ""Productivity &amp; Communication"",
  REGEXMATCH(A147&amp;B147, ""(?i)github|api|webhook|http|mysql|supabase|mongodb|redis|rss|pr|code review|incident|pagerduty|j"&amp;"ira""), ""Development &amp; Utilities"",
  TRUE, ""Others""
)"),"AI &amp; LLM")</f>
        <v>AI &amp; LLM</v>
      </c>
    </row>
    <row r="148" ht="15.75" customHeight="1">
      <c r="A148" s="14" t="s">
        <v>294</v>
      </c>
      <c r="B148" s="15" t="s">
        <v>295</v>
      </c>
      <c r="C148" s="16" t="s">
        <v>7</v>
      </c>
      <c r="D148" s="12" t="str">
        <f>IFERROR(__xludf.DUMMYFUNCTION("IFS(
  REGEXMATCH(A148&amp;B148, ""(?i)openai|gpt|gemini|anthropic|claude|mistral|cohere|rag|vector|llm|chatbot|ai-powered""), ""AI &amp; LLM"",
  REGEXMATCH(A148&amp;B148, ""(?i)twitter|instagram|facebook|linkedin|youtube|tiktok|threads|bluesky|pinterest|social vid"&amp;"eo|reels?|shorts?""), ""Social Media"",
  REGEXMATCH(A148&amp;B148, ""(?i)hubspot|pipedrive|stripe|shopify|woocommerce|sales|crm|invoice|order|leads?|recruitment|bamboohr|erpnext""), ""CRM &amp; Sales"",
  REGEXMATCH(A148&amp;B148, ""(?i)gmail|outlook|calendar|slack|"&amp;"discord|telegram|whatsapp|notion|trello|drive|sheets?|meeting|scheduler|appointment|mattermost""), ""Productivity &amp; Communication"",
  REGEXMATCH(A148&amp;B148, ""(?i)github|api|webhook|http|mysql|supabase|mongodb|redis|rss|pr|code review|incident|pagerduty|j"&amp;"ira""), ""Development &amp; Utilities"",
  TRUE, ""Others""
)"),"AI &amp; LLM")</f>
        <v>AI &amp; LLM</v>
      </c>
    </row>
    <row r="149" ht="15.75" customHeight="1">
      <c r="A149" s="14" t="s">
        <v>296</v>
      </c>
      <c r="B149" s="15" t="s">
        <v>297</v>
      </c>
      <c r="C149" s="16" t="s">
        <v>7</v>
      </c>
      <c r="D149" s="12" t="str">
        <f>IFERROR(__xludf.DUMMYFUNCTION("IFS(
  REGEXMATCH(A149&amp;B149, ""(?i)openai|gpt|gemini|anthropic|claude|mistral|cohere|rag|vector|llm|chatbot|ai-powered""), ""AI &amp; LLM"",
  REGEXMATCH(A149&amp;B149, ""(?i)twitter|instagram|facebook|linkedin|youtube|tiktok|threads|bluesky|pinterest|social vid"&amp;"eo|reels?|shorts?""), ""Social Media"",
  REGEXMATCH(A149&amp;B149, ""(?i)hubspot|pipedrive|stripe|shopify|woocommerce|sales|crm|invoice|order|leads?|recruitment|bamboohr|erpnext""), ""CRM &amp; Sales"",
  REGEXMATCH(A149&amp;B149, ""(?i)gmail|outlook|calendar|slack|"&amp;"discord|telegram|whatsapp|notion|trello|drive|sheets?|meeting|scheduler|appointment|mattermost""), ""Productivity &amp; Communication"",
  REGEXMATCH(A149&amp;B149, ""(?i)github|api|webhook|http|mysql|supabase|mongodb|redis|rss|pr|code review|incident|pagerduty|j"&amp;"ira""), ""Development &amp; Utilities"",
  TRUE, ""Others""
)"),"AI &amp; LLM")</f>
        <v>AI &amp; LLM</v>
      </c>
    </row>
    <row r="150" ht="15.75" customHeight="1">
      <c r="A150" s="14" t="s">
        <v>298</v>
      </c>
      <c r="B150" s="15" t="s">
        <v>299</v>
      </c>
      <c r="C150" s="16" t="s">
        <v>7</v>
      </c>
      <c r="D150" s="12" t="str">
        <f>IFERROR(__xludf.DUMMYFUNCTION("IFS(
  REGEXMATCH(A150&amp;B150, ""(?i)openai|gpt|gemini|anthropic|claude|mistral|cohere|rag|vector|llm|chatbot|ai-powered""), ""AI &amp; LLM"",
  REGEXMATCH(A150&amp;B150, ""(?i)twitter|instagram|facebook|linkedin|youtube|tiktok|threads|bluesky|pinterest|social vid"&amp;"eo|reels?|shorts?""), ""Social Media"",
  REGEXMATCH(A150&amp;B150, ""(?i)hubspot|pipedrive|stripe|shopify|woocommerce|sales|crm|invoice|order|leads?|recruitment|bamboohr|erpnext""), ""CRM &amp; Sales"",
  REGEXMATCH(A150&amp;B150, ""(?i)gmail|outlook|calendar|slack|"&amp;"discord|telegram|whatsapp|notion|trello|drive|sheets?|meeting|scheduler|appointment|mattermost""), ""Productivity &amp; Communication"",
  REGEXMATCH(A150&amp;B150, ""(?i)github|api|webhook|http|mysql|supabase|mongodb|redis|rss|pr|code review|incident|pagerduty|j"&amp;"ira""), ""Development &amp; Utilities"",
  TRUE, ""Others""
)"),"AI &amp; LLM")</f>
        <v>AI &amp; LLM</v>
      </c>
    </row>
    <row r="151" ht="15.75" customHeight="1">
      <c r="A151" s="14" t="s">
        <v>300</v>
      </c>
      <c r="B151" s="15" t="s">
        <v>301</v>
      </c>
      <c r="C151" s="16" t="s">
        <v>7</v>
      </c>
      <c r="D151" s="12" t="str">
        <f>IFERROR(__xludf.DUMMYFUNCTION("IFS(
  REGEXMATCH(A151&amp;B151, ""(?i)openai|gpt|gemini|anthropic|claude|mistral|cohere|rag|vector|llm|chatbot|ai-powered""), ""AI &amp; LLM"",
  REGEXMATCH(A151&amp;B151, ""(?i)twitter|instagram|facebook|linkedin|youtube|tiktok|threads|bluesky|pinterest|social vid"&amp;"eo|reels?|shorts?""), ""Social Media"",
  REGEXMATCH(A151&amp;B151, ""(?i)hubspot|pipedrive|stripe|shopify|woocommerce|sales|crm|invoice|order|leads?|recruitment|bamboohr|erpnext""), ""CRM &amp; Sales"",
  REGEXMATCH(A151&amp;B151, ""(?i)gmail|outlook|calendar|slack|"&amp;"discord|telegram|whatsapp|notion|trello|drive|sheets?|meeting|scheduler|appointment|mattermost""), ""Productivity &amp; Communication"",
  REGEXMATCH(A151&amp;B151, ""(?i)github|api|webhook|http|mysql|supabase|mongodb|redis|rss|pr|code review|incident|pagerduty|j"&amp;"ira""), ""Development &amp; Utilities"",
  TRUE, ""Others""
)"),"Development &amp; Utilities")</f>
        <v>Development &amp; Utilities</v>
      </c>
    </row>
    <row r="152" ht="15.75" customHeight="1">
      <c r="A152" s="14" t="s">
        <v>302</v>
      </c>
      <c r="B152" s="15" t="s">
        <v>303</v>
      </c>
      <c r="C152" s="16" t="s">
        <v>7</v>
      </c>
      <c r="D152" s="12" t="str">
        <f>IFERROR(__xludf.DUMMYFUNCTION("IFS(
  REGEXMATCH(A152&amp;B152, ""(?i)openai|gpt|gemini|anthropic|claude|mistral|cohere|rag|vector|llm|chatbot|ai-powered""), ""AI &amp; LLM"",
  REGEXMATCH(A152&amp;B152, ""(?i)twitter|instagram|facebook|linkedin|youtube|tiktok|threads|bluesky|pinterest|social vid"&amp;"eo|reels?|shorts?""), ""Social Media"",
  REGEXMATCH(A152&amp;B152, ""(?i)hubspot|pipedrive|stripe|shopify|woocommerce|sales|crm|invoice|order|leads?|recruitment|bamboohr|erpnext""), ""CRM &amp; Sales"",
  REGEXMATCH(A152&amp;B152, ""(?i)gmail|outlook|calendar|slack|"&amp;"discord|telegram|whatsapp|notion|trello|drive|sheets?|meeting|scheduler|appointment|mattermost""), ""Productivity &amp; Communication"",
  REGEXMATCH(A152&amp;B152, ""(?i)github|api|webhook|http|mysql|supabase|mongodb|redis|rss|pr|code review|incident|pagerduty|j"&amp;"ira""), ""Development &amp; Utilities"",
  TRUE, ""Others""
)"),"AI &amp; LLM")</f>
        <v>AI &amp; LLM</v>
      </c>
    </row>
    <row r="153" ht="15.75" customHeight="1">
      <c r="A153" s="14" t="s">
        <v>304</v>
      </c>
      <c r="B153" s="15" t="s">
        <v>305</v>
      </c>
      <c r="C153" s="16" t="s">
        <v>7</v>
      </c>
      <c r="D153" s="12" t="str">
        <f>IFERROR(__xludf.DUMMYFUNCTION("IFS(
  REGEXMATCH(A153&amp;B153, ""(?i)openai|gpt|gemini|anthropic|claude|mistral|cohere|rag|vector|llm|chatbot|ai-powered""), ""AI &amp; LLM"",
  REGEXMATCH(A153&amp;B153, ""(?i)twitter|instagram|facebook|linkedin|youtube|tiktok|threads|bluesky|pinterest|social vid"&amp;"eo|reels?|shorts?""), ""Social Media"",
  REGEXMATCH(A153&amp;B153, ""(?i)hubspot|pipedrive|stripe|shopify|woocommerce|sales|crm|invoice|order|leads?|recruitment|bamboohr|erpnext""), ""CRM &amp; Sales"",
  REGEXMATCH(A153&amp;B153, ""(?i)gmail|outlook|calendar|slack|"&amp;"discord|telegram|whatsapp|notion|trello|drive|sheets?|meeting|scheduler|appointment|mattermost""), ""Productivity &amp; Communication"",
  REGEXMATCH(A153&amp;B153, ""(?i)github|api|webhook|http|mysql|supabase|mongodb|redis|rss|pr|code review|incident|pagerduty|j"&amp;"ira""), ""Development &amp; Utilities"",
  TRUE, ""Others""
)"),"AI &amp; LLM")</f>
        <v>AI &amp; LLM</v>
      </c>
    </row>
    <row r="154" ht="15.75" customHeight="1">
      <c r="A154" s="14" t="s">
        <v>306</v>
      </c>
      <c r="B154" s="15" t="s">
        <v>307</v>
      </c>
      <c r="C154" s="16" t="s">
        <v>7</v>
      </c>
      <c r="D154" s="12" t="str">
        <f>IFERROR(__xludf.DUMMYFUNCTION("IFS(
  REGEXMATCH(A154&amp;B154, ""(?i)openai|gpt|gemini|anthropic|claude|mistral|cohere|rag|vector|llm|chatbot|ai-powered""), ""AI &amp; LLM"",
  REGEXMATCH(A154&amp;B154, ""(?i)twitter|instagram|facebook|linkedin|youtube|tiktok|threads|bluesky|pinterest|social vid"&amp;"eo|reels?|shorts?""), ""Social Media"",
  REGEXMATCH(A154&amp;B154, ""(?i)hubspot|pipedrive|stripe|shopify|woocommerce|sales|crm|invoice|order|leads?|recruitment|bamboohr|erpnext""), ""CRM &amp; Sales"",
  REGEXMATCH(A154&amp;B154, ""(?i)gmail|outlook|calendar|slack|"&amp;"discord|telegram|whatsapp|notion|trello|drive|sheets?|meeting|scheduler|appointment|mattermost""), ""Productivity &amp; Communication"",
  REGEXMATCH(A154&amp;B154, ""(?i)github|api|webhook|http|mysql|supabase|mongodb|redis|rss|pr|code review|incident|pagerduty|j"&amp;"ira""), ""Development &amp; Utilities"",
  TRUE, ""Others""
)"),"AI &amp; LLM")</f>
        <v>AI &amp; LLM</v>
      </c>
    </row>
    <row r="155" ht="15.75" customHeight="1">
      <c r="A155" s="14" t="s">
        <v>308</v>
      </c>
      <c r="B155" s="15" t="s">
        <v>309</v>
      </c>
      <c r="C155" s="16" t="s">
        <v>7</v>
      </c>
      <c r="D155" s="12" t="str">
        <f>IFERROR(__xludf.DUMMYFUNCTION("IFS(
  REGEXMATCH(A155&amp;B155, ""(?i)openai|gpt|gemini|anthropic|claude|mistral|cohere|rag|vector|llm|chatbot|ai-powered""), ""AI &amp; LLM"",
  REGEXMATCH(A155&amp;B155, ""(?i)twitter|instagram|facebook|linkedin|youtube|tiktok|threads|bluesky|pinterest|social vid"&amp;"eo|reels?|shorts?""), ""Social Media"",
  REGEXMATCH(A155&amp;B155, ""(?i)hubspot|pipedrive|stripe|shopify|woocommerce|sales|crm|invoice|order|leads?|recruitment|bamboohr|erpnext""), ""CRM &amp; Sales"",
  REGEXMATCH(A155&amp;B155, ""(?i)gmail|outlook|calendar|slack|"&amp;"discord|telegram|whatsapp|notion|trello|drive|sheets?|meeting|scheduler|appointment|mattermost""), ""Productivity &amp; Communication"",
  REGEXMATCH(A155&amp;B155, ""(?i)github|api|webhook|http|mysql|supabase|mongodb|redis|rss|pr|code review|incident|pagerduty|j"&amp;"ira""), ""Development &amp; Utilities"",
  TRUE, ""Others""
)"),"AI &amp; LLM")</f>
        <v>AI &amp; LLM</v>
      </c>
    </row>
    <row r="156" ht="15.75" customHeight="1">
      <c r="A156" s="14" t="s">
        <v>310</v>
      </c>
      <c r="B156" s="15" t="s">
        <v>311</v>
      </c>
      <c r="C156" s="16" t="s">
        <v>7</v>
      </c>
      <c r="D156" s="12" t="str">
        <f>IFERROR(__xludf.DUMMYFUNCTION("IFS(
  REGEXMATCH(A156&amp;B156, ""(?i)openai|gpt|gemini|anthropic|claude|mistral|cohere|rag|vector|llm|chatbot|ai-powered""), ""AI &amp; LLM"",
  REGEXMATCH(A156&amp;B156, ""(?i)twitter|instagram|facebook|linkedin|youtube|tiktok|threads|bluesky|pinterest|social vid"&amp;"eo|reels?|shorts?""), ""Social Media"",
  REGEXMATCH(A156&amp;B156, ""(?i)hubspot|pipedrive|stripe|shopify|woocommerce|sales|crm|invoice|order|leads?|recruitment|bamboohr|erpnext""), ""CRM &amp; Sales"",
  REGEXMATCH(A156&amp;B156, ""(?i)gmail|outlook|calendar|slack|"&amp;"discord|telegram|whatsapp|notion|trello|drive|sheets?|meeting|scheduler|appointment|mattermost""), ""Productivity &amp; Communication"",
  REGEXMATCH(A156&amp;B156, ""(?i)github|api|webhook|http|mysql|supabase|mongodb|redis|rss|pr|code review|incident|pagerduty|j"&amp;"ira""), ""Development &amp; Utilities"",
  TRUE, ""Others""
)"),"AI &amp; LLM")</f>
        <v>AI &amp; LLM</v>
      </c>
    </row>
    <row r="157" ht="15.75" customHeight="1">
      <c r="A157" s="14" t="s">
        <v>312</v>
      </c>
      <c r="B157" s="15" t="s">
        <v>313</v>
      </c>
      <c r="C157" s="16" t="s">
        <v>7</v>
      </c>
      <c r="D157" s="12" t="str">
        <f>IFERROR(__xludf.DUMMYFUNCTION("IFS(
  REGEXMATCH(A157&amp;B157, ""(?i)openai|gpt|gemini|anthropic|claude|mistral|cohere|rag|vector|llm|chatbot|ai-powered""), ""AI &amp; LLM"",
  REGEXMATCH(A157&amp;B157, ""(?i)twitter|instagram|facebook|linkedin|youtube|tiktok|threads|bluesky|pinterest|social vid"&amp;"eo|reels?|shorts?""), ""Social Media"",
  REGEXMATCH(A157&amp;B157, ""(?i)hubspot|pipedrive|stripe|shopify|woocommerce|sales|crm|invoice|order|leads?|recruitment|bamboohr|erpnext""), ""CRM &amp; Sales"",
  REGEXMATCH(A157&amp;B157, ""(?i)gmail|outlook|calendar|slack|"&amp;"discord|telegram|whatsapp|notion|trello|drive|sheets?|meeting|scheduler|appointment|mattermost""), ""Productivity &amp; Communication"",
  REGEXMATCH(A157&amp;B157, ""(?i)github|api|webhook|http|mysql|supabase|mongodb|redis|rss|pr|code review|incident|pagerduty|j"&amp;"ira""), ""Development &amp; Utilities"",
  TRUE, ""Others""
)"),"AI &amp; LLM")</f>
        <v>AI &amp; LLM</v>
      </c>
    </row>
    <row r="158" ht="15.75" customHeight="1">
      <c r="A158" s="14" t="s">
        <v>314</v>
      </c>
      <c r="B158" s="15" t="s">
        <v>315</v>
      </c>
      <c r="C158" s="16" t="s">
        <v>7</v>
      </c>
      <c r="D158" s="12" t="str">
        <f>IFERROR(__xludf.DUMMYFUNCTION("IFS(
  REGEXMATCH(A158&amp;B158, ""(?i)openai|gpt|gemini|anthropic|claude|mistral|cohere|rag|vector|llm|chatbot|ai-powered""), ""AI &amp; LLM"",
  REGEXMATCH(A158&amp;B158, ""(?i)twitter|instagram|facebook|linkedin|youtube|tiktok|threads|bluesky|pinterest|social vid"&amp;"eo|reels?|shorts?""), ""Social Media"",
  REGEXMATCH(A158&amp;B158, ""(?i)hubspot|pipedrive|stripe|shopify|woocommerce|sales|crm|invoice|order|leads?|recruitment|bamboohr|erpnext""), ""CRM &amp; Sales"",
  REGEXMATCH(A158&amp;B158, ""(?i)gmail|outlook|calendar|slack|"&amp;"discord|telegram|whatsapp|notion|trello|drive|sheets?|meeting|scheduler|appointment|mattermost""), ""Productivity &amp; Communication"",
  REGEXMATCH(A158&amp;B158, ""(?i)github|api|webhook|http|mysql|supabase|mongodb|redis|rss|pr|code review|incident|pagerduty|j"&amp;"ira""), ""Development &amp; Utilities"",
  TRUE, ""Others""
)"),"AI &amp; LLM")</f>
        <v>AI &amp; LLM</v>
      </c>
    </row>
    <row r="159" ht="15.75" customHeight="1">
      <c r="A159" s="14" t="s">
        <v>316</v>
      </c>
      <c r="B159" s="15" t="s">
        <v>317</v>
      </c>
      <c r="C159" s="16" t="s">
        <v>7</v>
      </c>
      <c r="D159" s="12" t="str">
        <f>IFERROR(__xludf.DUMMYFUNCTION("IFS(
  REGEXMATCH(A159&amp;B159, ""(?i)openai|gpt|gemini|anthropic|claude|mistral|cohere|rag|vector|llm|chatbot|ai-powered""), ""AI &amp; LLM"",
  REGEXMATCH(A159&amp;B159, ""(?i)twitter|instagram|facebook|linkedin|youtube|tiktok|threads|bluesky|pinterest|social vid"&amp;"eo|reels?|shorts?""), ""Social Media"",
  REGEXMATCH(A159&amp;B159, ""(?i)hubspot|pipedrive|stripe|shopify|woocommerce|sales|crm|invoice|order|leads?|recruitment|bamboohr|erpnext""), ""CRM &amp; Sales"",
  REGEXMATCH(A159&amp;B159, ""(?i)gmail|outlook|calendar|slack|"&amp;"discord|telegram|whatsapp|notion|trello|drive|sheets?|meeting|scheduler|appointment|mattermost""), ""Productivity &amp; Communication"",
  REGEXMATCH(A159&amp;B159, ""(?i)github|api|webhook|http|mysql|supabase|mongodb|redis|rss|pr|code review|incident|pagerduty|j"&amp;"ira""), ""Development &amp; Utilities"",
  TRUE, ""Others""
)"),"CRM &amp; Sales")</f>
        <v>CRM &amp; Sales</v>
      </c>
    </row>
    <row r="160" ht="15.75" customHeight="1">
      <c r="A160" s="14" t="s">
        <v>318</v>
      </c>
      <c r="B160" s="15" t="s">
        <v>319</v>
      </c>
      <c r="C160" s="16" t="s">
        <v>7</v>
      </c>
      <c r="D160" s="12" t="str">
        <f>IFERROR(__xludf.DUMMYFUNCTION("IFS(
  REGEXMATCH(A160&amp;B160, ""(?i)openai|gpt|gemini|anthropic|claude|mistral|cohere|rag|vector|llm|chatbot|ai-powered""), ""AI &amp; LLM"",
  REGEXMATCH(A160&amp;B160, ""(?i)twitter|instagram|facebook|linkedin|youtube|tiktok|threads|bluesky|pinterest|social vid"&amp;"eo|reels?|shorts?""), ""Social Media"",
  REGEXMATCH(A160&amp;B160, ""(?i)hubspot|pipedrive|stripe|shopify|woocommerce|sales|crm|invoice|order|leads?|recruitment|bamboohr|erpnext""), ""CRM &amp; Sales"",
  REGEXMATCH(A160&amp;B160, ""(?i)gmail|outlook|calendar|slack|"&amp;"discord|telegram|whatsapp|notion|trello|drive|sheets?|meeting|scheduler|appointment|mattermost""), ""Productivity &amp; Communication"",
  REGEXMATCH(A160&amp;B160, ""(?i)github|api|webhook|http|mysql|supabase|mongodb|redis|rss|pr|code review|incident|pagerduty|j"&amp;"ira""), ""Development &amp; Utilities"",
  TRUE, ""Others""
)"),"AI &amp; LLM")</f>
        <v>AI &amp; LLM</v>
      </c>
    </row>
    <row r="161" ht="15.75" customHeight="1">
      <c r="A161" s="14" t="s">
        <v>320</v>
      </c>
      <c r="B161" s="15" t="s">
        <v>321</v>
      </c>
      <c r="C161" s="16" t="s">
        <v>7</v>
      </c>
      <c r="D161" s="12" t="str">
        <f>IFERROR(__xludf.DUMMYFUNCTION("IFS(
  REGEXMATCH(A161&amp;B161, ""(?i)openai|gpt|gemini|anthropic|claude|mistral|cohere|rag|vector|llm|chatbot|ai-powered""), ""AI &amp; LLM"",
  REGEXMATCH(A161&amp;B161, ""(?i)twitter|instagram|facebook|linkedin|youtube|tiktok|threads|bluesky|pinterest|social vid"&amp;"eo|reels?|shorts?""), ""Social Media"",
  REGEXMATCH(A161&amp;B161, ""(?i)hubspot|pipedrive|stripe|shopify|woocommerce|sales|crm|invoice|order|leads?|recruitment|bamboohr|erpnext""), ""CRM &amp; Sales"",
  REGEXMATCH(A161&amp;B161, ""(?i)gmail|outlook|calendar|slack|"&amp;"discord|telegram|whatsapp|notion|trello|drive|sheets?|meeting|scheduler|appointment|mattermost""), ""Productivity &amp; Communication"",
  REGEXMATCH(A161&amp;B161, ""(?i)github|api|webhook|http|mysql|supabase|mongodb|redis|rss|pr|code review|incident|pagerduty|j"&amp;"ira""), ""Development &amp; Utilities"",
  TRUE, ""Others""
)"),"AI &amp; LLM")</f>
        <v>AI &amp; LLM</v>
      </c>
    </row>
    <row r="162" ht="15.75" customHeight="1">
      <c r="A162" s="14" t="s">
        <v>322</v>
      </c>
      <c r="B162" s="15" t="s">
        <v>323</v>
      </c>
      <c r="C162" s="16" t="s">
        <v>7</v>
      </c>
      <c r="D162" s="12" t="str">
        <f>IFERROR(__xludf.DUMMYFUNCTION("IFS(
  REGEXMATCH(A162&amp;B162, ""(?i)openai|gpt|gemini|anthropic|claude|mistral|cohere|rag|vector|llm|chatbot|ai-powered""), ""AI &amp; LLM"",
  REGEXMATCH(A162&amp;B162, ""(?i)twitter|instagram|facebook|linkedin|youtube|tiktok|threads|bluesky|pinterest|social vid"&amp;"eo|reels?|shorts?""), ""Social Media"",
  REGEXMATCH(A162&amp;B162, ""(?i)hubspot|pipedrive|stripe|shopify|woocommerce|sales|crm|invoice|order|leads?|recruitment|bamboohr|erpnext""), ""CRM &amp; Sales"",
  REGEXMATCH(A162&amp;B162, ""(?i)gmail|outlook|calendar|slack|"&amp;"discord|telegram|whatsapp|notion|trello|drive|sheets?|meeting|scheduler|appointment|mattermost""), ""Productivity &amp; Communication"",
  REGEXMATCH(A162&amp;B162, ""(?i)github|api|webhook|http|mysql|supabase|mongodb|redis|rss|pr|code review|incident|pagerduty|j"&amp;"ira""), ""Development &amp; Utilities"",
  TRUE, ""Others""
)"),"AI &amp; LLM")</f>
        <v>AI &amp; LLM</v>
      </c>
    </row>
    <row r="163" ht="15.75" customHeight="1">
      <c r="A163" s="14" t="s">
        <v>324</v>
      </c>
      <c r="B163" s="15" t="s">
        <v>325</v>
      </c>
      <c r="C163" s="16" t="s">
        <v>7</v>
      </c>
      <c r="D163" s="12" t="str">
        <f>IFERROR(__xludf.DUMMYFUNCTION("IFS(
  REGEXMATCH(A163&amp;B163, ""(?i)openai|gpt|gemini|anthropic|claude|mistral|cohere|rag|vector|llm|chatbot|ai-powered""), ""AI &amp; LLM"",
  REGEXMATCH(A163&amp;B163, ""(?i)twitter|instagram|facebook|linkedin|youtube|tiktok|threads|bluesky|pinterest|social vid"&amp;"eo|reels?|shorts?""), ""Social Media"",
  REGEXMATCH(A163&amp;B163, ""(?i)hubspot|pipedrive|stripe|shopify|woocommerce|sales|crm|invoice|order|leads?|recruitment|bamboohr|erpnext""), ""CRM &amp; Sales"",
  REGEXMATCH(A163&amp;B163, ""(?i)gmail|outlook|calendar|slack|"&amp;"discord|telegram|whatsapp|notion|trello|drive|sheets?|meeting|scheduler|appointment|mattermost""), ""Productivity &amp; Communication"",
  REGEXMATCH(A163&amp;B163, ""(?i)github|api|webhook|http|mysql|supabase|mongodb|redis|rss|pr|code review|incident|pagerduty|j"&amp;"ira""), ""Development &amp; Utilities"",
  TRUE, ""Others""
)"),"AI &amp; LLM")</f>
        <v>AI &amp; LLM</v>
      </c>
    </row>
    <row r="164" ht="15.75" customHeight="1">
      <c r="A164" s="14" t="s">
        <v>326</v>
      </c>
      <c r="B164" s="15" t="s">
        <v>327</v>
      </c>
      <c r="C164" s="16" t="s">
        <v>7</v>
      </c>
      <c r="D164" s="12" t="str">
        <f>IFERROR(__xludf.DUMMYFUNCTION("IFS(
  REGEXMATCH(A164&amp;B164, ""(?i)openai|gpt|gemini|anthropic|claude|mistral|cohere|rag|vector|llm|chatbot|ai-powered""), ""AI &amp; LLM"",
  REGEXMATCH(A164&amp;B164, ""(?i)twitter|instagram|facebook|linkedin|youtube|tiktok|threads|bluesky|pinterest|social vid"&amp;"eo|reels?|shorts?""), ""Social Media"",
  REGEXMATCH(A164&amp;B164, ""(?i)hubspot|pipedrive|stripe|shopify|woocommerce|sales|crm|invoice|order|leads?|recruitment|bamboohr|erpnext""), ""CRM &amp; Sales"",
  REGEXMATCH(A164&amp;B164, ""(?i)gmail|outlook|calendar|slack|"&amp;"discord|telegram|whatsapp|notion|trello|drive|sheets?|meeting|scheduler|appointment|mattermost""), ""Productivity &amp; Communication"",
  REGEXMATCH(A164&amp;B164, ""(?i)github|api|webhook|http|mysql|supabase|mongodb|redis|rss|pr|code review|incident|pagerduty|j"&amp;"ira""), ""Development &amp; Utilities"",
  TRUE, ""Others""
)"),"AI &amp; LLM")</f>
        <v>AI &amp; LLM</v>
      </c>
    </row>
    <row r="165" ht="15.75" customHeight="1">
      <c r="A165" s="14" t="s">
        <v>328</v>
      </c>
      <c r="B165" s="15" t="s">
        <v>329</v>
      </c>
      <c r="C165" s="16" t="s">
        <v>7</v>
      </c>
      <c r="D165" s="12" t="str">
        <f>IFERROR(__xludf.DUMMYFUNCTION("IFS(
  REGEXMATCH(A165&amp;B165, ""(?i)openai|gpt|gemini|anthropic|claude|mistral|cohere|rag|vector|llm|chatbot|ai-powered""), ""AI &amp; LLM"",
  REGEXMATCH(A165&amp;B165, ""(?i)twitter|instagram|facebook|linkedin|youtube|tiktok|threads|bluesky|pinterest|social vid"&amp;"eo|reels?|shorts?""), ""Social Media"",
  REGEXMATCH(A165&amp;B165, ""(?i)hubspot|pipedrive|stripe|shopify|woocommerce|sales|crm|invoice|order|leads?|recruitment|bamboohr|erpnext""), ""CRM &amp; Sales"",
  REGEXMATCH(A165&amp;B165, ""(?i)gmail|outlook|calendar|slack|"&amp;"discord|telegram|whatsapp|notion|trello|drive|sheets?|meeting|scheduler|appointment|mattermost""), ""Productivity &amp; Communication"",
  REGEXMATCH(A165&amp;B165, ""(?i)github|api|webhook|http|mysql|supabase|mongodb|redis|rss|pr|code review|incident|pagerduty|j"&amp;"ira""), ""Development &amp; Utilities"",
  TRUE, ""Others""
)"),"AI &amp; LLM")</f>
        <v>AI &amp; LLM</v>
      </c>
    </row>
    <row r="166" ht="15.75" customHeight="1">
      <c r="A166" s="14" t="s">
        <v>330</v>
      </c>
      <c r="B166" s="15" t="s">
        <v>331</v>
      </c>
      <c r="C166" s="16" t="s">
        <v>7</v>
      </c>
      <c r="D166" s="12" t="str">
        <f>IFERROR(__xludf.DUMMYFUNCTION("IFS(
  REGEXMATCH(A166&amp;B166, ""(?i)openai|gpt|gemini|anthropic|claude|mistral|cohere|rag|vector|llm|chatbot|ai-powered""), ""AI &amp; LLM"",
  REGEXMATCH(A166&amp;B166, ""(?i)twitter|instagram|facebook|linkedin|youtube|tiktok|threads|bluesky|pinterest|social vid"&amp;"eo|reels?|shorts?""), ""Social Media"",
  REGEXMATCH(A166&amp;B166, ""(?i)hubspot|pipedrive|stripe|shopify|woocommerce|sales|crm|invoice|order|leads?|recruitment|bamboohr|erpnext""), ""CRM &amp; Sales"",
  REGEXMATCH(A166&amp;B166, ""(?i)gmail|outlook|calendar|slack|"&amp;"discord|telegram|whatsapp|notion|trello|drive|sheets?|meeting|scheduler|appointment|mattermost""), ""Productivity &amp; Communication"",
  REGEXMATCH(A166&amp;B166, ""(?i)github|api|webhook|http|mysql|supabase|mongodb|redis|rss|pr|code review|incident|pagerduty|j"&amp;"ira""), ""Development &amp; Utilities"",
  TRUE, ""Others""
)"),"CRM &amp; Sales")</f>
        <v>CRM &amp; Sales</v>
      </c>
    </row>
    <row r="167" ht="15.75" customHeight="1">
      <c r="A167" s="14" t="s">
        <v>332</v>
      </c>
      <c r="B167" s="15" t="s">
        <v>333</v>
      </c>
      <c r="C167" s="16" t="s">
        <v>7</v>
      </c>
      <c r="D167" s="12" t="str">
        <f>IFERROR(__xludf.DUMMYFUNCTION("IFS(
  REGEXMATCH(A167&amp;B167, ""(?i)openai|gpt|gemini|anthropic|claude|mistral|cohere|rag|vector|llm|chatbot|ai-powered""), ""AI &amp; LLM"",
  REGEXMATCH(A167&amp;B167, ""(?i)twitter|instagram|facebook|linkedin|youtube|tiktok|threads|bluesky|pinterest|social vid"&amp;"eo|reels?|shorts?""), ""Social Media"",
  REGEXMATCH(A167&amp;B167, ""(?i)hubspot|pipedrive|stripe|shopify|woocommerce|sales|crm|invoice|order|leads?|recruitment|bamboohr|erpnext""), ""CRM &amp; Sales"",
  REGEXMATCH(A167&amp;B167, ""(?i)gmail|outlook|calendar|slack|"&amp;"discord|telegram|whatsapp|notion|trello|drive|sheets?|meeting|scheduler|appointment|mattermost""), ""Productivity &amp; Communication"",
  REGEXMATCH(A167&amp;B167, ""(?i)github|api|webhook|http|mysql|supabase|mongodb|redis|rss|pr|code review|incident|pagerduty|j"&amp;"ira""), ""Development &amp; Utilities"",
  TRUE, ""Others""
)"),"AI &amp; LLM")</f>
        <v>AI &amp; LLM</v>
      </c>
    </row>
    <row r="168" ht="15.75" customHeight="1">
      <c r="A168" s="14" t="s">
        <v>334</v>
      </c>
      <c r="B168" s="15" t="s">
        <v>335</v>
      </c>
      <c r="C168" s="16" t="s">
        <v>7</v>
      </c>
      <c r="D168" s="12" t="str">
        <f>IFERROR(__xludf.DUMMYFUNCTION("IFS(
  REGEXMATCH(A168&amp;B168, ""(?i)openai|gpt|gemini|anthropic|claude|mistral|cohere|rag|vector|llm|chatbot|ai-powered""), ""AI &amp; LLM"",
  REGEXMATCH(A168&amp;B168, ""(?i)twitter|instagram|facebook|linkedin|youtube|tiktok|threads|bluesky|pinterest|social vid"&amp;"eo|reels?|shorts?""), ""Social Media"",
  REGEXMATCH(A168&amp;B168, ""(?i)hubspot|pipedrive|stripe|shopify|woocommerce|sales|crm|invoice|order|leads?|recruitment|bamboohr|erpnext""), ""CRM &amp; Sales"",
  REGEXMATCH(A168&amp;B168, ""(?i)gmail|outlook|calendar|slack|"&amp;"discord|telegram|whatsapp|notion|trello|drive|sheets?|meeting|scheduler|appointment|mattermost""), ""Productivity &amp; Communication"",
  REGEXMATCH(A168&amp;B168, ""(?i)github|api|webhook|http|mysql|supabase|mongodb|redis|rss|pr|code review|incident|pagerduty|j"&amp;"ira""), ""Development &amp; Utilities"",
  TRUE, ""Others""
)"),"AI &amp; LLM")</f>
        <v>AI &amp; LLM</v>
      </c>
    </row>
    <row r="169" ht="15.75" customHeight="1">
      <c r="A169" s="14" t="s">
        <v>336</v>
      </c>
      <c r="B169" s="15" t="s">
        <v>337</v>
      </c>
      <c r="C169" s="16" t="s">
        <v>7</v>
      </c>
      <c r="D169" s="12" t="str">
        <f>IFERROR(__xludf.DUMMYFUNCTION("IFS(
  REGEXMATCH(A169&amp;B169, ""(?i)openai|gpt|gemini|anthropic|claude|mistral|cohere|rag|vector|llm|chatbot|ai-powered""), ""AI &amp; LLM"",
  REGEXMATCH(A169&amp;B169, ""(?i)twitter|instagram|facebook|linkedin|youtube|tiktok|threads|bluesky|pinterest|social vid"&amp;"eo|reels?|shorts?""), ""Social Media"",
  REGEXMATCH(A169&amp;B169, ""(?i)hubspot|pipedrive|stripe|shopify|woocommerce|sales|crm|invoice|order|leads?|recruitment|bamboohr|erpnext""), ""CRM &amp; Sales"",
  REGEXMATCH(A169&amp;B169, ""(?i)gmail|outlook|calendar|slack|"&amp;"discord|telegram|whatsapp|notion|trello|drive|sheets?|meeting|scheduler|appointment|mattermost""), ""Productivity &amp; Communication"",
  REGEXMATCH(A169&amp;B169, ""(?i)github|api|webhook|http|mysql|supabase|mongodb|redis|rss|pr|code review|incident|pagerduty|j"&amp;"ira""), ""Development &amp; Utilities"",
  TRUE, ""Others""
)"),"AI &amp; LLM")</f>
        <v>AI &amp; LLM</v>
      </c>
    </row>
    <row r="170" ht="15.75" customHeight="1">
      <c r="A170" s="14" t="s">
        <v>338</v>
      </c>
      <c r="B170" s="15" t="s">
        <v>339</v>
      </c>
      <c r="C170" s="16" t="s">
        <v>7</v>
      </c>
      <c r="D170" s="12" t="str">
        <f>IFERROR(__xludf.DUMMYFUNCTION("IFS(
  REGEXMATCH(A170&amp;B170, ""(?i)openai|gpt|gemini|anthropic|claude|mistral|cohere|rag|vector|llm|chatbot|ai-powered""), ""AI &amp; LLM"",
  REGEXMATCH(A170&amp;B170, ""(?i)twitter|instagram|facebook|linkedin|youtube|tiktok|threads|bluesky|pinterest|social vid"&amp;"eo|reels?|shorts?""), ""Social Media"",
  REGEXMATCH(A170&amp;B170, ""(?i)hubspot|pipedrive|stripe|shopify|woocommerce|sales|crm|invoice|order|leads?|recruitment|bamboohr|erpnext""), ""CRM &amp; Sales"",
  REGEXMATCH(A170&amp;B170, ""(?i)gmail|outlook|calendar|slack|"&amp;"discord|telegram|whatsapp|notion|trello|drive|sheets?|meeting|scheduler|appointment|mattermost""), ""Productivity &amp; Communication"",
  REGEXMATCH(A170&amp;B170, ""(?i)github|api|webhook|http|mysql|supabase|mongodb|redis|rss|pr|code review|incident|pagerduty|j"&amp;"ira""), ""Development &amp; Utilities"",
  TRUE, ""Others""
)"),"AI &amp; LLM")</f>
        <v>AI &amp; LLM</v>
      </c>
    </row>
    <row r="171" ht="15.75" customHeight="1">
      <c r="A171" s="14" t="s">
        <v>340</v>
      </c>
      <c r="B171" s="15" t="s">
        <v>341</v>
      </c>
      <c r="C171" s="16" t="s">
        <v>7</v>
      </c>
      <c r="D171" s="12" t="str">
        <f>IFERROR(__xludf.DUMMYFUNCTION("IFS(
  REGEXMATCH(A171&amp;B171, ""(?i)openai|gpt|gemini|anthropic|claude|mistral|cohere|rag|vector|llm|chatbot|ai-powered""), ""AI &amp; LLM"",
  REGEXMATCH(A171&amp;B171, ""(?i)twitter|instagram|facebook|linkedin|youtube|tiktok|threads|bluesky|pinterest|social vid"&amp;"eo|reels?|shorts?""), ""Social Media"",
  REGEXMATCH(A171&amp;B171, ""(?i)hubspot|pipedrive|stripe|shopify|woocommerce|sales|crm|invoice|order|leads?|recruitment|bamboohr|erpnext""), ""CRM &amp; Sales"",
  REGEXMATCH(A171&amp;B171, ""(?i)gmail|outlook|calendar|slack|"&amp;"discord|telegram|whatsapp|notion|trello|drive|sheets?|meeting|scheduler|appointment|mattermost""), ""Productivity &amp; Communication"",
  REGEXMATCH(A171&amp;B171, ""(?i)github|api|webhook|http|mysql|supabase|mongodb|redis|rss|pr|code review|incident|pagerduty|j"&amp;"ira""), ""Development &amp; Utilities"",
  TRUE, ""Others""
)"),"Productivity &amp; Communication")</f>
        <v>Productivity &amp; Communication</v>
      </c>
    </row>
    <row r="172" ht="15.75" customHeight="1">
      <c r="A172" s="14" t="s">
        <v>342</v>
      </c>
      <c r="B172" s="15" t="s">
        <v>343</v>
      </c>
      <c r="C172" s="16" t="s">
        <v>7</v>
      </c>
      <c r="D172" s="12" t="str">
        <f>IFERROR(__xludf.DUMMYFUNCTION("IFS(
  REGEXMATCH(A172&amp;B172, ""(?i)openai|gpt|gemini|anthropic|claude|mistral|cohere|rag|vector|llm|chatbot|ai-powered""), ""AI &amp; LLM"",
  REGEXMATCH(A172&amp;B172, ""(?i)twitter|instagram|facebook|linkedin|youtube|tiktok|threads|bluesky|pinterest|social vid"&amp;"eo|reels?|shorts?""), ""Social Media"",
  REGEXMATCH(A172&amp;B172, ""(?i)hubspot|pipedrive|stripe|shopify|woocommerce|sales|crm|invoice|order|leads?|recruitment|bamboohr|erpnext""), ""CRM &amp; Sales"",
  REGEXMATCH(A172&amp;B172, ""(?i)gmail|outlook|calendar|slack|"&amp;"discord|telegram|whatsapp|notion|trello|drive|sheets?|meeting|scheduler|appointment|mattermost""), ""Productivity &amp; Communication"",
  REGEXMATCH(A172&amp;B172, ""(?i)github|api|webhook|http|mysql|supabase|mongodb|redis|rss|pr|code review|incident|pagerduty|j"&amp;"ira""), ""Development &amp; Utilities"",
  TRUE, ""Others""
)"),"AI &amp; LLM")</f>
        <v>AI &amp; LLM</v>
      </c>
    </row>
    <row r="173" ht="15.75" customHeight="1">
      <c r="A173" s="14" t="s">
        <v>344</v>
      </c>
      <c r="B173" s="15" t="s">
        <v>345</v>
      </c>
      <c r="C173" s="16" t="s">
        <v>7</v>
      </c>
      <c r="D173" s="12" t="str">
        <f>IFERROR(__xludf.DUMMYFUNCTION("IFS(
  REGEXMATCH(A173&amp;B173, ""(?i)openai|gpt|gemini|anthropic|claude|mistral|cohere|rag|vector|llm|chatbot|ai-powered""), ""AI &amp; LLM"",
  REGEXMATCH(A173&amp;B173, ""(?i)twitter|instagram|facebook|linkedin|youtube|tiktok|threads|bluesky|pinterest|social vid"&amp;"eo|reels?|shorts?""), ""Social Media"",
  REGEXMATCH(A173&amp;B173, ""(?i)hubspot|pipedrive|stripe|shopify|woocommerce|sales|crm|invoice|order|leads?|recruitment|bamboohr|erpnext""), ""CRM &amp; Sales"",
  REGEXMATCH(A173&amp;B173, ""(?i)gmail|outlook|calendar|slack|"&amp;"discord|telegram|whatsapp|notion|trello|drive|sheets?|meeting|scheduler|appointment|mattermost""), ""Productivity &amp; Communication"",
  REGEXMATCH(A173&amp;B173, ""(?i)github|api|webhook|http|mysql|supabase|mongodb|redis|rss|pr|code review|incident|pagerduty|j"&amp;"ira""), ""Development &amp; Utilities"",
  TRUE, ""Others""
)"),"AI &amp; LLM")</f>
        <v>AI &amp; LLM</v>
      </c>
    </row>
    <row r="174" ht="15.75" customHeight="1">
      <c r="A174" s="14" t="s">
        <v>346</v>
      </c>
      <c r="B174" s="15" t="s">
        <v>347</v>
      </c>
      <c r="C174" s="16" t="s">
        <v>7</v>
      </c>
      <c r="D174" s="12" t="str">
        <f>IFERROR(__xludf.DUMMYFUNCTION("IFS(
  REGEXMATCH(A174&amp;B174, ""(?i)openai|gpt|gemini|anthropic|claude|mistral|cohere|rag|vector|llm|chatbot|ai-powered""), ""AI &amp; LLM"",
  REGEXMATCH(A174&amp;B174, ""(?i)twitter|instagram|facebook|linkedin|youtube|tiktok|threads|bluesky|pinterest|social vid"&amp;"eo|reels?|shorts?""), ""Social Media"",
  REGEXMATCH(A174&amp;B174, ""(?i)hubspot|pipedrive|stripe|shopify|woocommerce|sales|crm|invoice|order|leads?|recruitment|bamboohr|erpnext""), ""CRM &amp; Sales"",
  REGEXMATCH(A174&amp;B174, ""(?i)gmail|outlook|calendar|slack|"&amp;"discord|telegram|whatsapp|notion|trello|drive|sheets?|meeting|scheduler|appointment|mattermost""), ""Productivity &amp; Communication"",
  REGEXMATCH(A174&amp;B174, ""(?i)github|api|webhook|http|mysql|supabase|mongodb|redis|rss|pr|code review|incident|pagerduty|j"&amp;"ira""), ""Development &amp; Utilities"",
  TRUE, ""Others""
)"),"AI &amp; LLM")</f>
        <v>AI &amp; LLM</v>
      </c>
    </row>
    <row r="175" ht="15.75" customHeight="1">
      <c r="A175" s="14" t="s">
        <v>348</v>
      </c>
      <c r="B175" s="15" t="s">
        <v>349</v>
      </c>
      <c r="C175" s="16" t="s">
        <v>7</v>
      </c>
      <c r="D175" s="12" t="str">
        <f>IFERROR(__xludf.DUMMYFUNCTION("IFS(
  REGEXMATCH(A175&amp;B175, ""(?i)openai|gpt|gemini|anthropic|claude|mistral|cohere|rag|vector|llm|chatbot|ai-powered""), ""AI &amp; LLM"",
  REGEXMATCH(A175&amp;B175, ""(?i)twitter|instagram|facebook|linkedin|youtube|tiktok|threads|bluesky|pinterest|social vid"&amp;"eo|reels?|shorts?""), ""Social Media"",
  REGEXMATCH(A175&amp;B175, ""(?i)hubspot|pipedrive|stripe|shopify|woocommerce|sales|crm|invoice|order|leads?|recruitment|bamboohr|erpnext""), ""CRM &amp; Sales"",
  REGEXMATCH(A175&amp;B175, ""(?i)gmail|outlook|calendar|slack|"&amp;"discord|telegram|whatsapp|notion|trello|drive|sheets?|meeting|scheduler|appointment|mattermost""), ""Productivity &amp; Communication"",
  REGEXMATCH(A175&amp;B175, ""(?i)github|api|webhook|http|mysql|supabase|mongodb|redis|rss|pr|code review|incident|pagerduty|j"&amp;"ira""), ""Development &amp; Utilities"",
  TRUE, ""Others""
)"),"AI &amp; LLM")</f>
        <v>AI &amp; LLM</v>
      </c>
    </row>
    <row r="176" ht="15.75" customHeight="1">
      <c r="A176" s="14" t="s">
        <v>350</v>
      </c>
      <c r="B176" s="15" t="s">
        <v>351</v>
      </c>
      <c r="C176" s="16" t="s">
        <v>7</v>
      </c>
      <c r="D176" s="12" t="str">
        <f>IFERROR(__xludf.DUMMYFUNCTION("IFS(
  REGEXMATCH(A176&amp;B176, ""(?i)openai|gpt|gemini|anthropic|claude|mistral|cohere|rag|vector|llm|chatbot|ai-powered""), ""AI &amp; LLM"",
  REGEXMATCH(A176&amp;B176, ""(?i)twitter|instagram|facebook|linkedin|youtube|tiktok|threads|bluesky|pinterest|social vid"&amp;"eo|reels?|shorts?""), ""Social Media"",
  REGEXMATCH(A176&amp;B176, ""(?i)hubspot|pipedrive|stripe|shopify|woocommerce|sales|crm|invoice|order|leads?|recruitment|bamboohr|erpnext""), ""CRM &amp; Sales"",
  REGEXMATCH(A176&amp;B176, ""(?i)gmail|outlook|calendar|slack|"&amp;"discord|telegram|whatsapp|notion|trello|drive|sheets?|meeting|scheduler|appointment|mattermost""), ""Productivity &amp; Communication"",
  REGEXMATCH(A176&amp;B176, ""(?i)github|api|webhook|http|mysql|supabase|mongodb|redis|rss|pr|code review|incident|pagerduty|j"&amp;"ira""), ""Development &amp; Utilities"",
  TRUE, ""Others""
)"),"AI &amp; LLM")</f>
        <v>AI &amp; LLM</v>
      </c>
    </row>
    <row r="177" ht="15.75" customHeight="1">
      <c r="A177" s="14" t="s">
        <v>352</v>
      </c>
      <c r="B177" s="15" t="s">
        <v>353</v>
      </c>
      <c r="C177" s="16" t="s">
        <v>7</v>
      </c>
      <c r="D177" s="12" t="str">
        <f>IFERROR(__xludf.DUMMYFUNCTION("IFS(
  REGEXMATCH(A177&amp;B177, ""(?i)openai|gpt|gemini|anthropic|claude|mistral|cohere|rag|vector|llm|chatbot|ai-powered""), ""AI &amp; LLM"",
  REGEXMATCH(A177&amp;B177, ""(?i)twitter|instagram|facebook|linkedin|youtube|tiktok|threads|bluesky|pinterest|social vid"&amp;"eo|reels?|shorts?""), ""Social Media"",
  REGEXMATCH(A177&amp;B177, ""(?i)hubspot|pipedrive|stripe|shopify|woocommerce|sales|crm|invoice|order|leads?|recruitment|bamboohr|erpnext""), ""CRM &amp; Sales"",
  REGEXMATCH(A177&amp;B177, ""(?i)gmail|outlook|calendar|slack|"&amp;"discord|telegram|whatsapp|notion|trello|drive|sheets?|meeting|scheduler|appointment|mattermost""), ""Productivity &amp; Communication"",
  REGEXMATCH(A177&amp;B177, ""(?i)github|api|webhook|http|mysql|supabase|mongodb|redis|rss|pr|code review|incident|pagerduty|j"&amp;"ira""), ""Development &amp; Utilities"",
  TRUE, ""Others""
)"),"AI &amp; LLM")</f>
        <v>AI &amp; LLM</v>
      </c>
    </row>
    <row r="178" ht="15.75" customHeight="1">
      <c r="A178" s="14" t="s">
        <v>354</v>
      </c>
      <c r="B178" s="15" t="s">
        <v>355</v>
      </c>
      <c r="C178" s="16" t="s">
        <v>7</v>
      </c>
      <c r="D178" s="12" t="str">
        <f>IFERROR(__xludf.DUMMYFUNCTION("IFS(
  REGEXMATCH(A178&amp;B178, ""(?i)openai|gpt|gemini|anthropic|claude|mistral|cohere|rag|vector|llm|chatbot|ai-powered""), ""AI &amp; LLM"",
  REGEXMATCH(A178&amp;B178, ""(?i)twitter|instagram|facebook|linkedin|youtube|tiktok|threads|bluesky|pinterest|social vid"&amp;"eo|reels?|shorts?""), ""Social Media"",
  REGEXMATCH(A178&amp;B178, ""(?i)hubspot|pipedrive|stripe|shopify|woocommerce|sales|crm|invoice|order|leads?|recruitment|bamboohr|erpnext""), ""CRM &amp; Sales"",
  REGEXMATCH(A178&amp;B178, ""(?i)gmail|outlook|calendar|slack|"&amp;"discord|telegram|whatsapp|notion|trello|drive|sheets?|meeting|scheduler|appointment|mattermost""), ""Productivity &amp; Communication"",
  REGEXMATCH(A178&amp;B178, ""(?i)github|api|webhook|http|mysql|supabase|mongodb|redis|rss|pr|code review|incident|pagerduty|j"&amp;"ira""), ""Development &amp; Utilities"",
  TRUE, ""Others""
)"),"AI &amp; LLM")</f>
        <v>AI &amp; LLM</v>
      </c>
    </row>
    <row r="179" ht="15.75" customHeight="1">
      <c r="A179" s="14" t="s">
        <v>356</v>
      </c>
      <c r="B179" s="15" t="s">
        <v>357</v>
      </c>
      <c r="C179" s="16" t="s">
        <v>7</v>
      </c>
      <c r="D179" s="12" t="str">
        <f>IFERROR(__xludf.DUMMYFUNCTION("IFS(
  REGEXMATCH(A179&amp;B179, ""(?i)openai|gpt|gemini|anthropic|claude|mistral|cohere|rag|vector|llm|chatbot|ai-powered""), ""AI &amp; LLM"",
  REGEXMATCH(A179&amp;B179, ""(?i)twitter|instagram|facebook|linkedin|youtube|tiktok|threads|bluesky|pinterest|social vid"&amp;"eo|reels?|shorts?""), ""Social Media"",
  REGEXMATCH(A179&amp;B179, ""(?i)hubspot|pipedrive|stripe|shopify|woocommerce|sales|crm|invoice|order|leads?|recruitment|bamboohr|erpnext""), ""CRM &amp; Sales"",
  REGEXMATCH(A179&amp;B179, ""(?i)gmail|outlook|calendar|slack|"&amp;"discord|telegram|whatsapp|notion|trello|drive|sheets?|meeting|scheduler|appointment|mattermost""), ""Productivity &amp; Communication"",
  REGEXMATCH(A179&amp;B179, ""(?i)github|api|webhook|http|mysql|supabase|mongodb|redis|rss|pr|code review|incident|pagerduty|j"&amp;"ira""), ""Development &amp; Utilities"",
  TRUE, ""Others""
)"),"AI &amp; LLM")</f>
        <v>AI &amp; LLM</v>
      </c>
    </row>
    <row r="180" ht="15.75" customHeight="1">
      <c r="A180" s="14" t="s">
        <v>358</v>
      </c>
      <c r="B180" s="15" t="s">
        <v>359</v>
      </c>
      <c r="C180" s="16" t="s">
        <v>7</v>
      </c>
      <c r="D180" s="12" t="str">
        <f>IFERROR(__xludf.DUMMYFUNCTION("IFS(
  REGEXMATCH(A180&amp;B180, ""(?i)openai|gpt|gemini|anthropic|claude|mistral|cohere|rag|vector|llm|chatbot|ai-powered""), ""AI &amp; LLM"",
  REGEXMATCH(A180&amp;B180, ""(?i)twitter|instagram|facebook|linkedin|youtube|tiktok|threads|bluesky|pinterest|social vid"&amp;"eo|reels?|shorts?""), ""Social Media"",
  REGEXMATCH(A180&amp;B180, ""(?i)hubspot|pipedrive|stripe|shopify|woocommerce|sales|crm|invoice|order|leads?|recruitment|bamboohr|erpnext""), ""CRM &amp; Sales"",
  REGEXMATCH(A180&amp;B180, ""(?i)gmail|outlook|calendar|slack|"&amp;"discord|telegram|whatsapp|notion|trello|drive|sheets?|meeting|scheduler|appointment|mattermost""), ""Productivity &amp; Communication"",
  REGEXMATCH(A180&amp;B180, ""(?i)github|api|webhook|http|mysql|supabase|mongodb|redis|rss|pr|code review|incident|pagerduty|j"&amp;"ira""), ""Development &amp; Utilities"",
  TRUE, ""Others""
)"),"AI &amp; LLM")</f>
        <v>AI &amp; LLM</v>
      </c>
    </row>
    <row r="181" ht="15.75" customHeight="1">
      <c r="A181" s="14" t="s">
        <v>360</v>
      </c>
      <c r="B181" s="15" t="s">
        <v>361</v>
      </c>
      <c r="C181" s="16" t="s">
        <v>7</v>
      </c>
      <c r="D181" s="12" t="str">
        <f>IFERROR(__xludf.DUMMYFUNCTION("IFS(
  REGEXMATCH(A181&amp;B181, ""(?i)openai|gpt|gemini|anthropic|claude|mistral|cohere|rag|vector|llm|chatbot|ai-powered""), ""AI &amp; LLM"",
  REGEXMATCH(A181&amp;B181, ""(?i)twitter|instagram|facebook|linkedin|youtube|tiktok|threads|bluesky|pinterest|social vid"&amp;"eo|reels?|shorts?""), ""Social Media"",
  REGEXMATCH(A181&amp;B181, ""(?i)hubspot|pipedrive|stripe|shopify|woocommerce|sales|crm|invoice|order|leads?|recruitment|bamboohr|erpnext""), ""CRM &amp; Sales"",
  REGEXMATCH(A181&amp;B181, ""(?i)gmail|outlook|calendar|slack|"&amp;"discord|telegram|whatsapp|notion|trello|drive|sheets?|meeting|scheduler|appointment|mattermost""), ""Productivity &amp; Communication"",
  REGEXMATCH(A181&amp;B181, ""(?i)github|api|webhook|http|mysql|supabase|mongodb|redis|rss|pr|code review|incident|pagerduty|j"&amp;"ira""), ""Development &amp; Utilities"",
  TRUE, ""Others""
)"),"AI &amp; LLM")</f>
        <v>AI &amp; LLM</v>
      </c>
    </row>
    <row r="182" ht="15.75" customHeight="1">
      <c r="A182" s="14" t="s">
        <v>362</v>
      </c>
      <c r="B182" s="15" t="s">
        <v>363</v>
      </c>
      <c r="C182" s="16" t="s">
        <v>7</v>
      </c>
      <c r="D182" s="12" t="str">
        <f>IFERROR(__xludf.DUMMYFUNCTION("IFS(
  REGEXMATCH(A182&amp;B182, ""(?i)openai|gpt|gemini|anthropic|claude|mistral|cohere|rag|vector|llm|chatbot|ai-powered""), ""AI &amp; LLM"",
  REGEXMATCH(A182&amp;B182, ""(?i)twitter|instagram|facebook|linkedin|youtube|tiktok|threads|bluesky|pinterest|social vid"&amp;"eo|reels?|shorts?""), ""Social Media"",
  REGEXMATCH(A182&amp;B182, ""(?i)hubspot|pipedrive|stripe|shopify|woocommerce|sales|crm|invoice|order|leads?|recruitment|bamboohr|erpnext""), ""CRM &amp; Sales"",
  REGEXMATCH(A182&amp;B182, ""(?i)gmail|outlook|calendar|slack|"&amp;"discord|telegram|whatsapp|notion|trello|drive|sheets?|meeting|scheduler|appointment|mattermost""), ""Productivity &amp; Communication"",
  REGEXMATCH(A182&amp;B182, ""(?i)github|api|webhook|http|mysql|supabase|mongodb|redis|rss|pr|code review|incident|pagerduty|j"&amp;"ira""), ""Development &amp; Utilities"",
  TRUE, ""Others""
)"),"AI &amp; LLM")</f>
        <v>AI &amp; LLM</v>
      </c>
    </row>
    <row r="183" ht="15.75" customHeight="1">
      <c r="A183" s="14" t="s">
        <v>364</v>
      </c>
      <c r="B183" s="15" t="s">
        <v>365</v>
      </c>
      <c r="C183" s="16" t="s">
        <v>7</v>
      </c>
      <c r="D183" s="12" t="str">
        <f>IFERROR(__xludf.DUMMYFUNCTION("IFS(
  REGEXMATCH(A183&amp;B183, ""(?i)openai|gpt|gemini|anthropic|claude|mistral|cohere|rag|vector|llm|chatbot|ai-powered""), ""AI &amp; LLM"",
  REGEXMATCH(A183&amp;B183, ""(?i)twitter|instagram|facebook|linkedin|youtube|tiktok|threads|bluesky|pinterest|social vid"&amp;"eo|reels?|shorts?""), ""Social Media"",
  REGEXMATCH(A183&amp;B183, ""(?i)hubspot|pipedrive|stripe|shopify|woocommerce|sales|crm|invoice|order|leads?|recruitment|bamboohr|erpnext""), ""CRM &amp; Sales"",
  REGEXMATCH(A183&amp;B183, ""(?i)gmail|outlook|calendar|slack|"&amp;"discord|telegram|whatsapp|notion|trello|drive|sheets?|meeting|scheduler|appointment|mattermost""), ""Productivity &amp; Communication"",
  REGEXMATCH(A183&amp;B183, ""(?i)github|api|webhook|http|mysql|supabase|mongodb|redis|rss|pr|code review|incident|pagerduty|j"&amp;"ira""), ""Development &amp; Utilities"",
  TRUE, ""Others""
)"),"AI &amp; LLM")</f>
        <v>AI &amp; LLM</v>
      </c>
    </row>
    <row r="184" ht="15.75" customHeight="1">
      <c r="A184" s="14" t="s">
        <v>366</v>
      </c>
      <c r="B184" s="15" t="s">
        <v>367</v>
      </c>
      <c r="C184" s="16" t="s">
        <v>7</v>
      </c>
      <c r="D184" s="12" t="str">
        <f>IFERROR(__xludf.DUMMYFUNCTION("IFS(
  REGEXMATCH(A184&amp;B184, ""(?i)openai|gpt|gemini|anthropic|claude|mistral|cohere|rag|vector|llm|chatbot|ai-powered""), ""AI &amp; LLM"",
  REGEXMATCH(A184&amp;B184, ""(?i)twitter|instagram|facebook|linkedin|youtube|tiktok|threads|bluesky|pinterest|social vid"&amp;"eo|reels?|shorts?""), ""Social Media"",
  REGEXMATCH(A184&amp;B184, ""(?i)hubspot|pipedrive|stripe|shopify|woocommerce|sales|crm|invoice|order|leads?|recruitment|bamboohr|erpnext""), ""CRM &amp; Sales"",
  REGEXMATCH(A184&amp;B184, ""(?i)gmail|outlook|calendar|slack|"&amp;"discord|telegram|whatsapp|notion|trello|drive|sheets?|meeting|scheduler|appointment|mattermost""), ""Productivity &amp; Communication"",
  REGEXMATCH(A184&amp;B184, ""(?i)github|api|webhook|http|mysql|supabase|mongodb|redis|rss|pr|code review|incident|pagerduty|j"&amp;"ira""), ""Development &amp; Utilities"",
  TRUE, ""Others""
)"),"AI &amp; LLM")</f>
        <v>AI &amp; LLM</v>
      </c>
    </row>
    <row r="185" ht="15.75" customHeight="1">
      <c r="A185" s="14" t="s">
        <v>368</v>
      </c>
      <c r="B185" s="15" t="s">
        <v>369</v>
      </c>
      <c r="C185" s="16" t="s">
        <v>7</v>
      </c>
      <c r="D185" s="12" t="str">
        <f>IFERROR(__xludf.DUMMYFUNCTION("IFS(
  REGEXMATCH(A185&amp;B185, ""(?i)openai|gpt|gemini|anthropic|claude|mistral|cohere|rag|vector|llm|chatbot|ai-powered""), ""AI &amp; LLM"",
  REGEXMATCH(A185&amp;B185, ""(?i)twitter|instagram|facebook|linkedin|youtube|tiktok|threads|bluesky|pinterest|social vid"&amp;"eo|reels?|shorts?""), ""Social Media"",
  REGEXMATCH(A185&amp;B185, ""(?i)hubspot|pipedrive|stripe|shopify|woocommerce|sales|crm|invoice|order|leads?|recruitment|bamboohr|erpnext""), ""CRM &amp; Sales"",
  REGEXMATCH(A185&amp;B185, ""(?i)gmail|outlook|calendar|slack|"&amp;"discord|telegram|whatsapp|notion|trello|drive|sheets?|meeting|scheduler|appointment|mattermost""), ""Productivity &amp; Communication"",
  REGEXMATCH(A185&amp;B185, ""(?i)github|api|webhook|http|mysql|supabase|mongodb|redis|rss|pr|code review|incident|pagerduty|j"&amp;"ira""), ""Development &amp; Utilities"",
  TRUE, ""Others""
)"),"CRM &amp; Sales")</f>
        <v>CRM &amp; Sales</v>
      </c>
    </row>
    <row r="186" ht="15.75" customHeight="1">
      <c r="A186" s="14" t="s">
        <v>370</v>
      </c>
      <c r="B186" s="15" t="s">
        <v>371</v>
      </c>
      <c r="C186" s="16" t="s">
        <v>7</v>
      </c>
      <c r="D186" s="12" t="str">
        <f>IFERROR(__xludf.DUMMYFUNCTION("IFS(
  REGEXMATCH(A186&amp;B186, ""(?i)openai|gpt|gemini|anthropic|claude|mistral|cohere|rag|vector|llm|chatbot|ai-powered""), ""AI &amp; LLM"",
  REGEXMATCH(A186&amp;B186, ""(?i)twitter|instagram|facebook|linkedin|youtube|tiktok|threads|bluesky|pinterest|social vid"&amp;"eo|reels?|shorts?""), ""Social Media"",
  REGEXMATCH(A186&amp;B186, ""(?i)hubspot|pipedrive|stripe|shopify|woocommerce|sales|crm|invoice|order|leads?|recruitment|bamboohr|erpnext""), ""CRM &amp; Sales"",
  REGEXMATCH(A186&amp;B186, ""(?i)gmail|outlook|calendar|slack|"&amp;"discord|telegram|whatsapp|notion|trello|drive|sheets?|meeting|scheduler|appointment|mattermost""), ""Productivity &amp; Communication"",
  REGEXMATCH(A186&amp;B186, ""(?i)github|api|webhook|http|mysql|supabase|mongodb|redis|rss|pr|code review|incident|pagerduty|j"&amp;"ira""), ""Development &amp; Utilities"",
  TRUE, ""Others""
)"),"Productivity &amp; Communication")</f>
        <v>Productivity &amp; Communication</v>
      </c>
    </row>
    <row r="187" ht="15.75" customHeight="1">
      <c r="A187" s="14" t="s">
        <v>372</v>
      </c>
      <c r="B187" s="15" t="s">
        <v>373</v>
      </c>
      <c r="C187" s="16" t="s">
        <v>7</v>
      </c>
      <c r="D187" s="12" t="str">
        <f>IFERROR(__xludf.DUMMYFUNCTION("IFS(
  REGEXMATCH(A187&amp;B187, ""(?i)openai|gpt|gemini|anthropic|claude|mistral|cohere|rag|vector|llm|chatbot|ai-powered""), ""AI &amp; LLM"",
  REGEXMATCH(A187&amp;B187, ""(?i)twitter|instagram|facebook|linkedin|youtube|tiktok|threads|bluesky|pinterest|social vid"&amp;"eo|reels?|shorts?""), ""Social Media"",
  REGEXMATCH(A187&amp;B187, ""(?i)hubspot|pipedrive|stripe|shopify|woocommerce|sales|crm|invoice|order|leads?|recruitment|bamboohr|erpnext""), ""CRM &amp; Sales"",
  REGEXMATCH(A187&amp;B187, ""(?i)gmail|outlook|calendar|slack|"&amp;"discord|telegram|whatsapp|notion|trello|drive|sheets?|meeting|scheduler|appointment|mattermost""), ""Productivity &amp; Communication"",
  REGEXMATCH(A187&amp;B187, ""(?i)github|api|webhook|http|mysql|supabase|mongodb|redis|rss|pr|code review|incident|pagerduty|j"&amp;"ira""), ""Development &amp; Utilities"",
  TRUE, ""Others""
)"),"Productivity &amp; Communication")</f>
        <v>Productivity &amp; Communication</v>
      </c>
    </row>
    <row r="188" ht="15.75" customHeight="1">
      <c r="A188" s="14" t="s">
        <v>374</v>
      </c>
      <c r="B188" s="15" t="s">
        <v>375</v>
      </c>
      <c r="C188" s="16" t="s">
        <v>7</v>
      </c>
      <c r="D188" s="12" t="str">
        <f>IFERROR(__xludf.DUMMYFUNCTION("IFS(
  REGEXMATCH(A188&amp;B188, ""(?i)openai|gpt|gemini|anthropic|claude|mistral|cohere|rag|vector|llm|chatbot|ai-powered""), ""AI &amp; LLM"",
  REGEXMATCH(A188&amp;B188, ""(?i)twitter|instagram|facebook|linkedin|youtube|tiktok|threads|bluesky|pinterest|social vid"&amp;"eo|reels?|shorts?""), ""Social Media"",
  REGEXMATCH(A188&amp;B188, ""(?i)hubspot|pipedrive|stripe|shopify|woocommerce|sales|crm|invoice|order|leads?|recruitment|bamboohr|erpnext""), ""CRM &amp; Sales"",
  REGEXMATCH(A188&amp;B188, ""(?i)gmail|outlook|calendar|slack|"&amp;"discord|telegram|whatsapp|notion|trello|drive|sheets?|meeting|scheduler|appointment|mattermost""), ""Productivity &amp; Communication"",
  REGEXMATCH(A188&amp;B188, ""(?i)github|api|webhook|http|mysql|supabase|mongodb|redis|rss|pr|code review|incident|pagerduty|j"&amp;"ira""), ""Development &amp; Utilities"",
  TRUE, ""Others""
)"),"CRM &amp; Sales")</f>
        <v>CRM &amp; Sales</v>
      </c>
    </row>
    <row r="189" ht="15.75" customHeight="1">
      <c r="A189" s="14" t="s">
        <v>376</v>
      </c>
      <c r="B189" s="15" t="s">
        <v>377</v>
      </c>
      <c r="C189" s="16" t="s">
        <v>7</v>
      </c>
      <c r="D189" s="12" t="str">
        <f>IFERROR(__xludf.DUMMYFUNCTION("IFS(
  REGEXMATCH(A189&amp;B189, ""(?i)openai|gpt|gemini|anthropic|claude|mistral|cohere|rag|vector|llm|chatbot|ai-powered""), ""AI &amp; LLM"",
  REGEXMATCH(A189&amp;B189, ""(?i)twitter|instagram|facebook|linkedin|youtube|tiktok|threads|bluesky|pinterest|social vid"&amp;"eo|reels?|shorts?""), ""Social Media"",
  REGEXMATCH(A189&amp;B189, ""(?i)hubspot|pipedrive|stripe|shopify|woocommerce|sales|crm|invoice|order|leads?|recruitment|bamboohr|erpnext""), ""CRM &amp; Sales"",
  REGEXMATCH(A189&amp;B189, ""(?i)gmail|outlook|calendar|slack|"&amp;"discord|telegram|whatsapp|notion|trello|drive|sheets?|meeting|scheduler|appointment|mattermost""), ""Productivity &amp; Communication"",
  REGEXMATCH(A189&amp;B189, ""(?i)github|api|webhook|http|mysql|supabase|mongodb|redis|rss|pr|code review|incident|pagerduty|j"&amp;"ira""), ""Development &amp; Utilities"",
  TRUE, ""Others""
)"),"AI &amp; LLM")</f>
        <v>AI &amp; LLM</v>
      </c>
    </row>
    <row r="190" ht="15.75" customHeight="1">
      <c r="A190" s="14" t="s">
        <v>378</v>
      </c>
      <c r="B190" s="15" t="s">
        <v>379</v>
      </c>
      <c r="C190" s="16" t="s">
        <v>7</v>
      </c>
      <c r="D190" s="12" t="str">
        <f>IFERROR(__xludf.DUMMYFUNCTION("IFS(
  REGEXMATCH(A190&amp;B190, ""(?i)openai|gpt|gemini|anthropic|claude|mistral|cohere|rag|vector|llm|chatbot|ai-powered""), ""AI &amp; LLM"",
  REGEXMATCH(A190&amp;B190, ""(?i)twitter|instagram|facebook|linkedin|youtube|tiktok|threads|bluesky|pinterest|social vid"&amp;"eo|reels?|shorts?""), ""Social Media"",
  REGEXMATCH(A190&amp;B190, ""(?i)hubspot|pipedrive|stripe|shopify|woocommerce|sales|crm|invoice|order|leads?|recruitment|bamboohr|erpnext""), ""CRM &amp; Sales"",
  REGEXMATCH(A190&amp;B190, ""(?i)gmail|outlook|calendar|slack|"&amp;"discord|telegram|whatsapp|notion|trello|drive|sheets?|meeting|scheduler|appointment|mattermost""), ""Productivity &amp; Communication"",
  REGEXMATCH(A190&amp;B190, ""(?i)github|api|webhook|http|mysql|supabase|mongodb|redis|rss|pr|code review|incident|pagerduty|j"&amp;"ira""), ""Development &amp; Utilities"",
  TRUE, ""Others""
)"),"CRM &amp; Sales")</f>
        <v>CRM &amp; Sales</v>
      </c>
    </row>
    <row r="191" ht="15.75" customHeight="1">
      <c r="A191" s="14" t="s">
        <v>380</v>
      </c>
      <c r="B191" s="15" t="s">
        <v>381</v>
      </c>
      <c r="C191" s="16" t="s">
        <v>7</v>
      </c>
      <c r="D191" s="12" t="str">
        <f>IFERROR(__xludf.DUMMYFUNCTION("IFS(
  REGEXMATCH(A191&amp;B191, ""(?i)openai|gpt|gemini|anthropic|claude|mistral|cohere|rag|vector|llm|chatbot|ai-powered""), ""AI &amp; LLM"",
  REGEXMATCH(A191&amp;B191, ""(?i)twitter|instagram|facebook|linkedin|youtube|tiktok|threads|bluesky|pinterest|social vid"&amp;"eo|reels?|shorts?""), ""Social Media"",
  REGEXMATCH(A191&amp;B191, ""(?i)hubspot|pipedrive|stripe|shopify|woocommerce|sales|crm|invoice|order|leads?|recruitment|bamboohr|erpnext""), ""CRM &amp; Sales"",
  REGEXMATCH(A191&amp;B191, ""(?i)gmail|outlook|calendar|slack|"&amp;"discord|telegram|whatsapp|notion|trello|drive|sheets?|meeting|scheduler|appointment|mattermost""), ""Productivity &amp; Communication"",
  REGEXMATCH(A191&amp;B191, ""(?i)github|api|webhook|http|mysql|supabase|mongodb|redis|rss|pr|code review|incident|pagerduty|j"&amp;"ira""), ""Development &amp; Utilities"",
  TRUE, ""Others""
)"),"AI &amp; LLM")</f>
        <v>AI &amp; LLM</v>
      </c>
    </row>
    <row r="192" ht="15.75" customHeight="1">
      <c r="A192" s="14" t="s">
        <v>382</v>
      </c>
      <c r="B192" s="15" t="s">
        <v>383</v>
      </c>
      <c r="C192" s="16" t="s">
        <v>7</v>
      </c>
      <c r="D192" s="12" t="str">
        <f>IFERROR(__xludf.DUMMYFUNCTION("IFS(
  REGEXMATCH(A192&amp;B192, ""(?i)openai|gpt|gemini|anthropic|claude|mistral|cohere|rag|vector|llm|chatbot|ai-powered""), ""AI &amp; LLM"",
  REGEXMATCH(A192&amp;B192, ""(?i)twitter|instagram|facebook|linkedin|youtube|tiktok|threads|bluesky|pinterest|social vid"&amp;"eo|reels?|shorts?""), ""Social Media"",
  REGEXMATCH(A192&amp;B192, ""(?i)hubspot|pipedrive|stripe|shopify|woocommerce|sales|crm|invoice|order|leads?|recruitment|bamboohr|erpnext""), ""CRM &amp; Sales"",
  REGEXMATCH(A192&amp;B192, ""(?i)gmail|outlook|calendar|slack|"&amp;"discord|telegram|whatsapp|notion|trello|drive|sheets?|meeting|scheduler|appointment|mattermost""), ""Productivity &amp; Communication"",
  REGEXMATCH(A192&amp;B192, ""(?i)github|api|webhook|http|mysql|supabase|mongodb|redis|rss|pr|code review|incident|pagerduty|j"&amp;"ira""), ""Development &amp; Utilities"",
  TRUE, ""Others""
)"),"AI &amp; LLM")</f>
        <v>AI &amp; LLM</v>
      </c>
    </row>
    <row r="193" ht="15.75" customHeight="1">
      <c r="A193" s="14" t="s">
        <v>384</v>
      </c>
      <c r="B193" s="15" t="s">
        <v>385</v>
      </c>
      <c r="C193" s="16" t="s">
        <v>7</v>
      </c>
      <c r="D193" s="12" t="str">
        <f>IFERROR(__xludf.DUMMYFUNCTION("IFS(
  REGEXMATCH(A193&amp;B193, ""(?i)openai|gpt|gemini|anthropic|claude|mistral|cohere|rag|vector|llm|chatbot|ai-powered""), ""AI &amp; LLM"",
  REGEXMATCH(A193&amp;B193, ""(?i)twitter|instagram|facebook|linkedin|youtube|tiktok|threads|bluesky|pinterest|social vid"&amp;"eo|reels?|shorts?""), ""Social Media"",
  REGEXMATCH(A193&amp;B193, ""(?i)hubspot|pipedrive|stripe|shopify|woocommerce|sales|crm|invoice|order|leads?|recruitment|bamboohr|erpnext""), ""CRM &amp; Sales"",
  REGEXMATCH(A193&amp;B193, ""(?i)gmail|outlook|calendar|slack|"&amp;"discord|telegram|whatsapp|notion|trello|drive|sheets?|meeting|scheduler|appointment|mattermost""), ""Productivity &amp; Communication"",
  REGEXMATCH(A193&amp;B193, ""(?i)github|api|webhook|http|mysql|supabase|mongodb|redis|rss|pr|code review|incident|pagerduty|j"&amp;"ira""), ""Development &amp; Utilities"",
  TRUE, ""Others""
)"),"Productivity &amp; Communication")</f>
        <v>Productivity &amp; Communication</v>
      </c>
    </row>
    <row r="194" ht="15.75" customHeight="1">
      <c r="A194" s="14" t="s">
        <v>386</v>
      </c>
      <c r="B194" s="15" t="s">
        <v>387</v>
      </c>
      <c r="C194" s="16" t="s">
        <v>7</v>
      </c>
      <c r="D194" s="12" t="str">
        <f>IFERROR(__xludf.DUMMYFUNCTION("IFS(
  REGEXMATCH(A194&amp;B194, ""(?i)openai|gpt|gemini|anthropic|claude|mistral|cohere|rag|vector|llm|chatbot|ai-powered""), ""AI &amp; LLM"",
  REGEXMATCH(A194&amp;B194, ""(?i)twitter|instagram|facebook|linkedin|youtube|tiktok|threads|bluesky|pinterest|social vid"&amp;"eo|reels?|shorts?""), ""Social Media"",
  REGEXMATCH(A194&amp;B194, ""(?i)hubspot|pipedrive|stripe|shopify|woocommerce|sales|crm|invoice|order|leads?|recruitment|bamboohr|erpnext""), ""CRM &amp; Sales"",
  REGEXMATCH(A194&amp;B194, ""(?i)gmail|outlook|calendar|slack|"&amp;"discord|telegram|whatsapp|notion|trello|drive|sheets?|meeting|scheduler|appointment|mattermost""), ""Productivity &amp; Communication"",
  REGEXMATCH(A194&amp;B194, ""(?i)github|api|webhook|http|mysql|supabase|mongodb|redis|rss|pr|code review|incident|pagerduty|j"&amp;"ira""), ""Development &amp; Utilities"",
  TRUE, ""Others""
)"),"AI &amp; LLM")</f>
        <v>AI &amp; LLM</v>
      </c>
    </row>
    <row r="195" ht="15.75" customHeight="1">
      <c r="A195" s="14" t="s">
        <v>388</v>
      </c>
      <c r="B195" s="15" t="s">
        <v>389</v>
      </c>
      <c r="C195" s="16" t="s">
        <v>7</v>
      </c>
      <c r="D195" s="12" t="str">
        <f>IFERROR(__xludf.DUMMYFUNCTION("IFS(
  REGEXMATCH(A195&amp;B195, ""(?i)openai|gpt|gemini|anthropic|claude|mistral|cohere|rag|vector|llm|chatbot|ai-powered""), ""AI &amp; LLM"",
  REGEXMATCH(A195&amp;B195, ""(?i)twitter|instagram|facebook|linkedin|youtube|tiktok|threads|bluesky|pinterest|social vid"&amp;"eo|reels?|shorts?""), ""Social Media"",
  REGEXMATCH(A195&amp;B195, ""(?i)hubspot|pipedrive|stripe|shopify|woocommerce|sales|crm|invoice|order|leads?|recruitment|bamboohr|erpnext""), ""CRM &amp; Sales"",
  REGEXMATCH(A195&amp;B195, ""(?i)gmail|outlook|calendar|slack|"&amp;"discord|telegram|whatsapp|notion|trello|drive|sheets?|meeting|scheduler|appointment|mattermost""), ""Productivity &amp; Communication"",
  REGEXMATCH(A195&amp;B195, ""(?i)github|api|webhook|http|mysql|supabase|mongodb|redis|rss|pr|code review|incident|pagerduty|j"&amp;"ira""), ""Development &amp; Utilities"",
  TRUE, ""Others""
)"),"AI &amp; LLM")</f>
        <v>AI &amp; LLM</v>
      </c>
    </row>
    <row r="196" ht="15.75" customHeight="1">
      <c r="A196" s="14" t="s">
        <v>390</v>
      </c>
      <c r="B196" s="15" t="s">
        <v>391</v>
      </c>
      <c r="C196" s="16" t="s">
        <v>7</v>
      </c>
      <c r="D196" s="12" t="str">
        <f>IFERROR(__xludf.DUMMYFUNCTION("IFS(
  REGEXMATCH(A196&amp;B196, ""(?i)openai|gpt|gemini|anthropic|claude|mistral|cohere|rag|vector|llm|chatbot|ai-powered""), ""AI &amp; LLM"",
  REGEXMATCH(A196&amp;B196, ""(?i)twitter|instagram|facebook|linkedin|youtube|tiktok|threads|bluesky|pinterest|social vid"&amp;"eo|reels?|shorts?""), ""Social Media"",
  REGEXMATCH(A196&amp;B196, ""(?i)hubspot|pipedrive|stripe|shopify|woocommerce|sales|crm|invoice|order|leads?|recruitment|bamboohr|erpnext""), ""CRM &amp; Sales"",
  REGEXMATCH(A196&amp;B196, ""(?i)gmail|outlook|calendar|slack|"&amp;"discord|telegram|whatsapp|notion|trello|drive|sheets?|meeting|scheduler|appointment|mattermost""), ""Productivity &amp; Communication"",
  REGEXMATCH(A196&amp;B196, ""(?i)github|api|webhook|http|mysql|supabase|mongodb|redis|rss|pr|code review|incident|pagerduty|j"&amp;"ira""), ""Development &amp; Utilities"",
  TRUE, ""Others""
)"),"AI &amp; LLM")</f>
        <v>AI &amp; LLM</v>
      </c>
    </row>
    <row r="197" ht="15.75" customHeight="1">
      <c r="A197" s="14" t="s">
        <v>392</v>
      </c>
      <c r="B197" s="15" t="s">
        <v>393</v>
      </c>
      <c r="C197" s="16" t="s">
        <v>7</v>
      </c>
      <c r="D197" s="12" t="str">
        <f>IFERROR(__xludf.DUMMYFUNCTION("IFS(
  REGEXMATCH(A197&amp;B197, ""(?i)openai|gpt|gemini|anthropic|claude|mistral|cohere|rag|vector|llm|chatbot|ai-powered""), ""AI &amp; LLM"",
  REGEXMATCH(A197&amp;B197, ""(?i)twitter|instagram|facebook|linkedin|youtube|tiktok|threads|bluesky|pinterest|social vid"&amp;"eo|reels?|shorts?""), ""Social Media"",
  REGEXMATCH(A197&amp;B197, ""(?i)hubspot|pipedrive|stripe|shopify|woocommerce|sales|crm|invoice|order|leads?|recruitment|bamboohr|erpnext""), ""CRM &amp; Sales"",
  REGEXMATCH(A197&amp;B197, ""(?i)gmail|outlook|calendar|slack|"&amp;"discord|telegram|whatsapp|notion|trello|drive|sheets?|meeting|scheduler|appointment|mattermost""), ""Productivity &amp; Communication"",
  REGEXMATCH(A197&amp;B197, ""(?i)github|api|webhook|http|mysql|supabase|mongodb|redis|rss|pr|code review|incident|pagerduty|j"&amp;"ira""), ""Development &amp; Utilities"",
  TRUE, ""Others""
)"),"CRM &amp; Sales")</f>
        <v>CRM &amp; Sales</v>
      </c>
    </row>
    <row r="198" ht="15.75" customHeight="1">
      <c r="A198" s="14" t="s">
        <v>394</v>
      </c>
      <c r="B198" s="15" t="s">
        <v>395</v>
      </c>
      <c r="C198" s="16" t="s">
        <v>7</v>
      </c>
      <c r="D198" s="12" t="str">
        <f>IFERROR(__xludf.DUMMYFUNCTION("IFS(
  REGEXMATCH(A198&amp;B198, ""(?i)openai|gpt|gemini|anthropic|claude|mistral|cohere|rag|vector|llm|chatbot|ai-powered""), ""AI &amp; LLM"",
  REGEXMATCH(A198&amp;B198, ""(?i)twitter|instagram|facebook|linkedin|youtube|tiktok|threads|bluesky|pinterest|social vid"&amp;"eo|reels?|shorts?""), ""Social Media"",
  REGEXMATCH(A198&amp;B198, ""(?i)hubspot|pipedrive|stripe|shopify|woocommerce|sales|crm|invoice|order|leads?|recruitment|bamboohr|erpnext""), ""CRM &amp; Sales"",
  REGEXMATCH(A198&amp;B198, ""(?i)gmail|outlook|calendar|slack|"&amp;"discord|telegram|whatsapp|notion|trello|drive|sheets?|meeting|scheduler|appointment|mattermost""), ""Productivity &amp; Communication"",
  REGEXMATCH(A198&amp;B198, ""(?i)github|api|webhook|http|mysql|supabase|mongodb|redis|rss|pr|code review|incident|pagerduty|j"&amp;"ira""), ""Development &amp; Utilities"",
  TRUE, ""Others""
)"),"AI &amp; LLM")</f>
        <v>AI &amp; LLM</v>
      </c>
    </row>
    <row r="199" ht="15.75" customHeight="1">
      <c r="A199" s="14" t="s">
        <v>396</v>
      </c>
      <c r="B199" s="15" t="s">
        <v>397</v>
      </c>
      <c r="C199" s="16" t="s">
        <v>7</v>
      </c>
      <c r="D199" s="12" t="str">
        <f>IFERROR(__xludf.DUMMYFUNCTION("IFS(
  REGEXMATCH(A199&amp;B199, ""(?i)openai|gpt|gemini|anthropic|claude|mistral|cohere|rag|vector|llm|chatbot|ai-powered""), ""AI &amp; LLM"",
  REGEXMATCH(A199&amp;B199, ""(?i)twitter|instagram|facebook|linkedin|youtube|tiktok|threads|bluesky|pinterest|social vid"&amp;"eo|reels?|shorts?""), ""Social Media"",
  REGEXMATCH(A199&amp;B199, ""(?i)hubspot|pipedrive|stripe|shopify|woocommerce|sales|crm|invoice|order|leads?|recruitment|bamboohr|erpnext""), ""CRM &amp; Sales"",
  REGEXMATCH(A199&amp;B199, ""(?i)gmail|outlook|calendar|slack|"&amp;"discord|telegram|whatsapp|notion|trello|drive|sheets?|meeting|scheduler|appointment|mattermost""), ""Productivity &amp; Communication"",
  REGEXMATCH(A199&amp;B199, ""(?i)github|api|webhook|http|mysql|supabase|mongodb|redis|rss|pr|code review|incident|pagerduty|j"&amp;"ira""), ""Development &amp; Utilities"",
  TRUE, ""Others""
)"),"AI &amp; LLM")</f>
        <v>AI &amp; LLM</v>
      </c>
    </row>
    <row r="200" ht="15.75" customHeight="1">
      <c r="A200" s="14" t="s">
        <v>398</v>
      </c>
      <c r="B200" s="15" t="s">
        <v>399</v>
      </c>
      <c r="C200" s="16" t="s">
        <v>7</v>
      </c>
      <c r="D200" s="12" t="str">
        <f>IFERROR(__xludf.DUMMYFUNCTION("IFS(
  REGEXMATCH(A200&amp;B200, ""(?i)openai|gpt|gemini|anthropic|claude|mistral|cohere|rag|vector|llm|chatbot|ai-powered""), ""AI &amp; LLM"",
  REGEXMATCH(A200&amp;B200, ""(?i)twitter|instagram|facebook|linkedin|youtube|tiktok|threads|bluesky|pinterest|social vid"&amp;"eo|reels?|shorts?""), ""Social Media"",
  REGEXMATCH(A200&amp;B200, ""(?i)hubspot|pipedrive|stripe|shopify|woocommerce|sales|crm|invoice|order|leads?|recruitment|bamboohr|erpnext""), ""CRM &amp; Sales"",
  REGEXMATCH(A200&amp;B200, ""(?i)gmail|outlook|calendar|slack|"&amp;"discord|telegram|whatsapp|notion|trello|drive|sheets?|meeting|scheduler|appointment|mattermost""), ""Productivity &amp; Communication"",
  REGEXMATCH(A200&amp;B200, ""(?i)github|api|webhook|http|mysql|supabase|mongodb|redis|rss|pr|code review|incident|pagerduty|j"&amp;"ira""), ""Development &amp; Utilities"",
  TRUE, ""Others""
)"),"AI &amp; LLM")</f>
        <v>AI &amp; LLM</v>
      </c>
    </row>
    <row r="201" ht="15.75" customHeight="1">
      <c r="A201" s="14" t="s">
        <v>400</v>
      </c>
      <c r="B201" s="15" t="s">
        <v>401</v>
      </c>
      <c r="C201" s="16" t="s">
        <v>7</v>
      </c>
      <c r="D201" s="12" t="str">
        <f>IFERROR(__xludf.DUMMYFUNCTION("IFS(
  REGEXMATCH(A201&amp;B201, ""(?i)openai|gpt|gemini|anthropic|claude|mistral|cohere|rag|vector|llm|chatbot|ai-powered""), ""AI &amp; LLM"",
  REGEXMATCH(A201&amp;B201, ""(?i)twitter|instagram|facebook|linkedin|youtube|tiktok|threads|bluesky|pinterest|social vid"&amp;"eo|reels?|shorts?""), ""Social Media"",
  REGEXMATCH(A201&amp;B201, ""(?i)hubspot|pipedrive|stripe|shopify|woocommerce|sales|crm|invoice|order|leads?|recruitment|bamboohr|erpnext""), ""CRM &amp; Sales"",
  REGEXMATCH(A201&amp;B201, ""(?i)gmail|outlook|calendar|slack|"&amp;"discord|telegram|whatsapp|notion|trello|drive|sheets?|meeting|scheduler|appointment|mattermost""), ""Productivity &amp; Communication"",
  REGEXMATCH(A201&amp;B201, ""(?i)github|api|webhook|http|mysql|supabase|mongodb|redis|rss|pr|code review|incident|pagerduty|j"&amp;"ira""), ""Development &amp; Utilities"",
  TRUE, ""Others""
)"),"AI &amp; LLM")</f>
        <v>AI &amp; LLM</v>
      </c>
    </row>
    <row r="202" ht="15.75" customHeight="1">
      <c r="A202" s="14" t="s">
        <v>402</v>
      </c>
      <c r="B202" s="15" t="s">
        <v>403</v>
      </c>
      <c r="C202" s="16" t="s">
        <v>7</v>
      </c>
      <c r="D202" s="12" t="str">
        <f>IFERROR(__xludf.DUMMYFUNCTION("IFS(
  REGEXMATCH(A202&amp;B202, ""(?i)openai|gpt|gemini|anthropic|claude|mistral|cohere|rag|vector|llm|chatbot|ai-powered""), ""AI &amp; LLM"",
  REGEXMATCH(A202&amp;B202, ""(?i)twitter|instagram|facebook|linkedin|youtube|tiktok|threads|bluesky|pinterest|social vid"&amp;"eo|reels?|shorts?""), ""Social Media"",
  REGEXMATCH(A202&amp;B202, ""(?i)hubspot|pipedrive|stripe|shopify|woocommerce|sales|crm|invoice|order|leads?|recruitment|bamboohr|erpnext""), ""CRM &amp; Sales"",
  REGEXMATCH(A202&amp;B202, ""(?i)gmail|outlook|calendar|slack|"&amp;"discord|telegram|whatsapp|notion|trello|drive|sheets?|meeting|scheduler|appointment|mattermost""), ""Productivity &amp; Communication"",
  REGEXMATCH(A202&amp;B202, ""(?i)github|api|webhook|http|mysql|supabase|mongodb|redis|rss|pr|code review|incident|pagerduty|j"&amp;"ira""), ""Development &amp; Utilities"",
  TRUE, ""Others""
)"),"AI &amp; LLM")</f>
        <v>AI &amp; LLM</v>
      </c>
    </row>
    <row r="203" ht="15.75" customHeight="1">
      <c r="A203" s="14" t="s">
        <v>404</v>
      </c>
      <c r="B203" s="15" t="s">
        <v>405</v>
      </c>
      <c r="C203" s="16" t="s">
        <v>7</v>
      </c>
      <c r="D203" s="12" t="str">
        <f>IFERROR(__xludf.DUMMYFUNCTION("IFS(
  REGEXMATCH(A203&amp;B203, ""(?i)openai|gpt|gemini|anthropic|claude|mistral|cohere|rag|vector|llm|chatbot|ai-powered""), ""AI &amp; LLM"",
  REGEXMATCH(A203&amp;B203, ""(?i)twitter|instagram|facebook|linkedin|youtube|tiktok|threads|bluesky|pinterest|social vid"&amp;"eo|reels?|shorts?""), ""Social Media"",
  REGEXMATCH(A203&amp;B203, ""(?i)hubspot|pipedrive|stripe|shopify|woocommerce|sales|crm|invoice|order|leads?|recruitment|bamboohr|erpnext""), ""CRM &amp; Sales"",
  REGEXMATCH(A203&amp;B203, ""(?i)gmail|outlook|calendar|slack|"&amp;"discord|telegram|whatsapp|notion|trello|drive|sheets?|meeting|scheduler|appointment|mattermost""), ""Productivity &amp; Communication"",
  REGEXMATCH(A203&amp;B203, ""(?i)github|api|webhook|http|mysql|supabase|mongodb|redis|rss|pr|code review|incident|pagerduty|j"&amp;"ira""), ""Development &amp; Utilities"",
  TRUE, ""Others""
)"),"AI &amp; LLM")</f>
        <v>AI &amp; LLM</v>
      </c>
    </row>
    <row r="204" ht="15.75" customHeight="1">
      <c r="A204" s="14" t="s">
        <v>406</v>
      </c>
      <c r="B204" s="15" t="s">
        <v>407</v>
      </c>
      <c r="C204" s="16" t="s">
        <v>7</v>
      </c>
      <c r="D204" s="12" t="str">
        <f>IFERROR(__xludf.DUMMYFUNCTION("IFS(
  REGEXMATCH(A204&amp;B204, ""(?i)openai|gpt|gemini|anthropic|claude|mistral|cohere|rag|vector|llm|chatbot|ai-powered""), ""AI &amp; LLM"",
  REGEXMATCH(A204&amp;B204, ""(?i)twitter|instagram|facebook|linkedin|youtube|tiktok|threads|bluesky|pinterest|social vid"&amp;"eo|reels?|shorts?""), ""Social Media"",
  REGEXMATCH(A204&amp;B204, ""(?i)hubspot|pipedrive|stripe|shopify|woocommerce|sales|crm|invoice|order|leads?|recruitment|bamboohr|erpnext""), ""CRM &amp; Sales"",
  REGEXMATCH(A204&amp;B204, ""(?i)gmail|outlook|calendar|slack|"&amp;"discord|telegram|whatsapp|notion|trello|drive|sheets?|meeting|scheduler|appointment|mattermost""), ""Productivity &amp; Communication"",
  REGEXMATCH(A204&amp;B204, ""(?i)github|api|webhook|http|mysql|supabase|mongodb|redis|rss|pr|code review|incident|pagerduty|j"&amp;"ira""), ""Development &amp; Utilities"",
  TRUE, ""Others""
)"),"AI &amp; LLM")</f>
        <v>AI &amp; LLM</v>
      </c>
    </row>
    <row r="205" ht="15.75" customHeight="1">
      <c r="A205" s="14" t="s">
        <v>408</v>
      </c>
      <c r="B205" s="15" t="s">
        <v>409</v>
      </c>
      <c r="C205" s="16" t="s">
        <v>7</v>
      </c>
      <c r="D205" s="12" t="str">
        <f>IFERROR(__xludf.DUMMYFUNCTION("IFS(
  REGEXMATCH(A205&amp;B205, ""(?i)openai|gpt|gemini|anthropic|claude|mistral|cohere|rag|vector|llm|chatbot|ai-powered""), ""AI &amp; LLM"",
  REGEXMATCH(A205&amp;B205, ""(?i)twitter|instagram|facebook|linkedin|youtube|tiktok|threads|bluesky|pinterest|social vid"&amp;"eo|reels?|shorts?""), ""Social Media"",
  REGEXMATCH(A205&amp;B205, ""(?i)hubspot|pipedrive|stripe|shopify|woocommerce|sales|crm|invoice|order|leads?|recruitment|bamboohr|erpnext""), ""CRM &amp; Sales"",
  REGEXMATCH(A205&amp;B205, ""(?i)gmail|outlook|calendar|slack|"&amp;"discord|telegram|whatsapp|notion|trello|drive|sheets?|meeting|scheduler|appointment|mattermost""), ""Productivity &amp; Communication"",
  REGEXMATCH(A205&amp;B205, ""(?i)github|api|webhook|http|mysql|supabase|mongodb|redis|rss|pr|code review|incident|pagerduty|j"&amp;"ira""), ""Development &amp; Utilities"",
  TRUE, ""Others""
)"),"AI &amp; LLM")</f>
        <v>AI &amp; LLM</v>
      </c>
    </row>
    <row r="206" ht="15.75" customHeight="1">
      <c r="A206" s="14" t="s">
        <v>294</v>
      </c>
      <c r="B206" s="15" t="s">
        <v>410</v>
      </c>
      <c r="C206" s="16" t="s">
        <v>7</v>
      </c>
      <c r="D206" s="12" t="str">
        <f>IFERROR(__xludf.DUMMYFUNCTION("IFS(
  REGEXMATCH(A206&amp;B206, ""(?i)openai|gpt|gemini|anthropic|claude|mistral|cohere|rag|vector|llm|chatbot|ai-powered""), ""AI &amp; LLM"",
  REGEXMATCH(A206&amp;B206, ""(?i)twitter|instagram|facebook|linkedin|youtube|tiktok|threads|bluesky|pinterest|social vid"&amp;"eo|reels?|shorts?""), ""Social Media"",
  REGEXMATCH(A206&amp;B206, ""(?i)hubspot|pipedrive|stripe|shopify|woocommerce|sales|crm|invoice|order|leads?|recruitment|bamboohr|erpnext""), ""CRM &amp; Sales"",
  REGEXMATCH(A206&amp;B206, ""(?i)gmail|outlook|calendar|slack|"&amp;"discord|telegram|whatsapp|notion|trello|drive|sheets?|meeting|scheduler|appointment|mattermost""), ""Productivity &amp; Communication"",
  REGEXMATCH(A206&amp;B206, ""(?i)github|api|webhook|http|mysql|supabase|mongodb|redis|rss|pr|code review|incident|pagerduty|j"&amp;"ira""), ""Development &amp; Utilities"",
  TRUE, ""Others""
)"),"AI &amp; LLM")</f>
        <v>AI &amp; LLM</v>
      </c>
    </row>
    <row r="207" ht="15.75" customHeight="1">
      <c r="A207" s="14" t="s">
        <v>172</v>
      </c>
      <c r="B207" s="15" t="s">
        <v>411</v>
      </c>
      <c r="C207" s="16" t="s">
        <v>7</v>
      </c>
      <c r="D207" s="12" t="str">
        <f>IFERROR(__xludf.DUMMYFUNCTION("IFS(
  REGEXMATCH(A207&amp;B207, ""(?i)openai|gpt|gemini|anthropic|claude|mistral|cohere|rag|vector|llm|chatbot|ai-powered""), ""AI &amp; LLM"",
  REGEXMATCH(A207&amp;B207, ""(?i)twitter|instagram|facebook|linkedin|youtube|tiktok|threads|bluesky|pinterest|social vid"&amp;"eo|reels?|shorts?""), ""Social Media"",
  REGEXMATCH(A207&amp;B207, ""(?i)hubspot|pipedrive|stripe|shopify|woocommerce|sales|crm|invoice|order|leads?|recruitment|bamboohr|erpnext""), ""CRM &amp; Sales"",
  REGEXMATCH(A207&amp;B207, ""(?i)gmail|outlook|calendar|slack|"&amp;"discord|telegram|whatsapp|notion|trello|drive|sheets?|meeting|scheduler|appointment|mattermost""), ""Productivity &amp; Communication"",
  REGEXMATCH(A207&amp;B207, ""(?i)github|api|webhook|http|mysql|supabase|mongodb|redis|rss|pr|code review|incident|pagerduty|j"&amp;"ira""), ""Development &amp; Utilities"",
  TRUE, ""Others""
)"),"AI &amp; LLM")</f>
        <v>AI &amp; LLM</v>
      </c>
    </row>
    <row r="208" ht="15.75" customHeight="1">
      <c r="A208" s="14" t="s">
        <v>412</v>
      </c>
      <c r="B208" s="15" t="s">
        <v>413</v>
      </c>
      <c r="C208" s="16" t="s">
        <v>7</v>
      </c>
      <c r="D208" s="12" t="str">
        <f>IFERROR(__xludf.DUMMYFUNCTION("IFS(
  REGEXMATCH(A208&amp;B208, ""(?i)openai|gpt|gemini|anthropic|claude|mistral|cohere|rag|vector|llm|chatbot|ai-powered""), ""AI &amp; LLM"",
  REGEXMATCH(A208&amp;B208, ""(?i)twitter|instagram|facebook|linkedin|youtube|tiktok|threads|bluesky|pinterest|social vid"&amp;"eo|reels?|shorts?""), ""Social Media"",
  REGEXMATCH(A208&amp;B208, ""(?i)hubspot|pipedrive|stripe|shopify|woocommerce|sales|crm|invoice|order|leads?|recruitment|bamboohr|erpnext""), ""CRM &amp; Sales"",
  REGEXMATCH(A208&amp;B208, ""(?i)gmail|outlook|calendar|slack|"&amp;"discord|telegram|whatsapp|notion|trello|drive|sheets?|meeting|scheduler|appointment|mattermost""), ""Productivity &amp; Communication"",
  REGEXMATCH(A208&amp;B208, ""(?i)github|api|webhook|http|mysql|supabase|mongodb|redis|rss|pr|code review|incident|pagerduty|j"&amp;"ira""), ""Development &amp; Utilities"",
  TRUE, ""Others""
)"),"AI &amp; LLM")</f>
        <v>AI &amp; LLM</v>
      </c>
    </row>
    <row r="209" ht="15.75" customHeight="1">
      <c r="A209" s="14" t="s">
        <v>414</v>
      </c>
      <c r="B209" s="15" t="s">
        <v>415</v>
      </c>
      <c r="C209" s="16" t="s">
        <v>7</v>
      </c>
      <c r="D209" s="12" t="str">
        <f>IFERROR(__xludf.DUMMYFUNCTION("IFS(
  REGEXMATCH(A209&amp;B209, ""(?i)openai|gpt|gemini|anthropic|claude|mistral|cohere|rag|vector|llm|chatbot|ai-powered""), ""AI &amp; LLM"",
  REGEXMATCH(A209&amp;B209, ""(?i)twitter|instagram|facebook|linkedin|youtube|tiktok|threads|bluesky|pinterest|social vid"&amp;"eo|reels?|shorts?""), ""Social Media"",
  REGEXMATCH(A209&amp;B209, ""(?i)hubspot|pipedrive|stripe|shopify|woocommerce|sales|crm|invoice|order|leads?|recruitment|bamboohr|erpnext""), ""CRM &amp; Sales"",
  REGEXMATCH(A209&amp;B209, ""(?i)gmail|outlook|calendar|slack|"&amp;"discord|telegram|whatsapp|notion|trello|drive|sheets?|meeting|scheduler|appointment|mattermost""), ""Productivity &amp; Communication"",
  REGEXMATCH(A209&amp;B209, ""(?i)github|api|webhook|http|mysql|supabase|mongodb|redis|rss|pr|code review|incident|pagerduty|j"&amp;"ira""), ""Development &amp; Utilities"",
  TRUE, ""Others""
)"),"AI &amp; LLM")</f>
        <v>AI &amp; LLM</v>
      </c>
    </row>
    <row r="210" ht="15.75" customHeight="1">
      <c r="A210" s="14" t="s">
        <v>416</v>
      </c>
      <c r="B210" s="15" t="s">
        <v>417</v>
      </c>
      <c r="C210" s="16" t="s">
        <v>7</v>
      </c>
      <c r="D210" s="12" t="str">
        <f>IFERROR(__xludf.DUMMYFUNCTION("IFS(
  REGEXMATCH(A210&amp;B210, ""(?i)openai|gpt|gemini|anthropic|claude|mistral|cohere|rag|vector|llm|chatbot|ai-powered""), ""AI &amp; LLM"",
  REGEXMATCH(A210&amp;B210, ""(?i)twitter|instagram|facebook|linkedin|youtube|tiktok|threads|bluesky|pinterest|social vid"&amp;"eo|reels?|shorts?""), ""Social Media"",
  REGEXMATCH(A210&amp;B210, ""(?i)hubspot|pipedrive|stripe|shopify|woocommerce|sales|crm|invoice|order|leads?|recruitment|bamboohr|erpnext""), ""CRM &amp; Sales"",
  REGEXMATCH(A210&amp;B210, ""(?i)gmail|outlook|calendar|slack|"&amp;"discord|telegram|whatsapp|notion|trello|drive|sheets?|meeting|scheduler|appointment|mattermost""), ""Productivity &amp; Communication"",
  REGEXMATCH(A210&amp;B210, ""(?i)github|api|webhook|http|mysql|supabase|mongodb|redis|rss|pr|code review|incident|pagerduty|j"&amp;"ira""), ""Development &amp; Utilities"",
  TRUE, ""Others""
)"),"AI &amp; LLM")</f>
        <v>AI &amp; LLM</v>
      </c>
    </row>
    <row r="211" ht="15.75" customHeight="1">
      <c r="A211" s="14" t="s">
        <v>308</v>
      </c>
      <c r="B211" s="15" t="s">
        <v>418</v>
      </c>
      <c r="C211" s="16" t="s">
        <v>7</v>
      </c>
      <c r="D211" s="12" t="str">
        <f>IFERROR(__xludf.DUMMYFUNCTION("IFS(
  REGEXMATCH(A211&amp;B211, ""(?i)openai|gpt|gemini|anthropic|claude|mistral|cohere|rag|vector|llm|chatbot|ai-powered""), ""AI &amp; LLM"",
  REGEXMATCH(A211&amp;B211, ""(?i)twitter|instagram|facebook|linkedin|youtube|tiktok|threads|bluesky|pinterest|social vid"&amp;"eo|reels?|shorts?""), ""Social Media"",
  REGEXMATCH(A211&amp;B211, ""(?i)hubspot|pipedrive|stripe|shopify|woocommerce|sales|crm|invoice|order|leads?|recruitment|bamboohr|erpnext""), ""CRM &amp; Sales"",
  REGEXMATCH(A211&amp;B211, ""(?i)gmail|outlook|calendar|slack|"&amp;"discord|telegram|whatsapp|notion|trello|drive|sheets?|meeting|scheduler|appointment|mattermost""), ""Productivity &amp; Communication"",
  REGEXMATCH(A211&amp;B211, ""(?i)github|api|webhook|http|mysql|supabase|mongodb|redis|rss|pr|code review|incident|pagerduty|j"&amp;"ira""), ""Development &amp; Utilities"",
  TRUE, ""Others""
)"),"AI &amp; LLM")</f>
        <v>AI &amp; LLM</v>
      </c>
    </row>
    <row r="212" ht="15.75" customHeight="1">
      <c r="A212" s="14" t="s">
        <v>419</v>
      </c>
      <c r="B212" s="15" t="s">
        <v>420</v>
      </c>
      <c r="C212" s="16" t="s">
        <v>7</v>
      </c>
      <c r="D212" s="12" t="str">
        <f>IFERROR(__xludf.DUMMYFUNCTION("IFS(
  REGEXMATCH(A212&amp;B212, ""(?i)openai|gpt|gemini|anthropic|claude|mistral|cohere|rag|vector|llm|chatbot|ai-powered""), ""AI &amp; LLM"",
  REGEXMATCH(A212&amp;B212, ""(?i)twitter|instagram|facebook|linkedin|youtube|tiktok|threads|bluesky|pinterest|social vid"&amp;"eo|reels?|shorts?""), ""Social Media"",
  REGEXMATCH(A212&amp;B212, ""(?i)hubspot|pipedrive|stripe|shopify|woocommerce|sales|crm|invoice|order|leads?|recruitment|bamboohr|erpnext""), ""CRM &amp; Sales"",
  REGEXMATCH(A212&amp;B212, ""(?i)gmail|outlook|calendar|slack|"&amp;"discord|telegram|whatsapp|notion|trello|drive|sheets?|meeting|scheduler|appointment|mattermost""), ""Productivity &amp; Communication"",
  REGEXMATCH(A212&amp;B212, ""(?i)github|api|webhook|http|mysql|supabase|mongodb|redis|rss|pr|code review|incident|pagerduty|j"&amp;"ira""), ""Development &amp; Utilities"",
  TRUE, ""Others""
)"),"AI &amp; LLM")</f>
        <v>AI &amp; LLM</v>
      </c>
    </row>
    <row r="213" ht="15.75" customHeight="1">
      <c r="A213" s="14" t="s">
        <v>421</v>
      </c>
      <c r="B213" s="15" t="s">
        <v>422</v>
      </c>
      <c r="C213" s="16" t="s">
        <v>7</v>
      </c>
      <c r="D213" s="12" t="str">
        <f>IFERROR(__xludf.DUMMYFUNCTION("IFS(
  REGEXMATCH(A213&amp;B213, ""(?i)openai|gpt|gemini|anthropic|claude|mistral|cohere|rag|vector|llm|chatbot|ai-powered""), ""AI &amp; LLM"",
  REGEXMATCH(A213&amp;B213, ""(?i)twitter|instagram|facebook|linkedin|youtube|tiktok|threads|bluesky|pinterest|social vid"&amp;"eo|reels?|shorts?""), ""Social Media"",
  REGEXMATCH(A213&amp;B213, ""(?i)hubspot|pipedrive|stripe|shopify|woocommerce|sales|crm|invoice|order|leads?|recruitment|bamboohr|erpnext""), ""CRM &amp; Sales"",
  REGEXMATCH(A213&amp;B213, ""(?i)gmail|outlook|calendar|slack|"&amp;"discord|telegram|whatsapp|notion|trello|drive|sheets?|meeting|scheduler|appointment|mattermost""), ""Productivity &amp; Communication"",
  REGEXMATCH(A213&amp;B213, ""(?i)github|api|webhook|http|mysql|supabase|mongodb|redis|rss|pr|code review|incident|pagerduty|j"&amp;"ira""), ""Development &amp; Utilities"",
  TRUE, ""Others""
)"),"AI &amp; LLM")</f>
        <v>AI &amp; LLM</v>
      </c>
    </row>
    <row r="214" ht="15.75" customHeight="1">
      <c r="A214" s="14" t="s">
        <v>423</v>
      </c>
      <c r="B214" s="15" t="s">
        <v>424</v>
      </c>
      <c r="C214" s="16" t="s">
        <v>7</v>
      </c>
      <c r="D214" s="12" t="str">
        <f>IFERROR(__xludf.DUMMYFUNCTION("IFS(
  REGEXMATCH(A214&amp;B214, ""(?i)openai|gpt|gemini|anthropic|claude|mistral|cohere|rag|vector|llm|chatbot|ai-powered""), ""AI &amp; LLM"",
  REGEXMATCH(A214&amp;B214, ""(?i)twitter|instagram|facebook|linkedin|youtube|tiktok|threads|bluesky|pinterest|social vid"&amp;"eo|reels?|shorts?""), ""Social Media"",
  REGEXMATCH(A214&amp;B214, ""(?i)hubspot|pipedrive|stripe|shopify|woocommerce|sales|crm|invoice|order|leads?|recruitment|bamboohr|erpnext""), ""CRM &amp; Sales"",
  REGEXMATCH(A214&amp;B214, ""(?i)gmail|outlook|calendar|slack|"&amp;"discord|telegram|whatsapp|notion|trello|drive|sheets?|meeting|scheduler|appointment|mattermost""), ""Productivity &amp; Communication"",
  REGEXMATCH(A214&amp;B214, ""(?i)github|api|webhook|http|mysql|supabase|mongodb|redis|rss|pr|code review|incident|pagerduty|j"&amp;"ira""), ""Development &amp; Utilities"",
  TRUE, ""Others""
)"),"AI &amp; LLM")</f>
        <v>AI &amp; LLM</v>
      </c>
    </row>
    <row r="215" ht="15.75" customHeight="1">
      <c r="A215" s="14" t="s">
        <v>425</v>
      </c>
      <c r="B215" s="15" t="s">
        <v>426</v>
      </c>
      <c r="C215" s="16" t="s">
        <v>7</v>
      </c>
      <c r="D215" s="12" t="str">
        <f>IFERROR(__xludf.DUMMYFUNCTION("IFS(
  REGEXMATCH(A215&amp;B215, ""(?i)openai|gpt|gemini|anthropic|claude|mistral|cohere|rag|vector|llm|chatbot|ai-powered""), ""AI &amp; LLM"",
  REGEXMATCH(A215&amp;B215, ""(?i)twitter|instagram|facebook|linkedin|youtube|tiktok|threads|bluesky|pinterest|social vid"&amp;"eo|reels?|shorts?""), ""Social Media"",
  REGEXMATCH(A215&amp;B215, ""(?i)hubspot|pipedrive|stripe|shopify|woocommerce|sales|crm|invoice|order|leads?|recruitment|bamboohr|erpnext""), ""CRM &amp; Sales"",
  REGEXMATCH(A215&amp;B215, ""(?i)gmail|outlook|calendar|slack|"&amp;"discord|telegram|whatsapp|notion|trello|drive|sheets?|meeting|scheduler|appointment|mattermost""), ""Productivity &amp; Communication"",
  REGEXMATCH(A215&amp;B215, ""(?i)github|api|webhook|http|mysql|supabase|mongodb|redis|rss|pr|code review|incident|pagerduty|j"&amp;"ira""), ""Development &amp; Utilities"",
  TRUE, ""Others""
)"),"AI &amp; LLM")</f>
        <v>AI &amp; LLM</v>
      </c>
    </row>
    <row r="216" ht="15.75" customHeight="1">
      <c r="A216" s="14" t="s">
        <v>427</v>
      </c>
      <c r="B216" s="15" t="s">
        <v>428</v>
      </c>
      <c r="C216" s="16" t="s">
        <v>7</v>
      </c>
      <c r="D216" s="12" t="str">
        <f>IFERROR(__xludf.DUMMYFUNCTION("IFS(
  REGEXMATCH(A216&amp;B216, ""(?i)openai|gpt|gemini|anthropic|claude|mistral|cohere|rag|vector|llm|chatbot|ai-powered""), ""AI &amp; LLM"",
  REGEXMATCH(A216&amp;B216, ""(?i)twitter|instagram|facebook|linkedin|youtube|tiktok|threads|bluesky|pinterest|social vid"&amp;"eo|reels?|shorts?""), ""Social Media"",
  REGEXMATCH(A216&amp;B216, ""(?i)hubspot|pipedrive|stripe|shopify|woocommerce|sales|crm|invoice|order|leads?|recruitment|bamboohr|erpnext""), ""CRM &amp; Sales"",
  REGEXMATCH(A216&amp;B216, ""(?i)gmail|outlook|calendar|slack|"&amp;"discord|telegram|whatsapp|notion|trello|drive|sheets?|meeting|scheduler|appointment|mattermost""), ""Productivity &amp; Communication"",
  REGEXMATCH(A216&amp;B216, ""(?i)github|api|webhook|http|mysql|supabase|mongodb|redis|rss|pr|code review|incident|pagerduty|j"&amp;"ira""), ""Development &amp; Utilities"",
  TRUE, ""Others""
)"),"Productivity &amp; Communication")</f>
        <v>Productivity &amp; Communication</v>
      </c>
    </row>
    <row r="217" ht="15.75" customHeight="1">
      <c r="A217" s="14" t="s">
        <v>429</v>
      </c>
      <c r="B217" s="15" t="s">
        <v>430</v>
      </c>
      <c r="C217" s="16" t="s">
        <v>7</v>
      </c>
      <c r="D217" s="12" t="str">
        <f>IFERROR(__xludf.DUMMYFUNCTION("IFS(
  REGEXMATCH(A217&amp;B217, ""(?i)openai|gpt|gemini|anthropic|claude|mistral|cohere|rag|vector|llm|chatbot|ai-powered""), ""AI &amp; LLM"",
  REGEXMATCH(A217&amp;B217, ""(?i)twitter|instagram|facebook|linkedin|youtube|tiktok|threads|bluesky|pinterest|social vid"&amp;"eo|reels?|shorts?""), ""Social Media"",
  REGEXMATCH(A217&amp;B217, ""(?i)hubspot|pipedrive|stripe|shopify|woocommerce|sales|crm|invoice|order|leads?|recruitment|bamboohr|erpnext""), ""CRM &amp; Sales"",
  REGEXMATCH(A217&amp;B217, ""(?i)gmail|outlook|calendar|slack|"&amp;"discord|telegram|whatsapp|notion|trello|drive|sheets?|meeting|scheduler|appointment|mattermost""), ""Productivity &amp; Communication"",
  REGEXMATCH(A217&amp;B217, ""(?i)github|api|webhook|http|mysql|supabase|mongodb|redis|rss|pr|code review|incident|pagerduty|j"&amp;"ira""), ""Development &amp; Utilities"",
  TRUE, ""Others""
)"),"AI &amp; LLM")</f>
        <v>AI &amp; LLM</v>
      </c>
    </row>
    <row r="218" ht="15.75" customHeight="1">
      <c r="A218" s="14" t="s">
        <v>431</v>
      </c>
      <c r="B218" s="15" t="s">
        <v>432</v>
      </c>
      <c r="C218" s="16" t="s">
        <v>7</v>
      </c>
      <c r="D218" s="12" t="str">
        <f>IFERROR(__xludf.DUMMYFUNCTION("IFS(
  REGEXMATCH(A218&amp;B218, ""(?i)openai|gpt|gemini|anthropic|claude|mistral|cohere|rag|vector|llm|chatbot|ai-powered""), ""AI &amp; LLM"",
  REGEXMATCH(A218&amp;B218, ""(?i)twitter|instagram|facebook|linkedin|youtube|tiktok|threads|bluesky|pinterest|social vid"&amp;"eo|reels?|shorts?""), ""Social Media"",
  REGEXMATCH(A218&amp;B218, ""(?i)hubspot|pipedrive|stripe|shopify|woocommerce|sales|crm|invoice|order|leads?|recruitment|bamboohr|erpnext""), ""CRM &amp; Sales"",
  REGEXMATCH(A218&amp;B218, ""(?i)gmail|outlook|calendar|slack|"&amp;"discord|telegram|whatsapp|notion|trello|drive|sheets?|meeting|scheduler|appointment|mattermost""), ""Productivity &amp; Communication"",
  REGEXMATCH(A218&amp;B218, ""(?i)github|api|webhook|http|mysql|supabase|mongodb|redis|rss|pr|code review|incident|pagerduty|j"&amp;"ira""), ""Development &amp; Utilities"",
  TRUE, ""Others""
)"),"AI &amp; LLM")</f>
        <v>AI &amp; LLM</v>
      </c>
    </row>
    <row r="219" ht="15.75" customHeight="1">
      <c r="A219" s="14" t="s">
        <v>433</v>
      </c>
      <c r="B219" s="15" t="s">
        <v>434</v>
      </c>
      <c r="C219" s="16" t="s">
        <v>7</v>
      </c>
      <c r="D219" s="12" t="str">
        <f>IFERROR(__xludf.DUMMYFUNCTION("IFS(
  REGEXMATCH(A219&amp;B219, ""(?i)openai|gpt|gemini|anthropic|claude|mistral|cohere|rag|vector|llm|chatbot|ai-powered""), ""AI &amp; LLM"",
  REGEXMATCH(A219&amp;B219, ""(?i)twitter|instagram|facebook|linkedin|youtube|tiktok|threads|bluesky|pinterest|social vid"&amp;"eo|reels?|shorts?""), ""Social Media"",
  REGEXMATCH(A219&amp;B219, ""(?i)hubspot|pipedrive|stripe|shopify|woocommerce|sales|crm|invoice|order|leads?|recruitment|bamboohr|erpnext""), ""CRM &amp; Sales"",
  REGEXMATCH(A219&amp;B219, ""(?i)gmail|outlook|calendar|slack|"&amp;"discord|telegram|whatsapp|notion|trello|drive|sheets?|meeting|scheduler|appointment|mattermost""), ""Productivity &amp; Communication"",
  REGEXMATCH(A219&amp;B219, ""(?i)github|api|webhook|http|mysql|supabase|mongodb|redis|rss|pr|code review|incident|pagerduty|j"&amp;"ira""), ""Development &amp; Utilities"",
  TRUE, ""Others""
)"),"AI &amp; LLM")</f>
        <v>AI &amp; LLM</v>
      </c>
    </row>
    <row r="220" ht="15.75" customHeight="1">
      <c r="A220" s="14" t="s">
        <v>435</v>
      </c>
      <c r="B220" s="15" t="s">
        <v>436</v>
      </c>
      <c r="C220" s="16" t="s">
        <v>7</v>
      </c>
      <c r="D220" s="12" t="str">
        <f>IFERROR(__xludf.DUMMYFUNCTION("IFS(
  REGEXMATCH(A220&amp;B220, ""(?i)openai|gpt|gemini|anthropic|claude|mistral|cohere|rag|vector|llm|chatbot|ai-powered""), ""AI &amp; LLM"",
  REGEXMATCH(A220&amp;B220, ""(?i)twitter|instagram|facebook|linkedin|youtube|tiktok|threads|bluesky|pinterest|social vid"&amp;"eo|reels?|shorts?""), ""Social Media"",
  REGEXMATCH(A220&amp;B220, ""(?i)hubspot|pipedrive|stripe|shopify|woocommerce|sales|crm|invoice|order|leads?|recruitment|bamboohr|erpnext""), ""CRM &amp; Sales"",
  REGEXMATCH(A220&amp;B220, ""(?i)gmail|outlook|calendar|slack|"&amp;"discord|telegram|whatsapp|notion|trello|drive|sheets?|meeting|scheduler|appointment|mattermost""), ""Productivity &amp; Communication"",
  REGEXMATCH(A220&amp;B220, ""(?i)github|api|webhook|http|mysql|supabase|mongodb|redis|rss|pr|code review|incident|pagerduty|j"&amp;"ira""), ""Development &amp; Utilities"",
  TRUE, ""Others""
)"),"AI &amp; LLM")</f>
        <v>AI &amp; LLM</v>
      </c>
    </row>
    <row r="221" ht="15.75" customHeight="1">
      <c r="A221" s="14" t="s">
        <v>437</v>
      </c>
      <c r="B221" s="15" t="s">
        <v>438</v>
      </c>
      <c r="C221" s="16" t="s">
        <v>7</v>
      </c>
      <c r="D221" s="12" t="str">
        <f>IFERROR(__xludf.DUMMYFUNCTION("IFS(
  REGEXMATCH(A221&amp;B221, ""(?i)openai|gpt|gemini|anthropic|claude|mistral|cohere|rag|vector|llm|chatbot|ai-powered""), ""AI &amp; LLM"",
  REGEXMATCH(A221&amp;B221, ""(?i)twitter|instagram|facebook|linkedin|youtube|tiktok|threads|bluesky|pinterest|social vid"&amp;"eo|reels?|shorts?""), ""Social Media"",
  REGEXMATCH(A221&amp;B221, ""(?i)hubspot|pipedrive|stripe|shopify|woocommerce|sales|crm|invoice|order|leads?|recruitment|bamboohr|erpnext""), ""CRM &amp; Sales"",
  REGEXMATCH(A221&amp;B221, ""(?i)gmail|outlook|calendar|slack|"&amp;"discord|telegram|whatsapp|notion|trello|drive|sheets?|meeting|scheduler|appointment|mattermost""), ""Productivity &amp; Communication"",
  REGEXMATCH(A221&amp;B221, ""(?i)github|api|webhook|http|mysql|supabase|mongodb|redis|rss|pr|code review|incident|pagerduty|j"&amp;"ira""), ""Development &amp; Utilities"",
  TRUE, ""Others""
)"),"AI &amp; LLM")</f>
        <v>AI &amp; LLM</v>
      </c>
    </row>
    <row r="222" ht="15.75" customHeight="1">
      <c r="A222" s="14" t="s">
        <v>439</v>
      </c>
      <c r="B222" s="15" t="s">
        <v>440</v>
      </c>
      <c r="C222" s="16" t="s">
        <v>7</v>
      </c>
      <c r="D222" s="12" t="str">
        <f>IFERROR(__xludf.DUMMYFUNCTION("IFS(
  REGEXMATCH(A222&amp;B222, ""(?i)openai|gpt|gemini|anthropic|claude|mistral|cohere|rag|vector|llm|chatbot|ai-powered""), ""AI &amp; LLM"",
  REGEXMATCH(A222&amp;B222, ""(?i)twitter|instagram|facebook|linkedin|youtube|tiktok|threads|bluesky|pinterest|social vid"&amp;"eo|reels?|shorts?""), ""Social Media"",
  REGEXMATCH(A222&amp;B222, ""(?i)hubspot|pipedrive|stripe|shopify|woocommerce|sales|crm|invoice|order|leads?|recruitment|bamboohr|erpnext""), ""CRM &amp; Sales"",
  REGEXMATCH(A222&amp;B222, ""(?i)gmail|outlook|calendar|slack|"&amp;"discord|telegram|whatsapp|notion|trello|drive|sheets?|meeting|scheduler|appointment|mattermost""), ""Productivity &amp; Communication"",
  REGEXMATCH(A222&amp;B222, ""(?i)github|api|webhook|http|mysql|supabase|mongodb|redis|rss|pr|code review|incident|pagerduty|j"&amp;"ira""), ""Development &amp; Utilities"",
  TRUE, ""Others""
)"),"Productivity &amp; Communication")</f>
        <v>Productivity &amp; Communication</v>
      </c>
    </row>
    <row r="223" ht="15.75" customHeight="1">
      <c r="A223" s="14" t="s">
        <v>441</v>
      </c>
      <c r="B223" s="15" t="s">
        <v>442</v>
      </c>
      <c r="C223" s="16" t="s">
        <v>7</v>
      </c>
      <c r="D223" s="12" t="str">
        <f>IFERROR(__xludf.DUMMYFUNCTION("IFS(
  REGEXMATCH(A223&amp;B223, ""(?i)openai|gpt|gemini|anthropic|claude|mistral|cohere|rag|vector|llm|chatbot|ai-powered""), ""AI &amp; LLM"",
  REGEXMATCH(A223&amp;B223, ""(?i)twitter|instagram|facebook|linkedin|youtube|tiktok|threads|bluesky|pinterest|social vid"&amp;"eo|reels?|shorts?""), ""Social Media"",
  REGEXMATCH(A223&amp;B223, ""(?i)hubspot|pipedrive|stripe|shopify|woocommerce|sales|crm|invoice|order|leads?|recruitment|bamboohr|erpnext""), ""CRM &amp; Sales"",
  REGEXMATCH(A223&amp;B223, ""(?i)gmail|outlook|calendar|slack|"&amp;"discord|telegram|whatsapp|notion|trello|drive|sheets?|meeting|scheduler|appointment|mattermost""), ""Productivity &amp; Communication"",
  REGEXMATCH(A223&amp;B223, ""(?i)github|api|webhook|http|mysql|supabase|mongodb|redis|rss|pr|code review|incident|pagerduty|j"&amp;"ira""), ""Development &amp; Utilities"",
  TRUE, ""Others""
)"),"AI &amp; LLM")</f>
        <v>AI &amp; LLM</v>
      </c>
    </row>
    <row r="224" ht="15.75" customHeight="1">
      <c r="A224" s="14" t="s">
        <v>443</v>
      </c>
      <c r="B224" s="15" t="s">
        <v>444</v>
      </c>
      <c r="C224" s="16" t="s">
        <v>7</v>
      </c>
      <c r="D224" s="12" t="str">
        <f>IFERROR(__xludf.DUMMYFUNCTION("IFS(
  REGEXMATCH(A224&amp;B224, ""(?i)openai|gpt|gemini|anthropic|claude|mistral|cohere|rag|vector|llm|chatbot|ai-powered""), ""AI &amp; LLM"",
  REGEXMATCH(A224&amp;B224, ""(?i)twitter|instagram|facebook|linkedin|youtube|tiktok|threads|bluesky|pinterest|social vid"&amp;"eo|reels?|shorts?""), ""Social Media"",
  REGEXMATCH(A224&amp;B224, ""(?i)hubspot|pipedrive|stripe|shopify|woocommerce|sales|crm|invoice|order|leads?|recruitment|bamboohr|erpnext""), ""CRM &amp; Sales"",
  REGEXMATCH(A224&amp;B224, ""(?i)gmail|outlook|calendar|slack|"&amp;"discord|telegram|whatsapp|notion|trello|drive|sheets?|meeting|scheduler|appointment|mattermost""), ""Productivity &amp; Communication"",
  REGEXMATCH(A224&amp;B224, ""(?i)github|api|webhook|http|mysql|supabase|mongodb|redis|rss|pr|code review|incident|pagerduty|j"&amp;"ira""), ""Development &amp; Utilities"",
  TRUE, ""Others""
)"),"AI &amp; LLM")</f>
        <v>AI &amp; LLM</v>
      </c>
    </row>
    <row r="225" ht="15.75" customHeight="1">
      <c r="A225" s="14" t="s">
        <v>445</v>
      </c>
      <c r="B225" s="15" t="s">
        <v>446</v>
      </c>
      <c r="C225" s="16" t="s">
        <v>7</v>
      </c>
      <c r="D225" s="12" t="str">
        <f>IFERROR(__xludf.DUMMYFUNCTION("IFS(
  REGEXMATCH(A225&amp;B225, ""(?i)openai|gpt|gemini|anthropic|claude|mistral|cohere|rag|vector|llm|chatbot|ai-powered""), ""AI &amp; LLM"",
  REGEXMATCH(A225&amp;B225, ""(?i)twitter|instagram|facebook|linkedin|youtube|tiktok|threads|bluesky|pinterest|social vid"&amp;"eo|reels?|shorts?""), ""Social Media"",
  REGEXMATCH(A225&amp;B225, ""(?i)hubspot|pipedrive|stripe|shopify|woocommerce|sales|crm|invoice|order|leads?|recruitment|bamboohr|erpnext""), ""CRM &amp; Sales"",
  REGEXMATCH(A225&amp;B225, ""(?i)gmail|outlook|calendar|slack|"&amp;"discord|telegram|whatsapp|notion|trello|drive|sheets?|meeting|scheduler|appointment|mattermost""), ""Productivity &amp; Communication"",
  REGEXMATCH(A225&amp;B225, ""(?i)github|api|webhook|http|mysql|supabase|mongodb|redis|rss|pr|code review|incident|pagerduty|j"&amp;"ira""), ""Development &amp; Utilities"",
  TRUE, ""Others""
)"),"AI &amp; LLM")</f>
        <v>AI &amp; LLM</v>
      </c>
    </row>
    <row r="226" ht="15.75" customHeight="1">
      <c r="A226" s="14" t="s">
        <v>447</v>
      </c>
      <c r="B226" s="15" t="s">
        <v>448</v>
      </c>
      <c r="C226" s="16" t="s">
        <v>7</v>
      </c>
      <c r="D226" s="12" t="str">
        <f>IFERROR(__xludf.DUMMYFUNCTION("IFS(
  REGEXMATCH(A226&amp;B226, ""(?i)openai|gpt|gemini|anthropic|claude|mistral|cohere|rag|vector|llm|chatbot|ai-powered""), ""AI &amp; LLM"",
  REGEXMATCH(A226&amp;B226, ""(?i)twitter|instagram|facebook|linkedin|youtube|tiktok|threads|bluesky|pinterest|social vid"&amp;"eo|reels?|shorts?""), ""Social Media"",
  REGEXMATCH(A226&amp;B226, ""(?i)hubspot|pipedrive|stripe|shopify|woocommerce|sales|crm|invoice|order|leads?|recruitment|bamboohr|erpnext""), ""CRM &amp; Sales"",
  REGEXMATCH(A226&amp;B226, ""(?i)gmail|outlook|calendar|slack|"&amp;"discord|telegram|whatsapp|notion|trello|drive|sheets?|meeting|scheduler|appointment|mattermost""), ""Productivity &amp; Communication"",
  REGEXMATCH(A226&amp;B226, ""(?i)github|api|webhook|http|mysql|supabase|mongodb|redis|rss|pr|code review|incident|pagerduty|j"&amp;"ira""), ""Development &amp; Utilities"",
  TRUE, ""Others""
)"),"AI &amp; LLM")</f>
        <v>AI &amp; LLM</v>
      </c>
    </row>
    <row r="227" ht="15.75" customHeight="1">
      <c r="A227" s="14" t="s">
        <v>449</v>
      </c>
      <c r="B227" s="15" t="s">
        <v>450</v>
      </c>
      <c r="C227" s="16" t="s">
        <v>7</v>
      </c>
      <c r="D227" s="12" t="str">
        <f>IFERROR(__xludf.DUMMYFUNCTION("IFS(
  REGEXMATCH(A227&amp;B227, ""(?i)openai|gpt|gemini|anthropic|claude|mistral|cohere|rag|vector|llm|chatbot|ai-powered""), ""AI &amp; LLM"",
  REGEXMATCH(A227&amp;B227, ""(?i)twitter|instagram|facebook|linkedin|youtube|tiktok|threads|bluesky|pinterest|social vid"&amp;"eo|reels?|shorts?""), ""Social Media"",
  REGEXMATCH(A227&amp;B227, ""(?i)hubspot|pipedrive|stripe|shopify|woocommerce|sales|crm|invoice|order|leads?|recruitment|bamboohr|erpnext""), ""CRM &amp; Sales"",
  REGEXMATCH(A227&amp;B227, ""(?i)gmail|outlook|calendar|slack|"&amp;"discord|telegram|whatsapp|notion|trello|drive|sheets?|meeting|scheduler|appointment|mattermost""), ""Productivity &amp; Communication"",
  REGEXMATCH(A227&amp;B227, ""(?i)github|api|webhook|http|mysql|supabase|mongodb|redis|rss|pr|code review|incident|pagerduty|j"&amp;"ira""), ""Development &amp; Utilities"",
  TRUE, ""Others""
)"),"Productivity &amp; Communication")</f>
        <v>Productivity &amp; Communication</v>
      </c>
    </row>
    <row r="228" ht="15.75" customHeight="1">
      <c r="A228" s="14" t="s">
        <v>451</v>
      </c>
      <c r="B228" s="15" t="s">
        <v>452</v>
      </c>
      <c r="C228" s="16" t="s">
        <v>7</v>
      </c>
      <c r="D228" s="12" t="str">
        <f>IFERROR(__xludf.DUMMYFUNCTION("IFS(
  REGEXMATCH(A228&amp;B228, ""(?i)openai|gpt|gemini|anthropic|claude|mistral|cohere|rag|vector|llm|chatbot|ai-powered""), ""AI &amp; LLM"",
  REGEXMATCH(A228&amp;B228, ""(?i)twitter|instagram|facebook|linkedin|youtube|tiktok|threads|bluesky|pinterest|social vid"&amp;"eo|reels?|shorts?""), ""Social Media"",
  REGEXMATCH(A228&amp;B228, ""(?i)hubspot|pipedrive|stripe|shopify|woocommerce|sales|crm|invoice|order|leads?|recruitment|bamboohr|erpnext""), ""CRM &amp; Sales"",
  REGEXMATCH(A228&amp;B228, ""(?i)gmail|outlook|calendar|slack|"&amp;"discord|telegram|whatsapp|notion|trello|drive|sheets?|meeting|scheduler|appointment|mattermost""), ""Productivity &amp; Communication"",
  REGEXMATCH(A228&amp;B228, ""(?i)github|api|webhook|http|mysql|supabase|mongodb|redis|rss|pr|code review|incident|pagerduty|j"&amp;"ira""), ""Development &amp; Utilities"",
  TRUE, ""Others""
)"),"AI &amp; LLM")</f>
        <v>AI &amp; LLM</v>
      </c>
    </row>
    <row r="229" ht="15.75" customHeight="1">
      <c r="A229" s="14" t="s">
        <v>453</v>
      </c>
      <c r="B229" s="15" t="s">
        <v>454</v>
      </c>
      <c r="C229" s="16" t="s">
        <v>7</v>
      </c>
      <c r="D229" s="12" t="str">
        <f>IFERROR(__xludf.DUMMYFUNCTION("IFS(
  REGEXMATCH(A229&amp;B229, ""(?i)openai|gpt|gemini|anthropic|claude|mistral|cohere|rag|vector|llm|chatbot|ai-powered""), ""AI &amp; LLM"",
  REGEXMATCH(A229&amp;B229, ""(?i)twitter|instagram|facebook|linkedin|youtube|tiktok|threads|bluesky|pinterest|social vid"&amp;"eo|reels?|shorts?""), ""Social Media"",
  REGEXMATCH(A229&amp;B229, ""(?i)hubspot|pipedrive|stripe|shopify|woocommerce|sales|crm|invoice|order|leads?|recruitment|bamboohr|erpnext""), ""CRM &amp; Sales"",
  REGEXMATCH(A229&amp;B229, ""(?i)gmail|outlook|calendar|slack|"&amp;"discord|telegram|whatsapp|notion|trello|drive|sheets?|meeting|scheduler|appointment|mattermost""), ""Productivity &amp; Communication"",
  REGEXMATCH(A229&amp;B229, ""(?i)github|api|webhook|http|mysql|supabase|mongodb|redis|rss|pr|code review|incident|pagerduty|j"&amp;"ira""), ""Development &amp; Utilities"",
  TRUE, ""Others""
)"),"Social Media")</f>
        <v>Social Media</v>
      </c>
    </row>
    <row r="230" ht="15.75" customHeight="1">
      <c r="A230" s="14" t="s">
        <v>455</v>
      </c>
      <c r="B230" s="15" t="s">
        <v>456</v>
      </c>
      <c r="C230" s="16" t="s">
        <v>7</v>
      </c>
      <c r="D230" s="12" t="str">
        <f>IFERROR(__xludf.DUMMYFUNCTION("IFS(
  REGEXMATCH(A230&amp;B230, ""(?i)openai|gpt|gemini|anthropic|claude|mistral|cohere|rag|vector|llm|chatbot|ai-powered""), ""AI &amp; LLM"",
  REGEXMATCH(A230&amp;B230, ""(?i)twitter|instagram|facebook|linkedin|youtube|tiktok|threads|bluesky|pinterest|social vid"&amp;"eo|reels?|shorts?""), ""Social Media"",
  REGEXMATCH(A230&amp;B230, ""(?i)hubspot|pipedrive|stripe|shopify|woocommerce|sales|crm|invoice|order|leads?|recruitment|bamboohr|erpnext""), ""CRM &amp; Sales"",
  REGEXMATCH(A230&amp;B230, ""(?i)gmail|outlook|calendar|slack|"&amp;"discord|telegram|whatsapp|notion|trello|drive|sheets?|meeting|scheduler|appointment|mattermost""), ""Productivity &amp; Communication"",
  REGEXMATCH(A230&amp;B230, ""(?i)github|api|webhook|http|mysql|supabase|mongodb|redis|rss|pr|code review|incident|pagerduty|j"&amp;"ira""), ""Development &amp; Utilities"",
  TRUE, ""Others""
)"),"AI &amp; LLM")</f>
        <v>AI &amp; LLM</v>
      </c>
    </row>
    <row r="231" ht="15.75" customHeight="1">
      <c r="A231" s="14" t="s">
        <v>457</v>
      </c>
      <c r="B231" s="15" t="s">
        <v>458</v>
      </c>
      <c r="C231" s="16" t="s">
        <v>7</v>
      </c>
      <c r="D231" s="12" t="str">
        <f>IFERROR(__xludf.DUMMYFUNCTION("IFS(
  REGEXMATCH(A231&amp;B231, ""(?i)openai|gpt|gemini|anthropic|claude|mistral|cohere|rag|vector|llm|chatbot|ai-powered""), ""AI &amp; LLM"",
  REGEXMATCH(A231&amp;B231, ""(?i)twitter|instagram|facebook|linkedin|youtube|tiktok|threads|bluesky|pinterest|social vid"&amp;"eo|reels?|shorts?""), ""Social Media"",
  REGEXMATCH(A231&amp;B231, ""(?i)hubspot|pipedrive|stripe|shopify|woocommerce|sales|crm|invoice|order|leads?|recruitment|bamboohr|erpnext""), ""CRM &amp; Sales"",
  REGEXMATCH(A231&amp;B231, ""(?i)gmail|outlook|calendar|slack|"&amp;"discord|telegram|whatsapp|notion|trello|drive|sheets?|meeting|scheduler|appointment|mattermost""), ""Productivity &amp; Communication"",
  REGEXMATCH(A231&amp;B231, ""(?i)github|api|webhook|http|mysql|supabase|mongodb|redis|rss|pr|code review|incident|pagerduty|j"&amp;"ira""), ""Development &amp; Utilities"",
  TRUE, ""Others""
)"),"AI &amp; LLM")</f>
        <v>AI &amp; LLM</v>
      </c>
    </row>
    <row r="232" ht="15.75" customHeight="1">
      <c r="A232" s="14" t="s">
        <v>459</v>
      </c>
      <c r="B232" s="15" t="s">
        <v>460</v>
      </c>
      <c r="C232" s="16" t="s">
        <v>7</v>
      </c>
      <c r="D232" s="12" t="str">
        <f>IFERROR(__xludf.DUMMYFUNCTION("IFS(
  REGEXMATCH(A232&amp;B232, ""(?i)openai|gpt|gemini|anthropic|claude|mistral|cohere|rag|vector|llm|chatbot|ai-powered""), ""AI &amp; LLM"",
  REGEXMATCH(A232&amp;B232, ""(?i)twitter|instagram|facebook|linkedin|youtube|tiktok|threads|bluesky|pinterest|social vid"&amp;"eo|reels?|shorts?""), ""Social Media"",
  REGEXMATCH(A232&amp;B232, ""(?i)hubspot|pipedrive|stripe|shopify|woocommerce|sales|crm|invoice|order|leads?|recruitment|bamboohr|erpnext""), ""CRM &amp; Sales"",
  REGEXMATCH(A232&amp;B232, ""(?i)gmail|outlook|calendar|slack|"&amp;"discord|telegram|whatsapp|notion|trello|drive|sheets?|meeting|scheduler|appointment|mattermost""), ""Productivity &amp; Communication"",
  REGEXMATCH(A232&amp;B232, ""(?i)github|api|webhook|http|mysql|supabase|mongodb|redis|rss|pr|code review|incident|pagerduty|j"&amp;"ira""), ""Development &amp; Utilities"",
  TRUE, ""Others""
)"),"AI &amp; LLM")</f>
        <v>AI &amp; LLM</v>
      </c>
    </row>
    <row r="233" ht="15.75" customHeight="1">
      <c r="A233" s="14" t="s">
        <v>461</v>
      </c>
      <c r="B233" s="15" t="s">
        <v>462</v>
      </c>
      <c r="C233" s="16" t="s">
        <v>7</v>
      </c>
      <c r="D233" s="12" t="str">
        <f>IFERROR(__xludf.DUMMYFUNCTION("IFS(
  REGEXMATCH(A233&amp;B233, ""(?i)openai|gpt|gemini|anthropic|claude|mistral|cohere|rag|vector|llm|chatbot|ai-powered""), ""AI &amp; LLM"",
  REGEXMATCH(A233&amp;B233, ""(?i)twitter|instagram|facebook|linkedin|youtube|tiktok|threads|bluesky|pinterest|social vid"&amp;"eo|reels?|shorts?""), ""Social Media"",
  REGEXMATCH(A233&amp;B233, ""(?i)hubspot|pipedrive|stripe|shopify|woocommerce|sales|crm|invoice|order|leads?|recruitment|bamboohr|erpnext""), ""CRM &amp; Sales"",
  REGEXMATCH(A233&amp;B233, ""(?i)gmail|outlook|calendar|slack|"&amp;"discord|telegram|whatsapp|notion|trello|drive|sheets?|meeting|scheduler|appointment|mattermost""), ""Productivity &amp; Communication"",
  REGEXMATCH(A233&amp;B233, ""(?i)github|api|webhook|http|mysql|supabase|mongodb|redis|rss|pr|code review|incident|pagerduty|j"&amp;"ira""), ""Development &amp; Utilities"",
  TRUE, ""Others""
)"),"AI &amp; LLM")</f>
        <v>AI &amp; LLM</v>
      </c>
    </row>
    <row r="234" ht="15.75" customHeight="1">
      <c r="A234" s="14" t="s">
        <v>463</v>
      </c>
      <c r="B234" s="15" t="s">
        <v>464</v>
      </c>
      <c r="C234" s="16" t="s">
        <v>7</v>
      </c>
      <c r="D234" s="12" t="str">
        <f>IFERROR(__xludf.DUMMYFUNCTION("IFS(
  REGEXMATCH(A234&amp;B234, ""(?i)openai|gpt|gemini|anthropic|claude|mistral|cohere|rag|vector|llm|chatbot|ai-powered""), ""AI &amp; LLM"",
  REGEXMATCH(A234&amp;B234, ""(?i)twitter|instagram|facebook|linkedin|youtube|tiktok|threads|bluesky|pinterest|social vid"&amp;"eo|reels?|shorts?""), ""Social Media"",
  REGEXMATCH(A234&amp;B234, ""(?i)hubspot|pipedrive|stripe|shopify|woocommerce|sales|crm|invoice|order|leads?|recruitment|bamboohr|erpnext""), ""CRM &amp; Sales"",
  REGEXMATCH(A234&amp;B234, ""(?i)gmail|outlook|calendar|slack|"&amp;"discord|telegram|whatsapp|notion|trello|drive|sheets?|meeting|scheduler|appointment|mattermost""), ""Productivity &amp; Communication"",
  REGEXMATCH(A234&amp;B234, ""(?i)github|api|webhook|http|mysql|supabase|mongodb|redis|rss|pr|code review|incident|pagerduty|j"&amp;"ira""), ""Development &amp; Utilities"",
  TRUE, ""Others""
)"),"AI &amp; LLM")</f>
        <v>AI &amp; LLM</v>
      </c>
    </row>
    <row r="235" ht="15.75" customHeight="1">
      <c r="A235" s="14" t="s">
        <v>465</v>
      </c>
      <c r="B235" s="15" t="s">
        <v>466</v>
      </c>
      <c r="C235" s="16" t="s">
        <v>7</v>
      </c>
      <c r="D235" s="12" t="str">
        <f>IFERROR(__xludf.DUMMYFUNCTION("IFS(
  REGEXMATCH(A235&amp;B235, ""(?i)openai|gpt|gemini|anthropic|claude|mistral|cohere|rag|vector|llm|chatbot|ai-powered""), ""AI &amp; LLM"",
  REGEXMATCH(A235&amp;B235, ""(?i)twitter|instagram|facebook|linkedin|youtube|tiktok|threads|bluesky|pinterest|social vid"&amp;"eo|reels?|shorts?""), ""Social Media"",
  REGEXMATCH(A235&amp;B235, ""(?i)hubspot|pipedrive|stripe|shopify|woocommerce|sales|crm|invoice|order|leads?|recruitment|bamboohr|erpnext""), ""CRM &amp; Sales"",
  REGEXMATCH(A235&amp;B235, ""(?i)gmail|outlook|calendar|slack|"&amp;"discord|telegram|whatsapp|notion|trello|drive|sheets?|meeting|scheduler|appointment|mattermost""), ""Productivity &amp; Communication"",
  REGEXMATCH(A235&amp;B235, ""(?i)github|api|webhook|http|mysql|supabase|mongodb|redis|rss|pr|code review|incident|pagerduty|j"&amp;"ira""), ""Development &amp; Utilities"",
  TRUE, ""Others""
)"),"AI &amp; LLM")</f>
        <v>AI &amp; LLM</v>
      </c>
    </row>
    <row r="236" ht="15.75" customHeight="1">
      <c r="A236" s="14" t="s">
        <v>467</v>
      </c>
      <c r="B236" s="15" t="s">
        <v>468</v>
      </c>
      <c r="C236" s="16" t="s">
        <v>7</v>
      </c>
      <c r="D236" s="12" t="str">
        <f>IFERROR(__xludf.DUMMYFUNCTION("IFS(
  REGEXMATCH(A236&amp;B236, ""(?i)openai|gpt|gemini|anthropic|claude|mistral|cohere|rag|vector|llm|chatbot|ai-powered""), ""AI &amp; LLM"",
  REGEXMATCH(A236&amp;B236, ""(?i)twitter|instagram|facebook|linkedin|youtube|tiktok|threads|bluesky|pinterest|social vid"&amp;"eo|reels?|shorts?""), ""Social Media"",
  REGEXMATCH(A236&amp;B236, ""(?i)hubspot|pipedrive|stripe|shopify|woocommerce|sales|crm|invoice|order|leads?|recruitment|bamboohr|erpnext""), ""CRM &amp; Sales"",
  REGEXMATCH(A236&amp;B236, ""(?i)gmail|outlook|calendar|slack|"&amp;"discord|telegram|whatsapp|notion|trello|drive|sheets?|meeting|scheduler|appointment|mattermost""), ""Productivity &amp; Communication"",
  REGEXMATCH(A236&amp;B236, ""(?i)github|api|webhook|http|mysql|supabase|mongodb|redis|rss|pr|code review|incident|pagerduty|j"&amp;"ira""), ""Development &amp; Utilities"",
  TRUE, ""Others""
)"),"AI &amp; LLM")</f>
        <v>AI &amp; LLM</v>
      </c>
    </row>
    <row r="237" ht="15.75" customHeight="1">
      <c r="A237" s="14" t="s">
        <v>469</v>
      </c>
      <c r="B237" s="15" t="s">
        <v>470</v>
      </c>
      <c r="C237" s="16" t="s">
        <v>7</v>
      </c>
      <c r="D237" s="12" t="str">
        <f>IFERROR(__xludf.DUMMYFUNCTION("IFS(
  REGEXMATCH(A237&amp;B237, ""(?i)openai|gpt|gemini|anthropic|claude|mistral|cohere|rag|vector|llm|chatbot|ai-powered""), ""AI &amp; LLM"",
  REGEXMATCH(A237&amp;B237, ""(?i)twitter|instagram|facebook|linkedin|youtube|tiktok|threads|bluesky|pinterest|social vid"&amp;"eo|reels?|shorts?""), ""Social Media"",
  REGEXMATCH(A237&amp;B237, ""(?i)hubspot|pipedrive|stripe|shopify|woocommerce|sales|crm|invoice|order|leads?|recruitment|bamboohr|erpnext""), ""CRM &amp; Sales"",
  REGEXMATCH(A237&amp;B237, ""(?i)gmail|outlook|calendar|slack|"&amp;"discord|telegram|whatsapp|notion|trello|drive|sheets?|meeting|scheduler|appointment|mattermost""), ""Productivity &amp; Communication"",
  REGEXMATCH(A237&amp;B237, ""(?i)github|api|webhook|http|mysql|supabase|mongodb|redis|rss|pr|code review|incident|pagerduty|j"&amp;"ira""), ""Development &amp; Utilities"",
  TRUE, ""Others""
)"),"AI &amp; LLM")</f>
        <v>AI &amp; LLM</v>
      </c>
    </row>
    <row r="238" ht="15.75" customHeight="1">
      <c r="A238" s="14" t="s">
        <v>471</v>
      </c>
      <c r="B238" s="15" t="s">
        <v>472</v>
      </c>
      <c r="C238" s="16" t="s">
        <v>7</v>
      </c>
      <c r="D238" s="12" t="str">
        <f>IFERROR(__xludf.DUMMYFUNCTION("IFS(
  REGEXMATCH(A238&amp;B238, ""(?i)openai|gpt|gemini|anthropic|claude|mistral|cohere|rag|vector|llm|chatbot|ai-powered""), ""AI &amp; LLM"",
  REGEXMATCH(A238&amp;B238, ""(?i)twitter|instagram|facebook|linkedin|youtube|tiktok|threads|bluesky|pinterest|social vid"&amp;"eo|reels?|shorts?""), ""Social Media"",
  REGEXMATCH(A238&amp;B238, ""(?i)hubspot|pipedrive|stripe|shopify|woocommerce|sales|crm|invoice|order|leads?|recruitment|bamboohr|erpnext""), ""CRM &amp; Sales"",
  REGEXMATCH(A238&amp;B238, ""(?i)gmail|outlook|calendar|slack|"&amp;"discord|telegram|whatsapp|notion|trello|drive|sheets?|meeting|scheduler|appointment|mattermost""), ""Productivity &amp; Communication"",
  REGEXMATCH(A238&amp;B238, ""(?i)github|api|webhook|http|mysql|supabase|mongodb|redis|rss|pr|code review|incident|pagerduty|j"&amp;"ira""), ""Development &amp; Utilities"",
  TRUE, ""Others""
)"),"AI &amp; LLM")</f>
        <v>AI &amp; LLM</v>
      </c>
    </row>
    <row r="239" ht="15.75" customHeight="1">
      <c r="A239" s="14" t="s">
        <v>473</v>
      </c>
      <c r="B239" s="15" t="s">
        <v>474</v>
      </c>
      <c r="C239" s="16" t="s">
        <v>7</v>
      </c>
      <c r="D239" s="12" t="str">
        <f>IFERROR(__xludf.DUMMYFUNCTION("IFS(
  REGEXMATCH(A239&amp;B239, ""(?i)openai|gpt|gemini|anthropic|claude|mistral|cohere|rag|vector|llm|chatbot|ai-powered""), ""AI &amp; LLM"",
  REGEXMATCH(A239&amp;B239, ""(?i)twitter|instagram|facebook|linkedin|youtube|tiktok|threads|bluesky|pinterest|social vid"&amp;"eo|reels?|shorts?""), ""Social Media"",
  REGEXMATCH(A239&amp;B239, ""(?i)hubspot|pipedrive|stripe|shopify|woocommerce|sales|crm|invoice|order|leads?|recruitment|bamboohr|erpnext""), ""CRM &amp; Sales"",
  REGEXMATCH(A239&amp;B239, ""(?i)gmail|outlook|calendar|slack|"&amp;"discord|telegram|whatsapp|notion|trello|drive|sheets?|meeting|scheduler|appointment|mattermost""), ""Productivity &amp; Communication"",
  REGEXMATCH(A239&amp;B239, ""(?i)github|api|webhook|http|mysql|supabase|mongodb|redis|rss|pr|code review|incident|pagerduty|j"&amp;"ira""), ""Development &amp; Utilities"",
  TRUE, ""Others""
)"),"AI &amp; LLM")</f>
        <v>AI &amp; LLM</v>
      </c>
    </row>
    <row r="240" ht="15.75" customHeight="1">
      <c r="A240" s="14" t="s">
        <v>475</v>
      </c>
      <c r="B240" s="15" t="s">
        <v>476</v>
      </c>
      <c r="C240" s="16" t="s">
        <v>7</v>
      </c>
      <c r="D240" s="12" t="str">
        <f>IFERROR(__xludf.DUMMYFUNCTION("IFS(
  REGEXMATCH(A240&amp;B240, ""(?i)openai|gpt|gemini|anthropic|claude|mistral|cohere|rag|vector|llm|chatbot|ai-powered""), ""AI &amp; LLM"",
  REGEXMATCH(A240&amp;B240, ""(?i)twitter|instagram|facebook|linkedin|youtube|tiktok|threads|bluesky|pinterest|social vid"&amp;"eo|reels?|shorts?""), ""Social Media"",
  REGEXMATCH(A240&amp;B240, ""(?i)hubspot|pipedrive|stripe|shopify|woocommerce|sales|crm|invoice|order|leads?|recruitment|bamboohr|erpnext""), ""CRM &amp; Sales"",
  REGEXMATCH(A240&amp;B240, ""(?i)gmail|outlook|calendar|slack|"&amp;"discord|telegram|whatsapp|notion|trello|drive|sheets?|meeting|scheduler|appointment|mattermost""), ""Productivity &amp; Communication"",
  REGEXMATCH(A240&amp;B240, ""(?i)github|api|webhook|http|mysql|supabase|mongodb|redis|rss|pr|code review|incident|pagerduty|j"&amp;"ira""), ""Development &amp; Utilities"",
  TRUE, ""Others""
)"),"AI &amp; LLM")</f>
        <v>AI &amp; LLM</v>
      </c>
    </row>
    <row r="241" ht="15.75" customHeight="1">
      <c r="A241" s="14" t="s">
        <v>477</v>
      </c>
      <c r="B241" s="15" t="s">
        <v>478</v>
      </c>
      <c r="C241" s="16" t="s">
        <v>7</v>
      </c>
      <c r="D241" s="12" t="str">
        <f>IFERROR(__xludf.DUMMYFUNCTION("IFS(
  REGEXMATCH(A241&amp;B241, ""(?i)openai|gpt|gemini|anthropic|claude|mistral|cohere|rag|vector|llm|chatbot|ai-powered""), ""AI &amp; LLM"",
  REGEXMATCH(A241&amp;B241, ""(?i)twitter|instagram|facebook|linkedin|youtube|tiktok|threads|bluesky|pinterest|social vid"&amp;"eo|reels?|shorts?""), ""Social Media"",
  REGEXMATCH(A241&amp;B241, ""(?i)hubspot|pipedrive|stripe|shopify|woocommerce|sales|crm|invoice|order|leads?|recruitment|bamboohr|erpnext""), ""CRM &amp; Sales"",
  REGEXMATCH(A241&amp;B241, ""(?i)gmail|outlook|calendar|slack|"&amp;"discord|telegram|whatsapp|notion|trello|drive|sheets?|meeting|scheduler|appointment|mattermost""), ""Productivity &amp; Communication"",
  REGEXMATCH(A241&amp;B241, ""(?i)github|api|webhook|http|mysql|supabase|mongodb|redis|rss|pr|code review|incident|pagerduty|j"&amp;"ira""), ""Development &amp; Utilities"",
  TRUE, ""Others""
)"),"AI &amp; LLM")</f>
        <v>AI &amp; LLM</v>
      </c>
    </row>
    <row r="242" ht="15.75" customHeight="1">
      <c r="A242" s="14" t="s">
        <v>479</v>
      </c>
      <c r="B242" s="15" t="s">
        <v>480</v>
      </c>
      <c r="C242" s="16" t="s">
        <v>7</v>
      </c>
      <c r="D242" s="12" t="str">
        <f>IFERROR(__xludf.DUMMYFUNCTION("IFS(
  REGEXMATCH(A242&amp;B242, ""(?i)openai|gpt|gemini|anthropic|claude|mistral|cohere|rag|vector|llm|chatbot|ai-powered""), ""AI &amp; LLM"",
  REGEXMATCH(A242&amp;B242, ""(?i)twitter|instagram|facebook|linkedin|youtube|tiktok|threads|bluesky|pinterest|social vid"&amp;"eo|reels?|shorts?""), ""Social Media"",
  REGEXMATCH(A242&amp;B242, ""(?i)hubspot|pipedrive|stripe|shopify|woocommerce|sales|crm|invoice|order|leads?|recruitment|bamboohr|erpnext""), ""CRM &amp; Sales"",
  REGEXMATCH(A242&amp;B242, ""(?i)gmail|outlook|calendar|slack|"&amp;"discord|telegram|whatsapp|notion|trello|drive|sheets?|meeting|scheduler|appointment|mattermost""), ""Productivity &amp; Communication"",
  REGEXMATCH(A242&amp;B242, ""(?i)github|api|webhook|http|mysql|supabase|mongodb|redis|rss|pr|code review|incident|pagerduty|j"&amp;"ira""), ""Development &amp; Utilities"",
  TRUE, ""Others""
)"),"AI &amp; LLM")</f>
        <v>AI &amp; LLM</v>
      </c>
    </row>
    <row r="243" ht="15.75" customHeight="1">
      <c r="A243" s="14" t="s">
        <v>481</v>
      </c>
      <c r="B243" s="15" t="s">
        <v>482</v>
      </c>
      <c r="C243" s="16" t="s">
        <v>7</v>
      </c>
      <c r="D243" s="12" t="str">
        <f>IFERROR(__xludf.DUMMYFUNCTION("IFS(
  REGEXMATCH(A243&amp;B243, ""(?i)openai|gpt|gemini|anthropic|claude|mistral|cohere|rag|vector|llm|chatbot|ai-powered""), ""AI &amp; LLM"",
  REGEXMATCH(A243&amp;B243, ""(?i)twitter|instagram|facebook|linkedin|youtube|tiktok|threads|bluesky|pinterest|social vid"&amp;"eo|reels?|shorts?""), ""Social Media"",
  REGEXMATCH(A243&amp;B243, ""(?i)hubspot|pipedrive|stripe|shopify|woocommerce|sales|crm|invoice|order|leads?|recruitment|bamboohr|erpnext""), ""CRM &amp; Sales"",
  REGEXMATCH(A243&amp;B243, ""(?i)gmail|outlook|calendar|slack|"&amp;"discord|telegram|whatsapp|notion|trello|drive|sheets?|meeting|scheduler|appointment|mattermost""), ""Productivity &amp; Communication"",
  REGEXMATCH(A243&amp;B243, ""(?i)github|api|webhook|http|mysql|supabase|mongodb|redis|rss|pr|code review|incident|pagerduty|j"&amp;"ira""), ""Development &amp; Utilities"",
  TRUE, ""Others""
)"),"AI &amp; LLM")</f>
        <v>AI &amp; LLM</v>
      </c>
    </row>
    <row r="244" ht="15.75" customHeight="1">
      <c r="A244" s="14" t="s">
        <v>483</v>
      </c>
      <c r="B244" s="15" t="s">
        <v>484</v>
      </c>
      <c r="C244" s="16" t="s">
        <v>7</v>
      </c>
      <c r="D244" s="12" t="str">
        <f>IFERROR(__xludf.DUMMYFUNCTION("IFS(
  REGEXMATCH(A244&amp;B244, ""(?i)openai|gpt|gemini|anthropic|claude|mistral|cohere|rag|vector|llm|chatbot|ai-powered""), ""AI &amp; LLM"",
  REGEXMATCH(A244&amp;B244, ""(?i)twitter|instagram|facebook|linkedin|youtube|tiktok|threads|bluesky|pinterest|social vid"&amp;"eo|reels?|shorts?""), ""Social Media"",
  REGEXMATCH(A244&amp;B244, ""(?i)hubspot|pipedrive|stripe|shopify|woocommerce|sales|crm|invoice|order|leads?|recruitment|bamboohr|erpnext""), ""CRM &amp; Sales"",
  REGEXMATCH(A244&amp;B244, ""(?i)gmail|outlook|calendar|slack|"&amp;"discord|telegram|whatsapp|notion|trello|drive|sheets?|meeting|scheduler|appointment|mattermost""), ""Productivity &amp; Communication"",
  REGEXMATCH(A244&amp;B244, ""(?i)github|api|webhook|http|mysql|supabase|mongodb|redis|rss|pr|code review|incident|pagerduty|j"&amp;"ira""), ""Development &amp; Utilities"",
  TRUE, ""Others""
)"),"Productivity &amp; Communication")</f>
        <v>Productivity &amp; Communication</v>
      </c>
    </row>
    <row r="245" ht="15.75" customHeight="1">
      <c r="A245" s="14" t="s">
        <v>485</v>
      </c>
      <c r="B245" s="15" t="s">
        <v>486</v>
      </c>
      <c r="C245" s="16" t="s">
        <v>7</v>
      </c>
      <c r="D245" s="12" t="str">
        <f>IFERROR(__xludf.DUMMYFUNCTION("IFS(
  REGEXMATCH(A245&amp;B245, ""(?i)openai|gpt|gemini|anthropic|claude|mistral|cohere|rag|vector|llm|chatbot|ai-powered""), ""AI &amp; LLM"",
  REGEXMATCH(A245&amp;B245, ""(?i)twitter|instagram|facebook|linkedin|youtube|tiktok|threads|bluesky|pinterest|social vid"&amp;"eo|reels?|shorts?""), ""Social Media"",
  REGEXMATCH(A245&amp;B245, ""(?i)hubspot|pipedrive|stripe|shopify|woocommerce|sales|crm|invoice|order|leads?|recruitment|bamboohr|erpnext""), ""CRM &amp; Sales"",
  REGEXMATCH(A245&amp;B245, ""(?i)gmail|outlook|calendar|slack|"&amp;"discord|telegram|whatsapp|notion|trello|drive|sheets?|meeting|scheduler|appointment|mattermost""), ""Productivity &amp; Communication"",
  REGEXMATCH(A245&amp;B245, ""(?i)github|api|webhook|http|mysql|supabase|mongodb|redis|rss|pr|code review|incident|pagerduty|j"&amp;"ira""), ""Development &amp; Utilities"",
  TRUE, ""Others""
)"),"AI &amp; LLM")</f>
        <v>AI &amp; LLM</v>
      </c>
    </row>
    <row r="246" ht="15.75" customHeight="1">
      <c r="A246" s="14" t="s">
        <v>487</v>
      </c>
      <c r="B246" s="15" t="s">
        <v>488</v>
      </c>
      <c r="C246" s="16" t="s">
        <v>7</v>
      </c>
      <c r="D246" s="12" t="str">
        <f>IFERROR(__xludf.DUMMYFUNCTION("IFS(
  REGEXMATCH(A246&amp;B246, ""(?i)openai|gpt|gemini|anthropic|claude|mistral|cohere|rag|vector|llm|chatbot|ai-powered""), ""AI &amp; LLM"",
  REGEXMATCH(A246&amp;B246, ""(?i)twitter|instagram|facebook|linkedin|youtube|tiktok|threads|bluesky|pinterest|social vid"&amp;"eo|reels?|shorts?""), ""Social Media"",
  REGEXMATCH(A246&amp;B246, ""(?i)hubspot|pipedrive|stripe|shopify|woocommerce|sales|crm|invoice|order|leads?|recruitment|bamboohr|erpnext""), ""CRM &amp; Sales"",
  REGEXMATCH(A246&amp;B246, ""(?i)gmail|outlook|calendar|slack|"&amp;"discord|telegram|whatsapp|notion|trello|drive|sheets?|meeting|scheduler|appointment|mattermost""), ""Productivity &amp; Communication"",
  REGEXMATCH(A246&amp;B246, ""(?i)github|api|webhook|http|mysql|supabase|mongodb|redis|rss|pr|code review|incident|pagerduty|j"&amp;"ira""), ""Development &amp; Utilities"",
  TRUE, ""Others""
)"),"AI &amp; LLM")</f>
        <v>AI &amp; LLM</v>
      </c>
    </row>
    <row r="247" ht="15.75" customHeight="1">
      <c r="A247" s="14" t="s">
        <v>489</v>
      </c>
      <c r="B247" s="15" t="s">
        <v>490</v>
      </c>
      <c r="C247" s="16" t="s">
        <v>7</v>
      </c>
      <c r="D247" s="12" t="str">
        <f>IFERROR(__xludf.DUMMYFUNCTION("IFS(
  REGEXMATCH(A247&amp;B247, ""(?i)openai|gpt|gemini|anthropic|claude|mistral|cohere|rag|vector|llm|chatbot|ai-powered""), ""AI &amp; LLM"",
  REGEXMATCH(A247&amp;B247, ""(?i)twitter|instagram|facebook|linkedin|youtube|tiktok|threads|bluesky|pinterest|social vid"&amp;"eo|reels?|shorts?""), ""Social Media"",
  REGEXMATCH(A247&amp;B247, ""(?i)hubspot|pipedrive|stripe|shopify|woocommerce|sales|crm|invoice|order|leads?|recruitment|bamboohr|erpnext""), ""CRM &amp; Sales"",
  REGEXMATCH(A247&amp;B247, ""(?i)gmail|outlook|calendar|slack|"&amp;"discord|telegram|whatsapp|notion|trello|drive|sheets?|meeting|scheduler|appointment|mattermost""), ""Productivity &amp; Communication"",
  REGEXMATCH(A247&amp;B247, ""(?i)github|api|webhook|http|mysql|supabase|mongodb|redis|rss|pr|code review|incident|pagerduty|j"&amp;"ira""), ""Development &amp; Utilities"",
  TRUE, ""Others""
)"),"AI &amp; LLM")</f>
        <v>AI &amp; LLM</v>
      </c>
    </row>
    <row r="248" ht="15.75" customHeight="1">
      <c r="A248" s="14" t="s">
        <v>491</v>
      </c>
      <c r="B248" s="15" t="s">
        <v>492</v>
      </c>
      <c r="C248" s="16" t="s">
        <v>7</v>
      </c>
      <c r="D248" s="12" t="str">
        <f>IFERROR(__xludf.DUMMYFUNCTION("IFS(
  REGEXMATCH(A248&amp;B248, ""(?i)openai|gpt|gemini|anthropic|claude|mistral|cohere|rag|vector|llm|chatbot|ai-powered""), ""AI &amp; LLM"",
  REGEXMATCH(A248&amp;B248, ""(?i)twitter|instagram|facebook|linkedin|youtube|tiktok|threads|bluesky|pinterest|social vid"&amp;"eo|reels?|shorts?""), ""Social Media"",
  REGEXMATCH(A248&amp;B248, ""(?i)hubspot|pipedrive|stripe|shopify|woocommerce|sales|crm|invoice|order|leads?|recruitment|bamboohr|erpnext""), ""CRM &amp; Sales"",
  REGEXMATCH(A248&amp;B248, ""(?i)gmail|outlook|calendar|slack|"&amp;"discord|telegram|whatsapp|notion|trello|drive|sheets?|meeting|scheduler|appointment|mattermost""), ""Productivity &amp; Communication"",
  REGEXMATCH(A248&amp;B248, ""(?i)github|api|webhook|http|mysql|supabase|mongodb|redis|rss|pr|code review|incident|pagerduty|j"&amp;"ira""), ""Development &amp; Utilities"",
  TRUE, ""Others""
)"),"AI &amp; LLM")</f>
        <v>AI &amp; LLM</v>
      </c>
    </row>
    <row r="249" ht="15.75" customHeight="1">
      <c r="A249" s="14" t="s">
        <v>493</v>
      </c>
      <c r="B249" s="15" t="s">
        <v>494</v>
      </c>
      <c r="C249" s="16" t="s">
        <v>7</v>
      </c>
      <c r="D249" s="12" t="str">
        <f>IFERROR(__xludf.DUMMYFUNCTION("IFS(
  REGEXMATCH(A249&amp;B249, ""(?i)openai|gpt|gemini|anthropic|claude|mistral|cohere|rag|vector|llm|chatbot|ai-powered""), ""AI &amp; LLM"",
  REGEXMATCH(A249&amp;B249, ""(?i)twitter|instagram|facebook|linkedin|youtube|tiktok|threads|bluesky|pinterest|social vid"&amp;"eo|reels?|shorts?""), ""Social Media"",
  REGEXMATCH(A249&amp;B249, ""(?i)hubspot|pipedrive|stripe|shopify|woocommerce|sales|crm|invoice|order|leads?|recruitment|bamboohr|erpnext""), ""CRM &amp; Sales"",
  REGEXMATCH(A249&amp;B249, ""(?i)gmail|outlook|calendar|slack|"&amp;"discord|telegram|whatsapp|notion|trello|drive|sheets?|meeting|scheduler|appointment|mattermost""), ""Productivity &amp; Communication"",
  REGEXMATCH(A249&amp;B249, ""(?i)github|api|webhook|http|mysql|supabase|mongodb|redis|rss|pr|code review|incident|pagerduty|j"&amp;"ira""), ""Development &amp; Utilities"",
  TRUE, ""Others""
)"),"AI &amp; LLM")</f>
        <v>AI &amp; LLM</v>
      </c>
    </row>
    <row r="250" ht="15.75" customHeight="1">
      <c r="A250" s="14" t="s">
        <v>495</v>
      </c>
      <c r="B250" s="15" t="s">
        <v>496</v>
      </c>
      <c r="C250" s="16" t="s">
        <v>7</v>
      </c>
      <c r="D250" s="12" t="str">
        <f>IFERROR(__xludf.DUMMYFUNCTION("IFS(
  REGEXMATCH(A250&amp;B250, ""(?i)openai|gpt|gemini|anthropic|claude|mistral|cohere|rag|vector|llm|chatbot|ai-powered""), ""AI &amp; LLM"",
  REGEXMATCH(A250&amp;B250, ""(?i)twitter|instagram|facebook|linkedin|youtube|tiktok|threads|bluesky|pinterest|social vid"&amp;"eo|reels?|shorts?""), ""Social Media"",
  REGEXMATCH(A250&amp;B250, ""(?i)hubspot|pipedrive|stripe|shopify|woocommerce|sales|crm|invoice|order|leads?|recruitment|bamboohr|erpnext""), ""CRM &amp; Sales"",
  REGEXMATCH(A250&amp;B250, ""(?i)gmail|outlook|calendar|slack|"&amp;"discord|telegram|whatsapp|notion|trello|drive|sheets?|meeting|scheduler|appointment|mattermost""), ""Productivity &amp; Communication"",
  REGEXMATCH(A250&amp;B250, ""(?i)github|api|webhook|http|mysql|supabase|mongodb|redis|rss|pr|code review|incident|pagerduty|j"&amp;"ira""), ""Development &amp; Utilities"",
  TRUE, ""Others""
)"),"AI &amp; LLM")</f>
        <v>AI &amp; LLM</v>
      </c>
    </row>
    <row r="251" ht="15.75" customHeight="1">
      <c r="A251" s="14" t="s">
        <v>497</v>
      </c>
      <c r="B251" s="15" t="s">
        <v>498</v>
      </c>
      <c r="C251" s="16" t="s">
        <v>7</v>
      </c>
      <c r="D251" s="12" t="str">
        <f>IFERROR(__xludf.DUMMYFUNCTION("IFS(
  REGEXMATCH(A251&amp;B251, ""(?i)openai|gpt|gemini|anthropic|claude|mistral|cohere|rag|vector|llm|chatbot|ai-powered""), ""AI &amp; LLM"",
  REGEXMATCH(A251&amp;B251, ""(?i)twitter|instagram|facebook|linkedin|youtube|tiktok|threads|bluesky|pinterest|social vid"&amp;"eo|reels?|shorts?""), ""Social Media"",
  REGEXMATCH(A251&amp;B251, ""(?i)hubspot|pipedrive|stripe|shopify|woocommerce|sales|crm|invoice|order|leads?|recruitment|bamboohr|erpnext""), ""CRM &amp; Sales"",
  REGEXMATCH(A251&amp;B251, ""(?i)gmail|outlook|calendar|slack|"&amp;"discord|telegram|whatsapp|notion|trello|drive|sheets?|meeting|scheduler|appointment|mattermost""), ""Productivity &amp; Communication"",
  REGEXMATCH(A251&amp;B251, ""(?i)github|api|webhook|http|mysql|supabase|mongodb|redis|rss|pr|code review|incident|pagerduty|j"&amp;"ira""), ""Development &amp; Utilities"",
  TRUE, ""Others""
)"),"AI &amp; LLM")</f>
        <v>AI &amp; LLM</v>
      </c>
    </row>
    <row r="252" ht="15.75" customHeight="1">
      <c r="A252" s="14" t="s">
        <v>499</v>
      </c>
      <c r="B252" s="15" t="s">
        <v>500</v>
      </c>
      <c r="C252" s="16" t="s">
        <v>7</v>
      </c>
      <c r="D252" s="12" t="str">
        <f>IFERROR(__xludf.DUMMYFUNCTION("IFS(
  REGEXMATCH(A252&amp;B252, ""(?i)openai|gpt|gemini|anthropic|claude|mistral|cohere|rag|vector|llm|chatbot|ai-powered""), ""AI &amp; LLM"",
  REGEXMATCH(A252&amp;B252, ""(?i)twitter|instagram|facebook|linkedin|youtube|tiktok|threads|bluesky|pinterest|social vid"&amp;"eo|reels?|shorts?""), ""Social Media"",
  REGEXMATCH(A252&amp;B252, ""(?i)hubspot|pipedrive|stripe|shopify|woocommerce|sales|crm|invoice|order|leads?|recruitment|bamboohr|erpnext""), ""CRM &amp; Sales"",
  REGEXMATCH(A252&amp;B252, ""(?i)gmail|outlook|calendar|slack|"&amp;"discord|telegram|whatsapp|notion|trello|drive|sheets?|meeting|scheduler|appointment|mattermost""), ""Productivity &amp; Communication"",
  REGEXMATCH(A252&amp;B252, ""(?i)github|api|webhook|http|mysql|supabase|mongodb|redis|rss|pr|code review|incident|pagerduty|j"&amp;"ira""), ""Development &amp; Utilities"",
  TRUE, ""Others""
)"),"AI &amp; LLM")</f>
        <v>AI &amp; LLM</v>
      </c>
    </row>
    <row r="253" ht="15.75" customHeight="1">
      <c r="A253" s="14" t="s">
        <v>501</v>
      </c>
      <c r="B253" s="15" t="s">
        <v>502</v>
      </c>
      <c r="C253" s="16" t="s">
        <v>7</v>
      </c>
      <c r="D253" s="12" t="str">
        <f>IFERROR(__xludf.DUMMYFUNCTION("IFS(
  REGEXMATCH(A253&amp;B253, ""(?i)openai|gpt|gemini|anthropic|claude|mistral|cohere|rag|vector|llm|chatbot|ai-powered""), ""AI &amp; LLM"",
  REGEXMATCH(A253&amp;B253, ""(?i)twitter|instagram|facebook|linkedin|youtube|tiktok|threads|bluesky|pinterest|social vid"&amp;"eo|reels?|shorts?""), ""Social Media"",
  REGEXMATCH(A253&amp;B253, ""(?i)hubspot|pipedrive|stripe|shopify|woocommerce|sales|crm|invoice|order|leads?|recruitment|bamboohr|erpnext""), ""CRM &amp; Sales"",
  REGEXMATCH(A253&amp;B253, ""(?i)gmail|outlook|calendar|slack|"&amp;"discord|telegram|whatsapp|notion|trello|drive|sheets?|meeting|scheduler|appointment|mattermost""), ""Productivity &amp; Communication"",
  REGEXMATCH(A253&amp;B253, ""(?i)github|api|webhook|http|mysql|supabase|mongodb|redis|rss|pr|code review|incident|pagerduty|j"&amp;"ira""), ""Development &amp; Utilities"",
  TRUE, ""Others""
)"),"AI &amp; LLM")</f>
        <v>AI &amp; LLM</v>
      </c>
    </row>
    <row r="254" ht="15.75" customHeight="1">
      <c r="A254" s="14" t="s">
        <v>503</v>
      </c>
      <c r="B254" s="15" t="s">
        <v>504</v>
      </c>
      <c r="C254" s="16" t="s">
        <v>7</v>
      </c>
      <c r="D254" s="12" t="str">
        <f>IFERROR(__xludf.DUMMYFUNCTION("IFS(
  REGEXMATCH(A254&amp;B254, ""(?i)openai|gpt|gemini|anthropic|claude|mistral|cohere|rag|vector|llm|chatbot|ai-powered""), ""AI &amp; LLM"",
  REGEXMATCH(A254&amp;B254, ""(?i)twitter|instagram|facebook|linkedin|youtube|tiktok|threads|bluesky|pinterest|social vid"&amp;"eo|reels?|shorts?""), ""Social Media"",
  REGEXMATCH(A254&amp;B254, ""(?i)hubspot|pipedrive|stripe|shopify|woocommerce|sales|crm|invoice|order|leads?|recruitment|bamboohr|erpnext""), ""CRM &amp; Sales"",
  REGEXMATCH(A254&amp;B254, ""(?i)gmail|outlook|calendar|slack|"&amp;"discord|telegram|whatsapp|notion|trello|drive|sheets?|meeting|scheduler|appointment|mattermost""), ""Productivity &amp; Communication"",
  REGEXMATCH(A254&amp;B254, ""(?i)github|api|webhook|http|mysql|supabase|mongodb|redis|rss|pr|code review|incident|pagerduty|j"&amp;"ira""), ""Development &amp; Utilities"",
  TRUE, ""Others""
)"),"Productivity &amp; Communication")</f>
        <v>Productivity &amp; Communication</v>
      </c>
    </row>
    <row r="255" ht="15.75" customHeight="1">
      <c r="A255" s="14" t="s">
        <v>505</v>
      </c>
      <c r="B255" s="15" t="s">
        <v>506</v>
      </c>
      <c r="C255" s="16" t="s">
        <v>7</v>
      </c>
      <c r="D255" s="12" t="str">
        <f>IFERROR(__xludf.DUMMYFUNCTION("IFS(
  REGEXMATCH(A255&amp;B255, ""(?i)openai|gpt|gemini|anthropic|claude|mistral|cohere|rag|vector|llm|chatbot|ai-powered""), ""AI &amp; LLM"",
  REGEXMATCH(A255&amp;B255, ""(?i)twitter|instagram|facebook|linkedin|youtube|tiktok|threads|bluesky|pinterest|social vid"&amp;"eo|reels?|shorts?""), ""Social Media"",
  REGEXMATCH(A255&amp;B255, ""(?i)hubspot|pipedrive|stripe|shopify|woocommerce|sales|crm|invoice|order|leads?|recruitment|bamboohr|erpnext""), ""CRM &amp; Sales"",
  REGEXMATCH(A255&amp;B255, ""(?i)gmail|outlook|calendar|slack|"&amp;"discord|telegram|whatsapp|notion|trello|drive|sheets?|meeting|scheduler|appointment|mattermost""), ""Productivity &amp; Communication"",
  REGEXMATCH(A255&amp;B255, ""(?i)github|api|webhook|http|mysql|supabase|mongodb|redis|rss|pr|code review|incident|pagerduty|j"&amp;"ira""), ""Development &amp; Utilities"",
  TRUE, ""Others""
)"),"AI &amp; LLM")</f>
        <v>AI &amp; LLM</v>
      </c>
    </row>
    <row r="256" ht="15.75" customHeight="1">
      <c r="A256" s="14" t="s">
        <v>507</v>
      </c>
      <c r="B256" s="15" t="s">
        <v>508</v>
      </c>
      <c r="C256" s="16" t="s">
        <v>7</v>
      </c>
      <c r="D256" s="12" t="str">
        <f>IFERROR(__xludf.DUMMYFUNCTION("IFS(
  REGEXMATCH(A256&amp;B256, ""(?i)openai|gpt|gemini|anthropic|claude|mistral|cohere|rag|vector|llm|chatbot|ai-powered""), ""AI &amp; LLM"",
  REGEXMATCH(A256&amp;B256, ""(?i)twitter|instagram|facebook|linkedin|youtube|tiktok|threads|bluesky|pinterest|social vid"&amp;"eo|reels?|shorts?""), ""Social Media"",
  REGEXMATCH(A256&amp;B256, ""(?i)hubspot|pipedrive|stripe|shopify|woocommerce|sales|crm|invoice|order|leads?|recruitment|bamboohr|erpnext""), ""CRM &amp; Sales"",
  REGEXMATCH(A256&amp;B256, ""(?i)gmail|outlook|calendar|slack|"&amp;"discord|telegram|whatsapp|notion|trello|drive|sheets?|meeting|scheduler|appointment|mattermost""), ""Productivity &amp; Communication"",
  REGEXMATCH(A256&amp;B256, ""(?i)github|api|webhook|http|mysql|supabase|mongodb|redis|rss|pr|code review|incident|pagerduty|j"&amp;"ira""), ""Development &amp; Utilities"",
  TRUE, ""Others""
)"),"AI &amp; LLM")</f>
        <v>AI &amp; LLM</v>
      </c>
    </row>
    <row r="257" ht="15.75" customHeight="1">
      <c r="A257" s="14" t="s">
        <v>509</v>
      </c>
      <c r="B257" s="15" t="s">
        <v>510</v>
      </c>
      <c r="C257" s="16" t="s">
        <v>7</v>
      </c>
      <c r="D257" s="12" t="str">
        <f>IFERROR(__xludf.DUMMYFUNCTION("IFS(
  REGEXMATCH(A257&amp;B257, ""(?i)openai|gpt|gemini|anthropic|claude|mistral|cohere|rag|vector|llm|chatbot|ai-powered""), ""AI &amp; LLM"",
  REGEXMATCH(A257&amp;B257, ""(?i)twitter|instagram|facebook|linkedin|youtube|tiktok|threads|bluesky|pinterest|social vid"&amp;"eo|reels?|shorts?""), ""Social Media"",
  REGEXMATCH(A257&amp;B257, ""(?i)hubspot|pipedrive|stripe|shopify|woocommerce|sales|crm|invoice|order|leads?|recruitment|bamboohr|erpnext""), ""CRM &amp; Sales"",
  REGEXMATCH(A257&amp;B257, ""(?i)gmail|outlook|calendar|slack|"&amp;"discord|telegram|whatsapp|notion|trello|drive|sheets?|meeting|scheduler|appointment|mattermost""), ""Productivity &amp; Communication"",
  REGEXMATCH(A257&amp;B257, ""(?i)github|api|webhook|http|mysql|supabase|mongodb|redis|rss|pr|code review|incident|pagerduty|j"&amp;"ira""), ""Development &amp; Utilities"",
  TRUE, ""Others""
)"),"AI &amp; LLM")</f>
        <v>AI &amp; LLM</v>
      </c>
    </row>
    <row r="258" ht="15.75" customHeight="1">
      <c r="A258" s="14" t="s">
        <v>511</v>
      </c>
      <c r="B258" s="15" t="s">
        <v>512</v>
      </c>
      <c r="C258" s="16" t="s">
        <v>7</v>
      </c>
      <c r="D258" s="12" t="str">
        <f>IFERROR(__xludf.DUMMYFUNCTION("IFS(
  REGEXMATCH(A258&amp;B258, ""(?i)openai|gpt|gemini|anthropic|claude|mistral|cohere|rag|vector|llm|chatbot|ai-powered""), ""AI &amp; LLM"",
  REGEXMATCH(A258&amp;B258, ""(?i)twitter|instagram|facebook|linkedin|youtube|tiktok|threads|bluesky|pinterest|social vid"&amp;"eo|reels?|shorts?""), ""Social Media"",
  REGEXMATCH(A258&amp;B258, ""(?i)hubspot|pipedrive|stripe|shopify|woocommerce|sales|crm|invoice|order|leads?|recruitment|bamboohr|erpnext""), ""CRM &amp; Sales"",
  REGEXMATCH(A258&amp;B258, ""(?i)gmail|outlook|calendar|slack|"&amp;"discord|telegram|whatsapp|notion|trello|drive|sheets?|meeting|scheduler|appointment|mattermost""), ""Productivity &amp; Communication"",
  REGEXMATCH(A258&amp;B258, ""(?i)github|api|webhook|http|mysql|supabase|mongodb|redis|rss|pr|code review|incident|pagerduty|j"&amp;"ira""), ""Development &amp; Utilities"",
  TRUE, ""Others""
)"),"AI &amp; LLM")</f>
        <v>AI &amp; LLM</v>
      </c>
    </row>
    <row r="259" ht="15.75" customHeight="1">
      <c r="A259" s="14" t="s">
        <v>513</v>
      </c>
      <c r="B259" s="15" t="s">
        <v>514</v>
      </c>
      <c r="C259" s="16" t="s">
        <v>7</v>
      </c>
      <c r="D259" s="12" t="str">
        <f>IFERROR(__xludf.DUMMYFUNCTION("IFS(
  REGEXMATCH(A259&amp;B259, ""(?i)openai|gpt|gemini|anthropic|claude|mistral|cohere|rag|vector|llm|chatbot|ai-powered""), ""AI &amp; LLM"",
  REGEXMATCH(A259&amp;B259, ""(?i)twitter|instagram|facebook|linkedin|youtube|tiktok|threads|bluesky|pinterest|social vid"&amp;"eo|reels?|shorts?""), ""Social Media"",
  REGEXMATCH(A259&amp;B259, ""(?i)hubspot|pipedrive|stripe|shopify|woocommerce|sales|crm|invoice|order|leads?|recruitment|bamboohr|erpnext""), ""CRM &amp; Sales"",
  REGEXMATCH(A259&amp;B259, ""(?i)gmail|outlook|calendar|slack|"&amp;"discord|telegram|whatsapp|notion|trello|drive|sheets?|meeting|scheduler|appointment|mattermost""), ""Productivity &amp; Communication"",
  REGEXMATCH(A259&amp;B259, ""(?i)github|api|webhook|http|mysql|supabase|mongodb|redis|rss|pr|code review|incident|pagerduty|j"&amp;"ira""), ""Development &amp; Utilities"",
  TRUE, ""Others""
)"),"AI &amp; LLM")</f>
        <v>AI &amp; LLM</v>
      </c>
    </row>
    <row r="260" ht="15.75" customHeight="1">
      <c r="A260" s="14" t="s">
        <v>515</v>
      </c>
      <c r="B260" s="15" t="s">
        <v>516</v>
      </c>
      <c r="C260" s="16" t="s">
        <v>7</v>
      </c>
      <c r="D260" s="12" t="str">
        <f>IFERROR(__xludf.DUMMYFUNCTION("IFS(
  REGEXMATCH(A260&amp;B260, ""(?i)openai|gpt|gemini|anthropic|claude|mistral|cohere|rag|vector|llm|chatbot|ai-powered""), ""AI &amp; LLM"",
  REGEXMATCH(A260&amp;B260, ""(?i)twitter|instagram|facebook|linkedin|youtube|tiktok|threads|bluesky|pinterest|social vid"&amp;"eo|reels?|shorts?""), ""Social Media"",
  REGEXMATCH(A260&amp;B260, ""(?i)hubspot|pipedrive|stripe|shopify|woocommerce|sales|crm|invoice|order|leads?|recruitment|bamboohr|erpnext""), ""CRM &amp; Sales"",
  REGEXMATCH(A260&amp;B260, ""(?i)gmail|outlook|calendar|slack|"&amp;"discord|telegram|whatsapp|notion|trello|drive|sheets?|meeting|scheduler|appointment|mattermost""), ""Productivity &amp; Communication"",
  REGEXMATCH(A260&amp;B260, ""(?i)github|api|webhook|http|mysql|supabase|mongodb|redis|rss|pr|code review|incident|pagerduty|j"&amp;"ira""), ""Development &amp; Utilities"",
  TRUE, ""Others""
)"),"AI &amp; LLM")</f>
        <v>AI &amp; LLM</v>
      </c>
    </row>
    <row r="261" ht="15.75" customHeight="1">
      <c r="A261" s="14" t="s">
        <v>517</v>
      </c>
      <c r="B261" s="15" t="s">
        <v>518</v>
      </c>
      <c r="C261" s="16" t="s">
        <v>7</v>
      </c>
      <c r="D261" s="12" t="str">
        <f>IFERROR(__xludf.DUMMYFUNCTION("IFS(
  REGEXMATCH(A261&amp;B261, ""(?i)openai|gpt|gemini|anthropic|claude|mistral|cohere|rag|vector|llm|chatbot|ai-powered""), ""AI &amp; LLM"",
  REGEXMATCH(A261&amp;B261, ""(?i)twitter|instagram|facebook|linkedin|youtube|tiktok|threads|bluesky|pinterest|social vid"&amp;"eo|reels?|shorts?""), ""Social Media"",
  REGEXMATCH(A261&amp;B261, ""(?i)hubspot|pipedrive|stripe|shopify|woocommerce|sales|crm|invoice|order|leads?|recruitment|bamboohr|erpnext""), ""CRM &amp; Sales"",
  REGEXMATCH(A261&amp;B261, ""(?i)gmail|outlook|calendar|slack|"&amp;"discord|telegram|whatsapp|notion|trello|drive|sheets?|meeting|scheduler|appointment|mattermost""), ""Productivity &amp; Communication"",
  REGEXMATCH(A261&amp;B261, ""(?i)github|api|webhook|http|mysql|supabase|mongodb|redis|rss|pr|code review|incident|pagerduty|j"&amp;"ira""), ""Development &amp; Utilities"",
  TRUE, ""Others""
)"),"AI &amp; LLM")</f>
        <v>AI &amp; LLM</v>
      </c>
    </row>
    <row r="262" ht="15.75" customHeight="1">
      <c r="A262" s="14" t="s">
        <v>519</v>
      </c>
      <c r="B262" s="15" t="s">
        <v>520</v>
      </c>
      <c r="C262" s="16" t="s">
        <v>7</v>
      </c>
      <c r="D262" s="12" t="str">
        <f>IFERROR(__xludf.DUMMYFUNCTION("IFS(
  REGEXMATCH(A262&amp;B262, ""(?i)openai|gpt|gemini|anthropic|claude|mistral|cohere|rag|vector|llm|chatbot|ai-powered""), ""AI &amp; LLM"",
  REGEXMATCH(A262&amp;B262, ""(?i)twitter|instagram|facebook|linkedin|youtube|tiktok|threads|bluesky|pinterest|social vid"&amp;"eo|reels?|shorts?""), ""Social Media"",
  REGEXMATCH(A262&amp;B262, ""(?i)hubspot|pipedrive|stripe|shopify|woocommerce|sales|crm|invoice|order|leads?|recruitment|bamboohr|erpnext""), ""CRM &amp; Sales"",
  REGEXMATCH(A262&amp;B262, ""(?i)gmail|outlook|calendar|slack|"&amp;"discord|telegram|whatsapp|notion|trello|drive|sheets?|meeting|scheduler|appointment|mattermost""), ""Productivity &amp; Communication"",
  REGEXMATCH(A262&amp;B262, ""(?i)github|api|webhook|http|mysql|supabase|mongodb|redis|rss|pr|code review|incident|pagerduty|j"&amp;"ira""), ""Development &amp; Utilities"",
  TRUE, ""Others""
)"),"AI &amp; LLM")</f>
        <v>AI &amp; LLM</v>
      </c>
    </row>
    <row r="263" ht="15.75" customHeight="1">
      <c r="A263" s="14" t="s">
        <v>521</v>
      </c>
      <c r="B263" s="15" t="s">
        <v>522</v>
      </c>
      <c r="C263" s="16" t="s">
        <v>7</v>
      </c>
      <c r="D263" s="12" t="str">
        <f>IFERROR(__xludf.DUMMYFUNCTION("IFS(
  REGEXMATCH(A263&amp;B263, ""(?i)openai|gpt|gemini|anthropic|claude|mistral|cohere|rag|vector|llm|chatbot|ai-powered""), ""AI &amp; LLM"",
  REGEXMATCH(A263&amp;B263, ""(?i)twitter|instagram|facebook|linkedin|youtube|tiktok|threads|bluesky|pinterest|social vid"&amp;"eo|reels?|shorts?""), ""Social Media"",
  REGEXMATCH(A263&amp;B263, ""(?i)hubspot|pipedrive|stripe|shopify|woocommerce|sales|crm|invoice|order|leads?|recruitment|bamboohr|erpnext""), ""CRM &amp; Sales"",
  REGEXMATCH(A263&amp;B263, ""(?i)gmail|outlook|calendar|slack|"&amp;"discord|telegram|whatsapp|notion|trello|drive|sheets?|meeting|scheduler|appointment|mattermost""), ""Productivity &amp; Communication"",
  REGEXMATCH(A263&amp;B263, ""(?i)github|api|webhook|http|mysql|supabase|mongodb|redis|rss|pr|code review|incident|pagerduty|j"&amp;"ira""), ""Development &amp; Utilities"",
  TRUE, ""Others""
)"),"Social Media")</f>
        <v>Social Media</v>
      </c>
    </row>
    <row r="264" ht="15.75" customHeight="1">
      <c r="A264" s="14" t="s">
        <v>523</v>
      </c>
      <c r="B264" s="15" t="s">
        <v>524</v>
      </c>
      <c r="C264" s="16" t="s">
        <v>7</v>
      </c>
      <c r="D264" s="12" t="str">
        <f>IFERROR(__xludf.DUMMYFUNCTION("IFS(
  REGEXMATCH(A264&amp;B264, ""(?i)openai|gpt|gemini|anthropic|claude|mistral|cohere|rag|vector|llm|chatbot|ai-powered""), ""AI &amp; LLM"",
  REGEXMATCH(A264&amp;B264, ""(?i)twitter|instagram|facebook|linkedin|youtube|tiktok|threads|bluesky|pinterest|social vid"&amp;"eo|reels?|shorts?""), ""Social Media"",
  REGEXMATCH(A264&amp;B264, ""(?i)hubspot|pipedrive|stripe|shopify|woocommerce|sales|crm|invoice|order|leads?|recruitment|bamboohr|erpnext""), ""CRM &amp; Sales"",
  REGEXMATCH(A264&amp;B264, ""(?i)gmail|outlook|calendar|slack|"&amp;"discord|telegram|whatsapp|notion|trello|drive|sheets?|meeting|scheduler|appointment|mattermost""), ""Productivity &amp; Communication"",
  REGEXMATCH(A264&amp;B264, ""(?i)github|api|webhook|http|mysql|supabase|mongodb|redis|rss|pr|code review|incident|pagerduty|j"&amp;"ira""), ""Development &amp; Utilities"",
  TRUE, ""Others""
)"),"AI &amp; LLM")</f>
        <v>AI &amp; LLM</v>
      </c>
    </row>
    <row r="265" ht="15.75" customHeight="1">
      <c r="A265" s="14" t="s">
        <v>525</v>
      </c>
      <c r="B265" s="15" t="s">
        <v>526</v>
      </c>
      <c r="C265" s="16" t="s">
        <v>7</v>
      </c>
      <c r="D265" s="12" t="str">
        <f>IFERROR(__xludf.DUMMYFUNCTION("IFS(
  REGEXMATCH(A265&amp;B265, ""(?i)openai|gpt|gemini|anthropic|claude|mistral|cohere|rag|vector|llm|chatbot|ai-powered""), ""AI &amp; LLM"",
  REGEXMATCH(A265&amp;B265, ""(?i)twitter|instagram|facebook|linkedin|youtube|tiktok|threads|bluesky|pinterest|social vid"&amp;"eo|reels?|shorts?""), ""Social Media"",
  REGEXMATCH(A265&amp;B265, ""(?i)hubspot|pipedrive|stripe|shopify|woocommerce|sales|crm|invoice|order|leads?|recruitment|bamboohr|erpnext""), ""CRM &amp; Sales"",
  REGEXMATCH(A265&amp;B265, ""(?i)gmail|outlook|calendar|slack|"&amp;"discord|telegram|whatsapp|notion|trello|drive|sheets?|meeting|scheduler|appointment|mattermost""), ""Productivity &amp; Communication"",
  REGEXMATCH(A265&amp;B265, ""(?i)github|api|webhook|http|mysql|supabase|mongodb|redis|rss|pr|code review|incident|pagerduty|j"&amp;"ira""), ""Development &amp; Utilities"",
  TRUE, ""Others""
)"),"AI &amp; LLM")</f>
        <v>AI &amp; LLM</v>
      </c>
    </row>
    <row r="266" ht="15.75" customHeight="1">
      <c r="A266" s="14" t="s">
        <v>527</v>
      </c>
      <c r="B266" s="15" t="s">
        <v>528</v>
      </c>
      <c r="C266" s="16" t="s">
        <v>7</v>
      </c>
      <c r="D266" s="12" t="str">
        <f>IFERROR(__xludf.DUMMYFUNCTION("IFS(
  REGEXMATCH(A266&amp;B266, ""(?i)openai|gpt|gemini|anthropic|claude|mistral|cohere|rag|vector|llm|chatbot|ai-powered""), ""AI &amp; LLM"",
  REGEXMATCH(A266&amp;B266, ""(?i)twitter|instagram|facebook|linkedin|youtube|tiktok|threads|bluesky|pinterest|social vid"&amp;"eo|reels?|shorts?""), ""Social Media"",
  REGEXMATCH(A266&amp;B266, ""(?i)hubspot|pipedrive|stripe|shopify|woocommerce|sales|crm|invoice|order|leads?|recruitment|bamboohr|erpnext""), ""CRM &amp; Sales"",
  REGEXMATCH(A266&amp;B266, ""(?i)gmail|outlook|calendar|slack|"&amp;"discord|telegram|whatsapp|notion|trello|drive|sheets?|meeting|scheduler|appointment|mattermost""), ""Productivity &amp; Communication"",
  REGEXMATCH(A266&amp;B266, ""(?i)github|api|webhook|http|mysql|supabase|mongodb|redis|rss|pr|code review|incident|pagerduty|j"&amp;"ira""), ""Development &amp; Utilities"",
  TRUE, ""Others""
)"),"AI &amp; LLM")</f>
        <v>AI &amp; LLM</v>
      </c>
    </row>
    <row r="267" ht="15.75" customHeight="1">
      <c r="A267" s="14" t="s">
        <v>529</v>
      </c>
      <c r="B267" s="15" t="s">
        <v>530</v>
      </c>
      <c r="C267" s="16" t="s">
        <v>7</v>
      </c>
      <c r="D267" s="12" t="str">
        <f>IFERROR(__xludf.DUMMYFUNCTION("IFS(
  REGEXMATCH(A267&amp;B267, ""(?i)openai|gpt|gemini|anthropic|claude|mistral|cohere|rag|vector|llm|chatbot|ai-powered""), ""AI &amp; LLM"",
  REGEXMATCH(A267&amp;B267, ""(?i)twitter|instagram|facebook|linkedin|youtube|tiktok|threads|bluesky|pinterest|social vid"&amp;"eo|reels?|shorts?""), ""Social Media"",
  REGEXMATCH(A267&amp;B267, ""(?i)hubspot|pipedrive|stripe|shopify|woocommerce|sales|crm|invoice|order|leads?|recruitment|bamboohr|erpnext""), ""CRM &amp; Sales"",
  REGEXMATCH(A267&amp;B267, ""(?i)gmail|outlook|calendar|slack|"&amp;"discord|telegram|whatsapp|notion|trello|drive|sheets?|meeting|scheduler|appointment|mattermost""), ""Productivity &amp; Communication"",
  REGEXMATCH(A267&amp;B267, ""(?i)github|api|webhook|http|mysql|supabase|mongodb|redis|rss|pr|code review|incident|pagerduty|j"&amp;"ira""), ""Development &amp; Utilities"",
  TRUE, ""Others""
)"),"Social Media")</f>
        <v>Social Media</v>
      </c>
    </row>
    <row r="268" ht="15.75" customHeight="1">
      <c r="A268" s="14" t="s">
        <v>531</v>
      </c>
      <c r="B268" s="15" t="s">
        <v>532</v>
      </c>
      <c r="C268" s="16" t="s">
        <v>7</v>
      </c>
      <c r="D268" s="12" t="str">
        <f>IFERROR(__xludf.DUMMYFUNCTION("IFS(
  REGEXMATCH(A268&amp;B268, ""(?i)openai|gpt|gemini|anthropic|claude|mistral|cohere|rag|vector|llm|chatbot|ai-powered""), ""AI &amp; LLM"",
  REGEXMATCH(A268&amp;B268, ""(?i)twitter|instagram|facebook|linkedin|youtube|tiktok|threads|bluesky|pinterest|social vid"&amp;"eo|reels?|shorts?""), ""Social Media"",
  REGEXMATCH(A268&amp;B268, ""(?i)hubspot|pipedrive|stripe|shopify|woocommerce|sales|crm|invoice|order|leads?|recruitment|bamboohr|erpnext""), ""CRM &amp; Sales"",
  REGEXMATCH(A268&amp;B268, ""(?i)gmail|outlook|calendar|slack|"&amp;"discord|telegram|whatsapp|notion|trello|drive|sheets?|meeting|scheduler|appointment|mattermost""), ""Productivity &amp; Communication"",
  REGEXMATCH(A268&amp;B268, ""(?i)github|api|webhook|http|mysql|supabase|mongodb|redis|rss|pr|code review|incident|pagerduty|j"&amp;"ira""), ""Development &amp; Utilities"",
  TRUE, ""Others""
)"),"AI &amp; LLM")</f>
        <v>AI &amp; LLM</v>
      </c>
    </row>
    <row r="269" ht="15.75" customHeight="1">
      <c r="A269" s="14" t="s">
        <v>533</v>
      </c>
      <c r="B269" s="15" t="s">
        <v>534</v>
      </c>
      <c r="C269" s="16" t="s">
        <v>7</v>
      </c>
      <c r="D269" s="12" t="str">
        <f>IFERROR(__xludf.DUMMYFUNCTION("IFS(
  REGEXMATCH(A269&amp;B269, ""(?i)openai|gpt|gemini|anthropic|claude|mistral|cohere|rag|vector|llm|chatbot|ai-powered""), ""AI &amp; LLM"",
  REGEXMATCH(A269&amp;B269, ""(?i)twitter|instagram|facebook|linkedin|youtube|tiktok|threads|bluesky|pinterest|social vid"&amp;"eo|reels?|shorts?""), ""Social Media"",
  REGEXMATCH(A269&amp;B269, ""(?i)hubspot|pipedrive|stripe|shopify|woocommerce|sales|crm|invoice|order|leads?|recruitment|bamboohr|erpnext""), ""CRM &amp; Sales"",
  REGEXMATCH(A269&amp;B269, ""(?i)gmail|outlook|calendar|slack|"&amp;"discord|telegram|whatsapp|notion|trello|drive|sheets?|meeting|scheduler|appointment|mattermost""), ""Productivity &amp; Communication"",
  REGEXMATCH(A269&amp;B269, ""(?i)github|api|webhook|http|mysql|supabase|mongodb|redis|rss|pr|code review|incident|pagerduty|j"&amp;"ira""), ""Development &amp; Utilities"",
  TRUE, ""Others""
)"),"AI &amp; LLM")</f>
        <v>AI &amp; LLM</v>
      </c>
    </row>
    <row r="270" ht="15.75" customHeight="1">
      <c r="A270" s="14" t="s">
        <v>535</v>
      </c>
      <c r="B270" s="15" t="s">
        <v>536</v>
      </c>
      <c r="C270" s="16" t="s">
        <v>7</v>
      </c>
      <c r="D270" s="12" t="str">
        <f>IFERROR(__xludf.DUMMYFUNCTION("IFS(
  REGEXMATCH(A270&amp;B270, ""(?i)openai|gpt|gemini|anthropic|claude|mistral|cohere|rag|vector|llm|chatbot|ai-powered""), ""AI &amp; LLM"",
  REGEXMATCH(A270&amp;B270, ""(?i)twitter|instagram|facebook|linkedin|youtube|tiktok|threads|bluesky|pinterest|social vid"&amp;"eo|reels?|shorts?""), ""Social Media"",
  REGEXMATCH(A270&amp;B270, ""(?i)hubspot|pipedrive|stripe|shopify|woocommerce|sales|crm|invoice|order|leads?|recruitment|bamboohr|erpnext""), ""CRM &amp; Sales"",
  REGEXMATCH(A270&amp;B270, ""(?i)gmail|outlook|calendar|slack|"&amp;"discord|telegram|whatsapp|notion|trello|drive|sheets?|meeting|scheduler|appointment|mattermost""), ""Productivity &amp; Communication"",
  REGEXMATCH(A270&amp;B270, ""(?i)github|api|webhook|http|mysql|supabase|mongodb|redis|rss|pr|code review|incident|pagerduty|j"&amp;"ira""), ""Development &amp; Utilities"",
  TRUE, ""Others""
)"),"AI &amp; LLM")</f>
        <v>AI &amp; LLM</v>
      </c>
    </row>
    <row r="271" ht="15.75" customHeight="1">
      <c r="A271" s="14" t="s">
        <v>537</v>
      </c>
      <c r="B271" s="15" t="s">
        <v>538</v>
      </c>
      <c r="C271" s="16" t="s">
        <v>7</v>
      </c>
      <c r="D271" s="12" t="str">
        <f>IFERROR(__xludf.DUMMYFUNCTION("IFS(
  REGEXMATCH(A271&amp;B271, ""(?i)openai|gpt|gemini|anthropic|claude|mistral|cohere|rag|vector|llm|chatbot|ai-powered""), ""AI &amp; LLM"",
  REGEXMATCH(A271&amp;B271, ""(?i)twitter|instagram|facebook|linkedin|youtube|tiktok|threads|bluesky|pinterest|social vid"&amp;"eo|reels?|shorts?""), ""Social Media"",
  REGEXMATCH(A271&amp;B271, ""(?i)hubspot|pipedrive|stripe|shopify|woocommerce|sales|crm|invoice|order|leads?|recruitment|bamboohr|erpnext""), ""CRM &amp; Sales"",
  REGEXMATCH(A271&amp;B271, ""(?i)gmail|outlook|calendar|slack|"&amp;"discord|telegram|whatsapp|notion|trello|drive|sheets?|meeting|scheduler|appointment|mattermost""), ""Productivity &amp; Communication"",
  REGEXMATCH(A271&amp;B271, ""(?i)github|api|webhook|http|mysql|supabase|mongodb|redis|rss|pr|code review|incident|pagerduty|j"&amp;"ira""), ""Development &amp; Utilities"",
  TRUE, ""Others""
)"),"AI &amp; LLM")</f>
        <v>AI &amp; LLM</v>
      </c>
    </row>
    <row r="272" ht="15.75" customHeight="1">
      <c r="A272" s="14" t="s">
        <v>539</v>
      </c>
      <c r="B272" s="15" t="s">
        <v>540</v>
      </c>
      <c r="C272" s="16" t="s">
        <v>7</v>
      </c>
      <c r="D272" s="12" t="str">
        <f>IFERROR(__xludf.DUMMYFUNCTION("IFS(
  REGEXMATCH(A272&amp;B272, ""(?i)openai|gpt|gemini|anthropic|claude|mistral|cohere|rag|vector|llm|chatbot|ai-powered""), ""AI &amp; LLM"",
  REGEXMATCH(A272&amp;B272, ""(?i)twitter|instagram|facebook|linkedin|youtube|tiktok|threads|bluesky|pinterest|social vid"&amp;"eo|reels?|shorts?""), ""Social Media"",
  REGEXMATCH(A272&amp;B272, ""(?i)hubspot|pipedrive|stripe|shopify|woocommerce|sales|crm|invoice|order|leads?|recruitment|bamboohr|erpnext""), ""CRM &amp; Sales"",
  REGEXMATCH(A272&amp;B272, ""(?i)gmail|outlook|calendar|slack|"&amp;"discord|telegram|whatsapp|notion|trello|drive|sheets?|meeting|scheduler|appointment|mattermost""), ""Productivity &amp; Communication"",
  REGEXMATCH(A272&amp;B272, ""(?i)github|api|webhook|http|mysql|supabase|mongodb|redis|rss|pr|code review|incident|pagerduty|j"&amp;"ira""), ""Development &amp; Utilities"",
  TRUE, ""Others""
)"),"AI &amp; LLM")</f>
        <v>AI &amp; LLM</v>
      </c>
    </row>
    <row r="273" ht="15.75" customHeight="1">
      <c r="A273" s="14" t="s">
        <v>541</v>
      </c>
      <c r="B273" s="15" t="s">
        <v>542</v>
      </c>
      <c r="C273" s="16" t="s">
        <v>7</v>
      </c>
      <c r="D273" s="12" t="str">
        <f>IFERROR(__xludf.DUMMYFUNCTION("IFS(
  REGEXMATCH(A273&amp;B273, ""(?i)openai|gpt|gemini|anthropic|claude|mistral|cohere|rag|vector|llm|chatbot|ai-powered""), ""AI &amp; LLM"",
  REGEXMATCH(A273&amp;B273, ""(?i)twitter|instagram|facebook|linkedin|youtube|tiktok|threads|bluesky|pinterest|social vid"&amp;"eo|reels?|shorts?""), ""Social Media"",
  REGEXMATCH(A273&amp;B273, ""(?i)hubspot|pipedrive|stripe|shopify|woocommerce|sales|crm|invoice|order|leads?|recruitment|bamboohr|erpnext""), ""CRM &amp; Sales"",
  REGEXMATCH(A273&amp;B273, ""(?i)gmail|outlook|calendar|slack|"&amp;"discord|telegram|whatsapp|notion|trello|drive|sheets?|meeting|scheduler|appointment|mattermost""), ""Productivity &amp; Communication"",
  REGEXMATCH(A273&amp;B273, ""(?i)github|api|webhook|http|mysql|supabase|mongodb|redis|rss|pr|code review|incident|pagerduty|j"&amp;"ira""), ""Development &amp; Utilities"",
  TRUE, ""Others""
)"),"AI &amp; LLM")</f>
        <v>AI &amp; LLM</v>
      </c>
    </row>
    <row r="274" ht="15.75" customHeight="1">
      <c r="A274" s="14" t="s">
        <v>543</v>
      </c>
      <c r="B274" s="15" t="s">
        <v>544</v>
      </c>
      <c r="C274" s="16" t="s">
        <v>7</v>
      </c>
      <c r="D274" s="12" t="str">
        <f>IFERROR(__xludf.DUMMYFUNCTION("IFS(
  REGEXMATCH(A274&amp;B274, ""(?i)openai|gpt|gemini|anthropic|claude|mistral|cohere|rag|vector|llm|chatbot|ai-powered""), ""AI &amp; LLM"",
  REGEXMATCH(A274&amp;B274, ""(?i)twitter|instagram|facebook|linkedin|youtube|tiktok|threads|bluesky|pinterest|social vid"&amp;"eo|reels?|shorts?""), ""Social Media"",
  REGEXMATCH(A274&amp;B274, ""(?i)hubspot|pipedrive|stripe|shopify|woocommerce|sales|crm|invoice|order|leads?|recruitment|bamboohr|erpnext""), ""CRM &amp; Sales"",
  REGEXMATCH(A274&amp;B274, ""(?i)gmail|outlook|calendar|slack|"&amp;"discord|telegram|whatsapp|notion|trello|drive|sheets?|meeting|scheduler|appointment|mattermost""), ""Productivity &amp; Communication"",
  REGEXMATCH(A274&amp;B274, ""(?i)github|api|webhook|http|mysql|supabase|mongodb|redis|rss|pr|code review|incident|pagerduty|j"&amp;"ira""), ""Development &amp; Utilities"",
  TRUE, ""Others""
)"),"AI &amp; LLM")</f>
        <v>AI &amp; LLM</v>
      </c>
    </row>
    <row r="275" ht="15.75" customHeight="1">
      <c r="A275" s="14" t="s">
        <v>545</v>
      </c>
      <c r="B275" s="15" t="s">
        <v>546</v>
      </c>
      <c r="C275" s="16" t="s">
        <v>7</v>
      </c>
      <c r="D275" s="12" t="str">
        <f>IFERROR(__xludf.DUMMYFUNCTION("IFS(
  REGEXMATCH(A275&amp;B275, ""(?i)openai|gpt|gemini|anthropic|claude|mistral|cohere|rag|vector|llm|chatbot|ai-powered""), ""AI &amp; LLM"",
  REGEXMATCH(A275&amp;B275, ""(?i)twitter|instagram|facebook|linkedin|youtube|tiktok|threads|bluesky|pinterest|social vid"&amp;"eo|reels?|shorts?""), ""Social Media"",
  REGEXMATCH(A275&amp;B275, ""(?i)hubspot|pipedrive|stripe|shopify|woocommerce|sales|crm|invoice|order|leads?|recruitment|bamboohr|erpnext""), ""CRM &amp; Sales"",
  REGEXMATCH(A275&amp;B275, ""(?i)gmail|outlook|calendar|slack|"&amp;"discord|telegram|whatsapp|notion|trello|drive|sheets?|meeting|scheduler|appointment|mattermost""), ""Productivity &amp; Communication"",
  REGEXMATCH(A275&amp;B275, ""(?i)github|api|webhook|http|mysql|supabase|mongodb|redis|rss|pr|code review|incident|pagerduty|j"&amp;"ira""), ""Development &amp; Utilities"",
  TRUE, ""Others""
)"),"AI &amp; LLM")</f>
        <v>AI &amp; LLM</v>
      </c>
    </row>
    <row r="276" ht="15.75" customHeight="1">
      <c r="A276" s="14" t="s">
        <v>547</v>
      </c>
      <c r="B276" s="15" t="s">
        <v>548</v>
      </c>
      <c r="C276" s="16" t="s">
        <v>7</v>
      </c>
      <c r="D276" s="12" t="str">
        <f>IFERROR(__xludf.DUMMYFUNCTION("IFS(
  REGEXMATCH(A276&amp;B276, ""(?i)openai|gpt|gemini|anthropic|claude|mistral|cohere|rag|vector|llm|chatbot|ai-powered""), ""AI &amp; LLM"",
  REGEXMATCH(A276&amp;B276, ""(?i)twitter|instagram|facebook|linkedin|youtube|tiktok|threads|bluesky|pinterest|social vid"&amp;"eo|reels?|shorts?""), ""Social Media"",
  REGEXMATCH(A276&amp;B276, ""(?i)hubspot|pipedrive|stripe|shopify|woocommerce|sales|crm|invoice|order|leads?|recruitment|bamboohr|erpnext""), ""CRM &amp; Sales"",
  REGEXMATCH(A276&amp;B276, ""(?i)gmail|outlook|calendar|slack|"&amp;"discord|telegram|whatsapp|notion|trello|drive|sheets?|meeting|scheduler|appointment|mattermost""), ""Productivity &amp; Communication"",
  REGEXMATCH(A276&amp;B276, ""(?i)github|api|webhook|http|mysql|supabase|mongodb|redis|rss|pr|code review|incident|pagerduty|j"&amp;"ira""), ""Development &amp; Utilities"",
  TRUE, ""Others""
)"),"AI &amp; LLM")</f>
        <v>AI &amp; LLM</v>
      </c>
    </row>
    <row r="277" ht="15.75" customHeight="1">
      <c r="A277" s="14" t="s">
        <v>549</v>
      </c>
      <c r="B277" s="15" t="s">
        <v>550</v>
      </c>
      <c r="C277" s="16" t="s">
        <v>7</v>
      </c>
      <c r="D277" s="12" t="str">
        <f>IFERROR(__xludf.DUMMYFUNCTION("IFS(
  REGEXMATCH(A277&amp;B277, ""(?i)openai|gpt|gemini|anthropic|claude|mistral|cohere|rag|vector|llm|chatbot|ai-powered""), ""AI &amp; LLM"",
  REGEXMATCH(A277&amp;B277, ""(?i)twitter|instagram|facebook|linkedin|youtube|tiktok|threads|bluesky|pinterest|social vid"&amp;"eo|reels?|shorts?""), ""Social Media"",
  REGEXMATCH(A277&amp;B277, ""(?i)hubspot|pipedrive|stripe|shopify|woocommerce|sales|crm|invoice|order|leads?|recruitment|bamboohr|erpnext""), ""CRM &amp; Sales"",
  REGEXMATCH(A277&amp;B277, ""(?i)gmail|outlook|calendar|slack|"&amp;"discord|telegram|whatsapp|notion|trello|drive|sheets?|meeting|scheduler|appointment|mattermost""), ""Productivity &amp; Communication"",
  REGEXMATCH(A277&amp;B277, ""(?i)github|api|webhook|http|mysql|supabase|mongodb|redis|rss|pr|code review|incident|pagerduty|j"&amp;"ira""), ""Development &amp; Utilities"",
  TRUE, ""Others""
)"),"CRM &amp; Sales")</f>
        <v>CRM &amp; Sales</v>
      </c>
    </row>
    <row r="278" ht="15.75" customHeight="1">
      <c r="A278" s="14" t="s">
        <v>551</v>
      </c>
      <c r="B278" s="15" t="s">
        <v>552</v>
      </c>
      <c r="C278" s="16" t="s">
        <v>7</v>
      </c>
      <c r="D278" s="12" t="str">
        <f>IFERROR(__xludf.DUMMYFUNCTION("IFS(
  REGEXMATCH(A278&amp;B278, ""(?i)openai|gpt|gemini|anthropic|claude|mistral|cohere|rag|vector|llm|chatbot|ai-powered""), ""AI &amp; LLM"",
  REGEXMATCH(A278&amp;B278, ""(?i)twitter|instagram|facebook|linkedin|youtube|tiktok|threads|bluesky|pinterest|social vid"&amp;"eo|reels?|shorts?""), ""Social Media"",
  REGEXMATCH(A278&amp;B278, ""(?i)hubspot|pipedrive|stripe|shopify|woocommerce|sales|crm|invoice|order|leads?|recruitment|bamboohr|erpnext""), ""CRM &amp; Sales"",
  REGEXMATCH(A278&amp;B278, ""(?i)gmail|outlook|calendar|slack|"&amp;"discord|telegram|whatsapp|notion|trello|drive|sheets?|meeting|scheduler|appointment|mattermost""), ""Productivity &amp; Communication"",
  REGEXMATCH(A278&amp;B278, ""(?i)github|api|webhook|http|mysql|supabase|mongodb|redis|rss|pr|code review|incident|pagerduty|j"&amp;"ira""), ""Development &amp; Utilities"",
  TRUE, ""Others""
)"),"AI &amp; LLM")</f>
        <v>AI &amp; LLM</v>
      </c>
    </row>
    <row r="279" ht="15.75" customHeight="1">
      <c r="A279" s="14" t="s">
        <v>553</v>
      </c>
      <c r="B279" s="15" t="s">
        <v>554</v>
      </c>
      <c r="C279" s="16" t="s">
        <v>7</v>
      </c>
      <c r="D279" s="12" t="str">
        <f>IFERROR(__xludf.DUMMYFUNCTION("IFS(
  REGEXMATCH(A279&amp;B279, ""(?i)openai|gpt|gemini|anthropic|claude|mistral|cohere|rag|vector|llm|chatbot|ai-powered""), ""AI &amp; LLM"",
  REGEXMATCH(A279&amp;B279, ""(?i)twitter|instagram|facebook|linkedin|youtube|tiktok|threads|bluesky|pinterest|social vid"&amp;"eo|reels?|shorts?""), ""Social Media"",
  REGEXMATCH(A279&amp;B279, ""(?i)hubspot|pipedrive|stripe|shopify|woocommerce|sales|crm|invoice|order|leads?|recruitment|bamboohr|erpnext""), ""CRM &amp; Sales"",
  REGEXMATCH(A279&amp;B279, ""(?i)gmail|outlook|calendar|slack|"&amp;"discord|telegram|whatsapp|notion|trello|drive|sheets?|meeting|scheduler|appointment|mattermost""), ""Productivity &amp; Communication"",
  REGEXMATCH(A279&amp;B279, ""(?i)github|api|webhook|http|mysql|supabase|mongodb|redis|rss|pr|code review|incident|pagerduty|j"&amp;"ira""), ""Development &amp; Utilities"",
  TRUE, ""Others""
)"),"AI &amp; LLM")</f>
        <v>AI &amp; LLM</v>
      </c>
    </row>
    <row r="280" ht="15.75" customHeight="1">
      <c r="A280" s="14" t="s">
        <v>112</v>
      </c>
      <c r="B280" s="15" t="s">
        <v>555</v>
      </c>
      <c r="C280" s="16" t="s">
        <v>7</v>
      </c>
      <c r="D280" s="12" t="str">
        <f>IFERROR(__xludf.DUMMYFUNCTION("IFS(
  REGEXMATCH(A280&amp;B280, ""(?i)openai|gpt|gemini|anthropic|claude|mistral|cohere|rag|vector|llm|chatbot|ai-powered""), ""AI &amp; LLM"",
  REGEXMATCH(A280&amp;B280, ""(?i)twitter|instagram|facebook|linkedin|youtube|tiktok|threads|bluesky|pinterest|social vid"&amp;"eo|reels?|shorts?""), ""Social Media"",
  REGEXMATCH(A280&amp;B280, ""(?i)hubspot|pipedrive|stripe|shopify|woocommerce|sales|crm|invoice|order|leads?|recruitment|bamboohr|erpnext""), ""CRM &amp; Sales"",
  REGEXMATCH(A280&amp;B280, ""(?i)gmail|outlook|calendar|slack|"&amp;"discord|telegram|whatsapp|notion|trello|drive|sheets?|meeting|scheduler|appointment|mattermost""), ""Productivity &amp; Communication"",
  REGEXMATCH(A280&amp;B280, ""(?i)github|api|webhook|http|mysql|supabase|mongodb|redis|rss|pr|code review|incident|pagerduty|j"&amp;"ira""), ""Development &amp; Utilities"",
  TRUE, ""Others""
)"),"AI &amp; LLM")</f>
        <v>AI &amp; LLM</v>
      </c>
    </row>
    <row r="281" ht="15.75" customHeight="1">
      <c r="A281" s="14" t="s">
        <v>556</v>
      </c>
      <c r="B281" s="15" t="s">
        <v>557</v>
      </c>
      <c r="C281" s="16" t="s">
        <v>7</v>
      </c>
      <c r="D281" s="12" t="str">
        <f>IFERROR(__xludf.DUMMYFUNCTION("IFS(
  REGEXMATCH(A281&amp;B281, ""(?i)openai|gpt|gemini|anthropic|claude|mistral|cohere|rag|vector|llm|chatbot|ai-powered""), ""AI &amp; LLM"",
  REGEXMATCH(A281&amp;B281, ""(?i)twitter|instagram|facebook|linkedin|youtube|tiktok|threads|bluesky|pinterest|social vid"&amp;"eo|reels?|shorts?""), ""Social Media"",
  REGEXMATCH(A281&amp;B281, ""(?i)hubspot|pipedrive|stripe|shopify|woocommerce|sales|crm|invoice|order|leads?|recruitment|bamboohr|erpnext""), ""CRM &amp; Sales"",
  REGEXMATCH(A281&amp;B281, ""(?i)gmail|outlook|calendar|slack|"&amp;"discord|telegram|whatsapp|notion|trello|drive|sheets?|meeting|scheduler|appointment|mattermost""), ""Productivity &amp; Communication"",
  REGEXMATCH(A281&amp;B281, ""(?i)github|api|webhook|http|mysql|supabase|mongodb|redis|rss|pr|code review|incident|pagerduty|j"&amp;"ira""), ""Development &amp; Utilities"",
  TRUE, ""Others""
)"),"Productivity &amp; Communication")</f>
        <v>Productivity &amp; Communication</v>
      </c>
    </row>
    <row r="282" ht="15.75" customHeight="1">
      <c r="A282" s="14" t="s">
        <v>558</v>
      </c>
      <c r="B282" s="15" t="s">
        <v>559</v>
      </c>
      <c r="C282" s="16" t="s">
        <v>7</v>
      </c>
      <c r="D282" s="12" t="str">
        <f>IFERROR(__xludf.DUMMYFUNCTION("IFS(
  REGEXMATCH(A282&amp;B282, ""(?i)openai|gpt|gemini|anthropic|claude|mistral|cohere|rag|vector|llm|chatbot|ai-powered""), ""AI &amp; LLM"",
  REGEXMATCH(A282&amp;B282, ""(?i)twitter|instagram|facebook|linkedin|youtube|tiktok|threads|bluesky|pinterest|social vid"&amp;"eo|reels?|shorts?""), ""Social Media"",
  REGEXMATCH(A282&amp;B282, ""(?i)hubspot|pipedrive|stripe|shopify|woocommerce|sales|crm|invoice|order|leads?|recruitment|bamboohr|erpnext""), ""CRM &amp; Sales"",
  REGEXMATCH(A282&amp;B282, ""(?i)gmail|outlook|calendar|slack|"&amp;"discord|telegram|whatsapp|notion|trello|drive|sheets?|meeting|scheduler|appointment|mattermost""), ""Productivity &amp; Communication"",
  REGEXMATCH(A282&amp;B282, ""(?i)github|api|webhook|http|mysql|supabase|mongodb|redis|rss|pr|code review|incident|pagerduty|j"&amp;"ira""), ""Development &amp; Utilities"",
  TRUE, ""Others""
)"),"AI &amp; LLM")</f>
        <v>AI &amp; LLM</v>
      </c>
    </row>
    <row r="283" ht="15.75" customHeight="1">
      <c r="A283" s="14" t="s">
        <v>560</v>
      </c>
      <c r="B283" s="15" t="s">
        <v>561</v>
      </c>
      <c r="C283" s="16" t="s">
        <v>7</v>
      </c>
      <c r="D283" s="12" t="str">
        <f>IFERROR(__xludf.DUMMYFUNCTION("IFS(
  REGEXMATCH(A283&amp;B283, ""(?i)openai|gpt|gemini|anthropic|claude|mistral|cohere|rag|vector|llm|chatbot|ai-powered""), ""AI &amp; LLM"",
  REGEXMATCH(A283&amp;B283, ""(?i)twitter|instagram|facebook|linkedin|youtube|tiktok|threads|bluesky|pinterest|social vid"&amp;"eo|reels?|shorts?""), ""Social Media"",
  REGEXMATCH(A283&amp;B283, ""(?i)hubspot|pipedrive|stripe|shopify|woocommerce|sales|crm|invoice|order|leads?|recruitment|bamboohr|erpnext""), ""CRM &amp; Sales"",
  REGEXMATCH(A283&amp;B283, ""(?i)gmail|outlook|calendar|slack|"&amp;"discord|telegram|whatsapp|notion|trello|drive|sheets?|meeting|scheduler|appointment|mattermost""), ""Productivity &amp; Communication"",
  REGEXMATCH(A283&amp;B283, ""(?i)github|api|webhook|http|mysql|supabase|mongodb|redis|rss|pr|code review|incident|pagerduty|j"&amp;"ira""), ""Development &amp; Utilities"",
  TRUE, ""Others""
)"),"AI &amp; LLM")</f>
        <v>AI &amp; LLM</v>
      </c>
    </row>
    <row r="284" ht="15.75" customHeight="1">
      <c r="A284" s="14" t="s">
        <v>562</v>
      </c>
      <c r="B284" s="15" t="s">
        <v>563</v>
      </c>
      <c r="C284" s="16" t="s">
        <v>7</v>
      </c>
      <c r="D284" s="12" t="str">
        <f>IFERROR(__xludf.DUMMYFUNCTION("IFS(
  REGEXMATCH(A284&amp;B284, ""(?i)openai|gpt|gemini|anthropic|claude|mistral|cohere|rag|vector|llm|chatbot|ai-powered""), ""AI &amp; LLM"",
  REGEXMATCH(A284&amp;B284, ""(?i)twitter|instagram|facebook|linkedin|youtube|tiktok|threads|bluesky|pinterest|social vid"&amp;"eo|reels?|shorts?""), ""Social Media"",
  REGEXMATCH(A284&amp;B284, ""(?i)hubspot|pipedrive|stripe|shopify|woocommerce|sales|crm|invoice|order|leads?|recruitment|bamboohr|erpnext""), ""CRM &amp; Sales"",
  REGEXMATCH(A284&amp;B284, ""(?i)gmail|outlook|calendar|slack|"&amp;"discord|telegram|whatsapp|notion|trello|drive|sheets?|meeting|scheduler|appointment|mattermost""), ""Productivity &amp; Communication"",
  REGEXMATCH(A284&amp;B284, ""(?i)github|api|webhook|http|mysql|supabase|mongodb|redis|rss|pr|code review|incident|pagerduty|j"&amp;"ira""), ""Development &amp; Utilities"",
  TRUE, ""Others""
)"),"AI &amp; LLM")</f>
        <v>AI &amp; LLM</v>
      </c>
    </row>
    <row r="285" ht="15.75" customHeight="1">
      <c r="A285" s="14" t="s">
        <v>564</v>
      </c>
      <c r="B285" s="15" t="s">
        <v>565</v>
      </c>
      <c r="C285" s="16" t="s">
        <v>7</v>
      </c>
      <c r="D285" s="12" t="str">
        <f>IFERROR(__xludf.DUMMYFUNCTION("IFS(
  REGEXMATCH(A285&amp;B285, ""(?i)openai|gpt|gemini|anthropic|claude|mistral|cohere|rag|vector|llm|chatbot|ai-powered""), ""AI &amp; LLM"",
  REGEXMATCH(A285&amp;B285, ""(?i)twitter|instagram|facebook|linkedin|youtube|tiktok|threads|bluesky|pinterest|social vid"&amp;"eo|reels?|shorts?""), ""Social Media"",
  REGEXMATCH(A285&amp;B285, ""(?i)hubspot|pipedrive|stripe|shopify|woocommerce|sales|crm|invoice|order|leads?|recruitment|bamboohr|erpnext""), ""CRM &amp; Sales"",
  REGEXMATCH(A285&amp;B285, ""(?i)gmail|outlook|calendar|slack|"&amp;"discord|telegram|whatsapp|notion|trello|drive|sheets?|meeting|scheduler|appointment|mattermost""), ""Productivity &amp; Communication"",
  REGEXMATCH(A285&amp;B285, ""(?i)github|api|webhook|http|mysql|supabase|mongodb|redis|rss|pr|code review|incident|pagerduty|j"&amp;"ira""), ""Development &amp; Utilities"",
  TRUE, ""Others""
)"),"AI &amp; LLM")</f>
        <v>AI &amp; LLM</v>
      </c>
    </row>
    <row r="286" ht="15.75" customHeight="1">
      <c r="A286" s="14" t="s">
        <v>356</v>
      </c>
      <c r="B286" s="15" t="s">
        <v>566</v>
      </c>
      <c r="C286" s="16" t="s">
        <v>7</v>
      </c>
      <c r="D286" s="12" t="str">
        <f>IFERROR(__xludf.DUMMYFUNCTION("IFS(
  REGEXMATCH(A286&amp;B286, ""(?i)openai|gpt|gemini|anthropic|claude|mistral|cohere|rag|vector|llm|chatbot|ai-powered""), ""AI &amp; LLM"",
  REGEXMATCH(A286&amp;B286, ""(?i)twitter|instagram|facebook|linkedin|youtube|tiktok|threads|bluesky|pinterest|social vid"&amp;"eo|reels?|shorts?""), ""Social Media"",
  REGEXMATCH(A286&amp;B286, ""(?i)hubspot|pipedrive|stripe|shopify|woocommerce|sales|crm|invoice|order|leads?|recruitment|bamboohr|erpnext""), ""CRM &amp; Sales"",
  REGEXMATCH(A286&amp;B286, ""(?i)gmail|outlook|calendar|slack|"&amp;"discord|telegram|whatsapp|notion|trello|drive|sheets?|meeting|scheduler|appointment|mattermost""), ""Productivity &amp; Communication"",
  REGEXMATCH(A286&amp;B286, ""(?i)github|api|webhook|http|mysql|supabase|mongodb|redis|rss|pr|code review|incident|pagerduty|j"&amp;"ira""), ""Development &amp; Utilities"",
  TRUE, ""Others""
)"),"AI &amp; LLM")</f>
        <v>AI &amp; LLM</v>
      </c>
    </row>
    <row r="287" ht="15.75" customHeight="1">
      <c r="A287" s="14" t="s">
        <v>567</v>
      </c>
      <c r="B287" s="15" t="s">
        <v>568</v>
      </c>
      <c r="C287" s="16" t="s">
        <v>7</v>
      </c>
      <c r="D287" s="12" t="str">
        <f>IFERROR(__xludf.DUMMYFUNCTION("IFS(
  REGEXMATCH(A287&amp;B287, ""(?i)openai|gpt|gemini|anthropic|claude|mistral|cohere|rag|vector|llm|chatbot|ai-powered""), ""AI &amp; LLM"",
  REGEXMATCH(A287&amp;B287, ""(?i)twitter|instagram|facebook|linkedin|youtube|tiktok|threads|bluesky|pinterest|social vid"&amp;"eo|reels?|shorts?""), ""Social Media"",
  REGEXMATCH(A287&amp;B287, ""(?i)hubspot|pipedrive|stripe|shopify|woocommerce|sales|crm|invoice|order|leads?|recruitment|bamboohr|erpnext""), ""CRM &amp; Sales"",
  REGEXMATCH(A287&amp;B287, ""(?i)gmail|outlook|calendar|slack|"&amp;"discord|telegram|whatsapp|notion|trello|drive|sheets?|meeting|scheduler|appointment|mattermost""), ""Productivity &amp; Communication"",
  REGEXMATCH(A287&amp;B287, ""(?i)github|api|webhook|http|mysql|supabase|mongodb|redis|rss|pr|code review|incident|pagerduty|j"&amp;"ira""), ""Development &amp; Utilities"",
  TRUE, ""Others""
)"),"AI &amp; LLM")</f>
        <v>AI &amp; LLM</v>
      </c>
    </row>
    <row r="288" ht="15.75" customHeight="1">
      <c r="A288" s="14" t="s">
        <v>569</v>
      </c>
      <c r="B288" s="15" t="s">
        <v>570</v>
      </c>
      <c r="C288" s="16" t="s">
        <v>7</v>
      </c>
      <c r="D288" s="12" t="str">
        <f>IFERROR(__xludf.DUMMYFUNCTION("IFS(
  REGEXMATCH(A288&amp;B288, ""(?i)openai|gpt|gemini|anthropic|claude|mistral|cohere|rag|vector|llm|chatbot|ai-powered""), ""AI &amp; LLM"",
  REGEXMATCH(A288&amp;B288, ""(?i)twitter|instagram|facebook|linkedin|youtube|tiktok|threads|bluesky|pinterest|social vid"&amp;"eo|reels?|shorts?""), ""Social Media"",
  REGEXMATCH(A288&amp;B288, ""(?i)hubspot|pipedrive|stripe|shopify|woocommerce|sales|crm|invoice|order|leads?|recruitment|bamboohr|erpnext""), ""CRM &amp; Sales"",
  REGEXMATCH(A288&amp;B288, ""(?i)gmail|outlook|calendar|slack|"&amp;"discord|telegram|whatsapp|notion|trello|drive|sheets?|meeting|scheduler|appointment|mattermost""), ""Productivity &amp; Communication"",
  REGEXMATCH(A288&amp;B288, ""(?i)github|api|webhook|http|mysql|supabase|mongodb|redis|rss|pr|code review|incident|pagerduty|j"&amp;"ira""), ""Development &amp; Utilities"",
  TRUE, ""Others""
)"),"AI &amp; LLM")</f>
        <v>AI &amp; LLM</v>
      </c>
    </row>
    <row r="289" ht="15.75" customHeight="1">
      <c r="A289" s="14" t="s">
        <v>571</v>
      </c>
      <c r="B289" s="15" t="s">
        <v>572</v>
      </c>
      <c r="C289" s="16" t="s">
        <v>7</v>
      </c>
      <c r="D289" s="12" t="str">
        <f>IFERROR(__xludf.DUMMYFUNCTION("IFS(
  REGEXMATCH(A289&amp;B289, ""(?i)openai|gpt|gemini|anthropic|claude|mistral|cohere|rag|vector|llm|chatbot|ai-powered""), ""AI &amp; LLM"",
  REGEXMATCH(A289&amp;B289, ""(?i)twitter|instagram|facebook|linkedin|youtube|tiktok|threads|bluesky|pinterest|social vid"&amp;"eo|reels?|shorts?""), ""Social Media"",
  REGEXMATCH(A289&amp;B289, ""(?i)hubspot|pipedrive|stripe|shopify|woocommerce|sales|crm|invoice|order|leads?|recruitment|bamboohr|erpnext""), ""CRM &amp; Sales"",
  REGEXMATCH(A289&amp;B289, ""(?i)gmail|outlook|calendar|slack|"&amp;"discord|telegram|whatsapp|notion|trello|drive|sheets?|meeting|scheduler|appointment|mattermost""), ""Productivity &amp; Communication"",
  REGEXMATCH(A289&amp;B289, ""(?i)github|api|webhook|http|mysql|supabase|mongodb|redis|rss|pr|code review|incident|pagerduty|j"&amp;"ira""), ""Development &amp; Utilities"",
  TRUE, ""Others""
)"),"AI &amp; LLM")</f>
        <v>AI &amp; LLM</v>
      </c>
    </row>
    <row r="290" ht="15.75" customHeight="1">
      <c r="A290" s="14" t="s">
        <v>573</v>
      </c>
      <c r="B290" s="15" t="s">
        <v>574</v>
      </c>
      <c r="C290" s="16" t="s">
        <v>7</v>
      </c>
      <c r="D290" s="12" t="str">
        <f>IFERROR(__xludf.DUMMYFUNCTION("IFS(
  REGEXMATCH(A290&amp;B290, ""(?i)openai|gpt|gemini|anthropic|claude|mistral|cohere|rag|vector|llm|chatbot|ai-powered""), ""AI &amp; LLM"",
  REGEXMATCH(A290&amp;B290, ""(?i)twitter|instagram|facebook|linkedin|youtube|tiktok|threads|bluesky|pinterest|social vid"&amp;"eo|reels?|shorts?""), ""Social Media"",
  REGEXMATCH(A290&amp;B290, ""(?i)hubspot|pipedrive|stripe|shopify|woocommerce|sales|crm|invoice|order|leads?|recruitment|bamboohr|erpnext""), ""CRM &amp; Sales"",
  REGEXMATCH(A290&amp;B290, ""(?i)gmail|outlook|calendar|slack|"&amp;"discord|telegram|whatsapp|notion|trello|drive|sheets?|meeting|scheduler|appointment|mattermost""), ""Productivity &amp; Communication"",
  REGEXMATCH(A290&amp;B290, ""(?i)github|api|webhook|http|mysql|supabase|mongodb|redis|rss|pr|code review|incident|pagerduty|j"&amp;"ira""), ""Development &amp; Utilities"",
  TRUE, ""Others""
)"),"AI &amp; LLM")</f>
        <v>AI &amp; LLM</v>
      </c>
    </row>
    <row r="291" ht="15.75" customHeight="1">
      <c r="A291" s="14" t="s">
        <v>575</v>
      </c>
      <c r="B291" s="15" t="s">
        <v>576</v>
      </c>
      <c r="C291" s="16" t="s">
        <v>7</v>
      </c>
      <c r="D291" s="12" t="str">
        <f>IFERROR(__xludf.DUMMYFUNCTION("IFS(
  REGEXMATCH(A291&amp;B291, ""(?i)openai|gpt|gemini|anthropic|claude|mistral|cohere|rag|vector|llm|chatbot|ai-powered""), ""AI &amp; LLM"",
  REGEXMATCH(A291&amp;B291, ""(?i)twitter|instagram|facebook|linkedin|youtube|tiktok|threads|bluesky|pinterest|social vid"&amp;"eo|reels?|shorts?""), ""Social Media"",
  REGEXMATCH(A291&amp;B291, ""(?i)hubspot|pipedrive|stripe|shopify|woocommerce|sales|crm|invoice|order|leads?|recruitment|bamboohr|erpnext""), ""CRM &amp; Sales"",
  REGEXMATCH(A291&amp;B291, ""(?i)gmail|outlook|calendar|slack|"&amp;"discord|telegram|whatsapp|notion|trello|drive|sheets?|meeting|scheduler|appointment|mattermost""), ""Productivity &amp; Communication"",
  REGEXMATCH(A291&amp;B291, ""(?i)github|api|webhook|http|mysql|supabase|mongodb|redis|rss|pr|code review|incident|pagerduty|j"&amp;"ira""), ""Development &amp; Utilities"",
  TRUE, ""Others""
)"),"AI &amp; LLM")</f>
        <v>AI &amp; LLM</v>
      </c>
    </row>
    <row r="292" ht="15.75" customHeight="1">
      <c r="A292" s="14" t="s">
        <v>577</v>
      </c>
      <c r="B292" s="15" t="s">
        <v>578</v>
      </c>
      <c r="C292" s="16" t="s">
        <v>7</v>
      </c>
      <c r="D292" s="12" t="str">
        <f>IFERROR(__xludf.DUMMYFUNCTION("IFS(
  REGEXMATCH(A292&amp;B292, ""(?i)openai|gpt|gemini|anthropic|claude|mistral|cohere|rag|vector|llm|chatbot|ai-powered""), ""AI &amp; LLM"",
  REGEXMATCH(A292&amp;B292, ""(?i)twitter|instagram|facebook|linkedin|youtube|tiktok|threads|bluesky|pinterest|social vid"&amp;"eo|reels?|shorts?""), ""Social Media"",
  REGEXMATCH(A292&amp;B292, ""(?i)hubspot|pipedrive|stripe|shopify|woocommerce|sales|crm|invoice|order|leads?|recruitment|bamboohr|erpnext""), ""CRM &amp; Sales"",
  REGEXMATCH(A292&amp;B292, ""(?i)gmail|outlook|calendar|slack|"&amp;"discord|telegram|whatsapp|notion|trello|drive|sheets?|meeting|scheduler|appointment|mattermost""), ""Productivity &amp; Communication"",
  REGEXMATCH(A292&amp;B292, ""(?i)github|api|webhook|http|mysql|supabase|mongodb|redis|rss|pr|code review|incident|pagerduty|j"&amp;"ira""), ""Development &amp; Utilities"",
  TRUE, ""Others""
)"),"AI &amp; LLM")</f>
        <v>AI &amp; LLM</v>
      </c>
    </row>
    <row r="293" ht="15.75" customHeight="1">
      <c r="A293" s="14" t="s">
        <v>579</v>
      </c>
      <c r="B293" s="15" t="s">
        <v>580</v>
      </c>
      <c r="C293" s="16" t="s">
        <v>7</v>
      </c>
      <c r="D293" s="12" t="str">
        <f>IFERROR(__xludf.DUMMYFUNCTION("IFS(
  REGEXMATCH(A293&amp;B293, ""(?i)openai|gpt|gemini|anthropic|claude|mistral|cohere|rag|vector|llm|chatbot|ai-powered""), ""AI &amp; LLM"",
  REGEXMATCH(A293&amp;B293, ""(?i)twitter|instagram|facebook|linkedin|youtube|tiktok|threads|bluesky|pinterest|social vid"&amp;"eo|reels?|shorts?""), ""Social Media"",
  REGEXMATCH(A293&amp;B293, ""(?i)hubspot|pipedrive|stripe|shopify|woocommerce|sales|crm|invoice|order|leads?|recruitment|bamboohr|erpnext""), ""CRM &amp; Sales"",
  REGEXMATCH(A293&amp;B293, ""(?i)gmail|outlook|calendar|slack|"&amp;"discord|telegram|whatsapp|notion|trello|drive|sheets?|meeting|scheduler|appointment|mattermost""), ""Productivity &amp; Communication"",
  REGEXMATCH(A293&amp;B293, ""(?i)github|api|webhook|http|mysql|supabase|mongodb|redis|rss|pr|code review|incident|pagerduty|j"&amp;"ira""), ""Development &amp; Utilities"",
  TRUE, ""Others""
)"),"AI &amp; LLM")</f>
        <v>AI &amp; LLM</v>
      </c>
    </row>
    <row r="294" ht="15.75" customHeight="1">
      <c r="A294" s="14" t="s">
        <v>581</v>
      </c>
      <c r="B294" s="15" t="s">
        <v>582</v>
      </c>
      <c r="C294" s="16" t="s">
        <v>7</v>
      </c>
      <c r="D294" s="12" t="str">
        <f>IFERROR(__xludf.DUMMYFUNCTION("IFS(
  REGEXMATCH(A294&amp;B294, ""(?i)openai|gpt|gemini|anthropic|claude|mistral|cohere|rag|vector|llm|chatbot|ai-powered""), ""AI &amp; LLM"",
  REGEXMATCH(A294&amp;B294, ""(?i)twitter|instagram|facebook|linkedin|youtube|tiktok|threads|bluesky|pinterest|social vid"&amp;"eo|reels?|shorts?""), ""Social Media"",
  REGEXMATCH(A294&amp;B294, ""(?i)hubspot|pipedrive|stripe|shopify|woocommerce|sales|crm|invoice|order|leads?|recruitment|bamboohr|erpnext""), ""CRM &amp; Sales"",
  REGEXMATCH(A294&amp;B294, ""(?i)gmail|outlook|calendar|slack|"&amp;"discord|telegram|whatsapp|notion|trello|drive|sheets?|meeting|scheduler|appointment|mattermost""), ""Productivity &amp; Communication"",
  REGEXMATCH(A294&amp;B294, ""(?i)github|api|webhook|http|mysql|supabase|mongodb|redis|rss|pr|code review|incident|pagerduty|j"&amp;"ira""), ""Development &amp; Utilities"",
  TRUE, ""Others""
)"),"AI &amp; LLM")</f>
        <v>AI &amp; LLM</v>
      </c>
    </row>
    <row r="295" ht="15.75" customHeight="1">
      <c r="A295" s="14" t="s">
        <v>583</v>
      </c>
      <c r="B295" s="15" t="s">
        <v>584</v>
      </c>
      <c r="C295" s="16" t="s">
        <v>7</v>
      </c>
      <c r="D295" s="12" t="str">
        <f>IFERROR(__xludf.DUMMYFUNCTION("IFS(
  REGEXMATCH(A295&amp;B295, ""(?i)openai|gpt|gemini|anthropic|claude|mistral|cohere|rag|vector|llm|chatbot|ai-powered""), ""AI &amp; LLM"",
  REGEXMATCH(A295&amp;B295, ""(?i)twitter|instagram|facebook|linkedin|youtube|tiktok|threads|bluesky|pinterest|social vid"&amp;"eo|reels?|shorts?""), ""Social Media"",
  REGEXMATCH(A295&amp;B295, ""(?i)hubspot|pipedrive|stripe|shopify|woocommerce|sales|crm|invoice|order|leads?|recruitment|bamboohr|erpnext""), ""CRM &amp; Sales"",
  REGEXMATCH(A295&amp;B295, ""(?i)gmail|outlook|calendar|slack|"&amp;"discord|telegram|whatsapp|notion|trello|drive|sheets?|meeting|scheduler|appointment|mattermost""), ""Productivity &amp; Communication"",
  REGEXMATCH(A295&amp;B295, ""(?i)github|api|webhook|http|mysql|supabase|mongodb|redis|rss|pr|code review|incident|pagerduty|j"&amp;"ira""), ""Development &amp; Utilities"",
  TRUE, ""Others""
)"),"AI &amp; LLM")</f>
        <v>AI &amp; LLM</v>
      </c>
    </row>
    <row r="296" ht="15.75" customHeight="1">
      <c r="A296" s="14" t="s">
        <v>585</v>
      </c>
      <c r="B296" s="15" t="s">
        <v>586</v>
      </c>
      <c r="C296" s="16" t="s">
        <v>7</v>
      </c>
      <c r="D296" s="12" t="str">
        <f>IFERROR(__xludf.DUMMYFUNCTION("IFS(
  REGEXMATCH(A296&amp;B296, ""(?i)openai|gpt|gemini|anthropic|claude|mistral|cohere|rag|vector|llm|chatbot|ai-powered""), ""AI &amp; LLM"",
  REGEXMATCH(A296&amp;B296, ""(?i)twitter|instagram|facebook|linkedin|youtube|tiktok|threads|bluesky|pinterest|social vid"&amp;"eo|reels?|shorts?""), ""Social Media"",
  REGEXMATCH(A296&amp;B296, ""(?i)hubspot|pipedrive|stripe|shopify|woocommerce|sales|crm|invoice|order|leads?|recruitment|bamboohr|erpnext""), ""CRM &amp; Sales"",
  REGEXMATCH(A296&amp;B296, ""(?i)gmail|outlook|calendar|slack|"&amp;"discord|telegram|whatsapp|notion|trello|drive|sheets?|meeting|scheduler|appointment|mattermost""), ""Productivity &amp; Communication"",
  REGEXMATCH(A296&amp;B296, ""(?i)github|api|webhook|http|mysql|supabase|mongodb|redis|rss|pr|code review|incident|pagerduty|j"&amp;"ira""), ""Development &amp; Utilities"",
  TRUE, ""Others""
)"),"AI &amp; LLM")</f>
        <v>AI &amp; LLM</v>
      </c>
    </row>
    <row r="297" ht="15.75" customHeight="1">
      <c r="A297" s="14" t="s">
        <v>587</v>
      </c>
      <c r="B297" s="15" t="s">
        <v>588</v>
      </c>
      <c r="C297" s="16" t="s">
        <v>7</v>
      </c>
      <c r="D297" s="12" t="str">
        <f>IFERROR(__xludf.DUMMYFUNCTION("IFS(
  REGEXMATCH(A297&amp;B297, ""(?i)openai|gpt|gemini|anthropic|claude|mistral|cohere|rag|vector|llm|chatbot|ai-powered""), ""AI &amp; LLM"",
  REGEXMATCH(A297&amp;B297, ""(?i)twitter|instagram|facebook|linkedin|youtube|tiktok|threads|bluesky|pinterest|social vid"&amp;"eo|reels?|shorts?""), ""Social Media"",
  REGEXMATCH(A297&amp;B297, ""(?i)hubspot|pipedrive|stripe|shopify|woocommerce|sales|crm|invoice|order|leads?|recruitment|bamboohr|erpnext""), ""CRM &amp; Sales"",
  REGEXMATCH(A297&amp;B297, ""(?i)gmail|outlook|calendar|slack|"&amp;"discord|telegram|whatsapp|notion|trello|drive|sheets?|meeting|scheduler|appointment|mattermost""), ""Productivity &amp; Communication"",
  REGEXMATCH(A297&amp;B297, ""(?i)github|api|webhook|http|mysql|supabase|mongodb|redis|rss|pr|code review|incident|pagerduty|j"&amp;"ira""), ""Development &amp; Utilities"",
  TRUE, ""Others""
)"),"AI &amp; LLM")</f>
        <v>AI &amp; LLM</v>
      </c>
    </row>
    <row r="298" ht="15.75" customHeight="1">
      <c r="A298" s="14" t="s">
        <v>589</v>
      </c>
      <c r="B298" s="15" t="s">
        <v>590</v>
      </c>
      <c r="C298" s="16" t="s">
        <v>7</v>
      </c>
      <c r="D298" s="12" t="str">
        <f>IFERROR(__xludf.DUMMYFUNCTION("IFS(
  REGEXMATCH(A298&amp;B298, ""(?i)openai|gpt|gemini|anthropic|claude|mistral|cohere|rag|vector|llm|chatbot|ai-powered""), ""AI &amp; LLM"",
  REGEXMATCH(A298&amp;B298, ""(?i)twitter|instagram|facebook|linkedin|youtube|tiktok|threads|bluesky|pinterest|social vid"&amp;"eo|reels?|shorts?""), ""Social Media"",
  REGEXMATCH(A298&amp;B298, ""(?i)hubspot|pipedrive|stripe|shopify|woocommerce|sales|crm|invoice|order|leads?|recruitment|bamboohr|erpnext""), ""CRM &amp; Sales"",
  REGEXMATCH(A298&amp;B298, ""(?i)gmail|outlook|calendar|slack|"&amp;"discord|telegram|whatsapp|notion|trello|drive|sheets?|meeting|scheduler|appointment|mattermost""), ""Productivity &amp; Communication"",
  REGEXMATCH(A298&amp;B298, ""(?i)github|api|webhook|http|mysql|supabase|mongodb|redis|rss|pr|code review|incident|pagerduty|j"&amp;"ira""), ""Development &amp; Utilities"",
  TRUE, ""Others""
)"),"AI &amp; LLM")</f>
        <v>AI &amp; LLM</v>
      </c>
    </row>
    <row r="299" ht="15.75" customHeight="1">
      <c r="A299" s="14" t="s">
        <v>591</v>
      </c>
      <c r="B299" s="15" t="s">
        <v>592</v>
      </c>
      <c r="C299" s="16" t="s">
        <v>7</v>
      </c>
      <c r="D299" s="12" t="str">
        <f>IFERROR(__xludf.DUMMYFUNCTION("IFS(
  REGEXMATCH(A299&amp;B299, ""(?i)openai|gpt|gemini|anthropic|claude|mistral|cohere|rag|vector|llm|chatbot|ai-powered""), ""AI &amp; LLM"",
  REGEXMATCH(A299&amp;B299, ""(?i)twitter|instagram|facebook|linkedin|youtube|tiktok|threads|bluesky|pinterest|social vid"&amp;"eo|reels?|shorts?""), ""Social Media"",
  REGEXMATCH(A299&amp;B299, ""(?i)hubspot|pipedrive|stripe|shopify|woocommerce|sales|crm|invoice|order|leads?|recruitment|bamboohr|erpnext""), ""CRM &amp; Sales"",
  REGEXMATCH(A299&amp;B299, ""(?i)gmail|outlook|calendar|slack|"&amp;"discord|telegram|whatsapp|notion|trello|drive|sheets?|meeting|scheduler|appointment|mattermost""), ""Productivity &amp; Communication"",
  REGEXMATCH(A299&amp;B299, ""(?i)github|api|webhook|http|mysql|supabase|mongodb|redis|rss|pr|code review|incident|pagerduty|j"&amp;"ira""), ""Development &amp; Utilities"",
  TRUE, ""Others""
)"),"AI &amp; LLM")</f>
        <v>AI &amp; LLM</v>
      </c>
    </row>
    <row r="300" ht="15.75" customHeight="1">
      <c r="A300" s="14" t="s">
        <v>593</v>
      </c>
      <c r="B300" s="15" t="s">
        <v>594</v>
      </c>
      <c r="C300" s="16" t="s">
        <v>7</v>
      </c>
      <c r="D300" s="12" t="str">
        <f>IFERROR(__xludf.DUMMYFUNCTION("IFS(
  REGEXMATCH(A300&amp;B300, ""(?i)openai|gpt|gemini|anthropic|claude|mistral|cohere|rag|vector|llm|chatbot|ai-powered""), ""AI &amp; LLM"",
  REGEXMATCH(A300&amp;B300, ""(?i)twitter|instagram|facebook|linkedin|youtube|tiktok|threads|bluesky|pinterest|social vid"&amp;"eo|reels?|shorts?""), ""Social Media"",
  REGEXMATCH(A300&amp;B300, ""(?i)hubspot|pipedrive|stripe|shopify|woocommerce|sales|crm|invoice|order|leads?|recruitment|bamboohr|erpnext""), ""CRM &amp; Sales"",
  REGEXMATCH(A300&amp;B300, ""(?i)gmail|outlook|calendar|slack|"&amp;"discord|telegram|whatsapp|notion|trello|drive|sheets?|meeting|scheduler|appointment|mattermost""), ""Productivity &amp; Communication"",
  REGEXMATCH(A300&amp;B300, ""(?i)github|api|webhook|http|mysql|supabase|mongodb|redis|rss|pr|code review|incident|pagerduty|j"&amp;"ira""), ""Development &amp; Utilities"",
  TRUE, ""Others""
)"),"AI &amp; LLM")</f>
        <v>AI &amp; LLM</v>
      </c>
    </row>
    <row r="301" ht="15.75" customHeight="1">
      <c r="A301" s="14" t="s">
        <v>595</v>
      </c>
      <c r="B301" s="15" t="s">
        <v>596</v>
      </c>
      <c r="C301" s="16" t="s">
        <v>7</v>
      </c>
      <c r="D301" s="12" t="str">
        <f>IFERROR(__xludf.DUMMYFUNCTION("IFS(
  REGEXMATCH(A301&amp;B301, ""(?i)openai|gpt|gemini|anthropic|claude|mistral|cohere|rag|vector|llm|chatbot|ai-powered""), ""AI &amp; LLM"",
  REGEXMATCH(A301&amp;B301, ""(?i)twitter|instagram|facebook|linkedin|youtube|tiktok|threads|bluesky|pinterest|social vid"&amp;"eo|reels?|shorts?""), ""Social Media"",
  REGEXMATCH(A301&amp;B301, ""(?i)hubspot|pipedrive|stripe|shopify|woocommerce|sales|crm|invoice|order|leads?|recruitment|bamboohr|erpnext""), ""CRM &amp; Sales"",
  REGEXMATCH(A301&amp;B301, ""(?i)gmail|outlook|calendar|slack|"&amp;"discord|telegram|whatsapp|notion|trello|drive|sheets?|meeting|scheduler|appointment|mattermost""), ""Productivity &amp; Communication"",
  REGEXMATCH(A301&amp;B301, ""(?i)github|api|webhook|http|mysql|supabase|mongodb|redis|rss|pr|code review|incident|pagerduty|j"&amp;"ira""), ""Development &amp; Utilities"",
  TRUE, ""Others""
)"),"AI &amp; LLM")</f>
        <v>AI &amp; LLM</v>
      </c>
    </row>
    <row r="302" ht="15.75" customHeight="1">
      <c r="A302" s="14" t="s">
        <v>597</v>
      </c>
      <c r="B302" s="15" t="s">
        <v>598</v>
      </c>
      <c r="C302" s="16" t="s">
        <v>7</v>
      </c>
      <c r="D302" s="12" t="str">
        <f>IFERROR(__xludf.DUMMYFUNCTION("IFS(
  REGEXMATCH(A302&amp;B302, ""(?i)openai|gpt|gemini|anthropic|claude|mistral|cohere|rag|vector|llm|chatbot|ai-powered""), ""AI &amp; LLM"",
  REGEXMATCH(A302&amp;B302, ""(?i)twitter|instagram|facebook|linkedin|youtube|tiktok|threads|bluesky|pinterest|social vid"&amp;"eo|reels?|shorts?""), ""Social Media"",
  REGEXMATCH(A302&amp;B302, ""(?i)hubspot|pipedrive|stripe|shopify|woocommerce|sales|crm|invoice|order|leads?|recruitment|bamboohr|erpnext""), ""CRM &amp; Sales"",
  REGEXMATCH(A302&amp;B302, ""(?i)gmail|outlook|calendar|slack|"&amp;"discord|telegram|whatsapp|notion|trello|drive|sheets?|meeting|scheduler|appointment|mattermost""), ""Productivity &amp; Communication"",
  REGEXMATCH(A302&amp;B302, ""(?i)github|api|webhook|http|mysql|supabase|mongodb|redis|rss|pr|code review|incident|pagerduty|j"&amp;"ira""), ""Development &amp; Utilities"",
  TRUE, ""Others""
)"),"AI &amp; LLM")</f>
        <v>AI &amp; LLM</v>
      </c>
    </row>
    <row r="303" ht="15.75" customHeight="1">
      <c r="A303" s="14" t="s">
        <v>599</v>
      </c>
      <c r="B303" s="15" t="s">
        <v>600</v>
      </c>
      <c r="C303" s="16" t="s">
        <v>7</v>
      </c>
      <c r="D303" s="12" t="str">
        <f>IFERROR(__xludf.DUMMYFUNCTION("IFS(
  REGEXMATCH(A303&amp;B303, ""(?i)openai|gpt|gemini|anthropic|claude|mistral|cohere|rag|vector|llm|chatbot|ai-powered""), ""AI &amp; LLM"",
  REGEXMATCH(A303&amp;B303, ""(?i)twitter|instagram|facebook|linkedin|youtube|tiktok|threads|bluesky|pinterest|social vid"&amp;"eo|reels?|shorts?""), ""Social Media"",
  REGEXMATCH(A303&amp;B303, ""(?i)hubspot|pipedrive|stripe|shopify|woocommerce|sales|crm|invoice|order|leads?|recruitment|bamboohr|erpnext""), ""CRM &amp; Sales"",
  REGEXMATCH(A303&amp;B303, ""(?i)gmail|outlook|calendar|slack|"&amp;"discord|telegram|whatsapp|notion|trello|drive|sheets?|meeting|scheduler|appointment|mattermost""), ""Productivity &amp; Communication"",
  REGEXMATCH(A303&amp;B303, ""(?i)github|api|webhook|http|mysql|supabase|mongodb|redis|rss|pr|code review|incident|pagerduty|j"&amp;"ira""), ""Development &amp; Utilities"",
  TRUE, ""Others""
)"),"AI &amp; LLM")</f>
        <v>AI &amp; LLM</v>
      </c>
    </row>
    <row r="304" ht="15.75" customHeight="1">
      <c r="A304" s="14" t="s">
        <v>601</v>
      </c>
      <c r="B304" s="15" t="s">
        <v>602</v>
      </c>
      <c r="C304" s="16" t="s">
        <v>7</v>
      </c>
      <c r="D304" s="12" t="str">
        <f>IFERROR(__xludf.DUMMYFUNCTION("IFS(
  REGEXMATCH(A304&amp;B304, ""(?i)openai|gpt|gemini|anthropic|claude|mistral|cohere|rag|vector|llm|chatbot|ai-powered""), ""AI &amp; LLM"",
  REGEXMATCH(A304&amp;B304, ""(?i)twitter|instagram|facebook|linkedin|youtube|tiktok|threads|bluesky|pinterest|social vid"&amp;"eo|reels?|shorts?""), ""Social Media"",
  REGEXMATCH(A304&amp;B304, ""(?i)hubspot|pipedrive|stripe|shopify|woocommerce|sales|crm|invoice|order|leads?|recruitment|bamboohr|erpnext""), ""CRM &amp; Sales"",
  REGEXMATCH(A304&amp;B304, ""(?i)gmail|outlook|calendar|slack|"&amp;"discord|telegram|whatsapp|notion|trello|drive|sheets?|meeting|scheduler|appointment|mattermost""), ""Productivity &amp; Communication"",
  REGEXMATCH(A304&amp;B304, ""(?i)github|api|webhook|http|mysql|supabase|mongodb|redis|rss|pr|code review|incident|pagerduty|j"&amp;"ira""), ""Development &amp; Utilities"",
  TRUE, ""Others""
)"),"AI &amp; LLM")</f>
        <v>AI &amp; LLM</v>
      </c>
    </row>
    <row r="305" ht="15.75" customHeight="1">
      <c r="A305" s="14" t="s">
        <v>603</v>
      </c>
      <c r="B305" s="15" t="s">
        <v>604</v>
      </c>
      <c r="C305" s="16" t="s">
        <v>7</v>
      </c>
      <c r="D305" s="12" t="str">
        <f>IFERROR(__xludf.DUMMYFUNCTION("IFS(
  REGEXMATCH(A305&amp;B305, ""(?i)openai|gpt|gemini|anthropic|claude|mistral|cohere|rag|vector|llm|chatbot|ai-powered""), ""AI &amp; LLM"",
  REGEXMATCH(A305&amp;B305, ""(?i)twitter|instagram|facebook|linkedin|youtube|tiktok|threads|bluesky|pinterest|social vid"&amp;"eo|reels?|shorts?""), ""Social Media"",
  REGEXMATCH(A305&amp;B305, ""(?i)hubspot|pipedrive|stripe|shopify|woocommerce|sales|crm|invoice|order|leads?|recruitment|bamboohr|erpnext""), ""CRM &amp; Sales"",
  REGEXMATCH(A305&amp;B305, ""(?i)gmail|outlook|calendar|slack|"&amp;"discord|telegram|whatsapp|notion|trello|drive|sheets?|meeting|scheduler|appointment|mattermost""), ""Productivity &amp; Communication"",
  REGEXMATCH(A305&amp;B305, ""(?i)github|api|webhook|http|mysql|supabase|mongodb|redis|rss|pr|code review|incident|pagerduty|j"&amp;"ira""), ""Development &amp; Utilities"",
  TRUE, ""Others""
)"),"AI &amp; LLM")</f>
        <v>AI &amp; LLM</v>
      </c>
    </row>
    <row r="306" ht="15.75" customHeight="1">
      <c r="A306" s="14" t="s">
        <v>605</v>
      </c>
      <c r="B306" s="15" t="s">
        <v>606</v>
      </c>
      <c r="C306" s="16" t="s">
        <v>7</v>
      </c>
      <c r="D306" s="12" t="str">
        <f>IFERROR(__xludf.DUMMYFUNCTION("IFS(
  REGEXMATCH(A306&amp;B306, ""(?i)openai|gpt|gemini|anthropic|claude|mistral|cohere|rag|vector|llm|chatbot|ai-powered""), ""AI &amp; LLM"",
  REGEXMATCH(A306&amp;B306, ""(?i)twitter|instagram|facebook|linkedin|youtube|tiktok|threads|bluesky|pinterest|social vid"&amp;"eo|reels?|shorts?""), ""Social Media"",
  REGEXMATCH(A306&amp;B306, ""(?i)hubspot|pipedrive|stripe|shopify|woocommerce|sales|crm|invoice|order|leads?|recruitment|bamboohr|erpnext""), ""CRM &amp; Sales"",
  REGEXMATCH(A306&amp;B306, ""(?i)gmail|outlook|calendar|slack|"&amp;"discord|telegram|whatsapp|notion|trello|drive|sheets?|meeting|scheduler|appointment|mattermost""), ""Productivity &amp; Communication"",
  REGEXMATCH(A306&amp;B306, ""(?i)github|api|webhook|http|mysql|supabase|mongodb|redis|rss|pr|code review|incident|pagerduty|j"&amp;"ira""), ""Development &amp; Utilities"",
  TRUE, ""Others""
)"),"AI &amp; LLM")</f>
        <v>AI &amp; LLM</v>
      </c>
    </row>
    <row r="307" ht="15.75" customHeight="1">
      <c r="A307" s="14" t="s">
        <v>607</v>
      </c>
      <c r="B307" s="15" t="s">
        <v>608</v>
      </c>
      <c r="C307" s="16" t="s">
        <v>7</v>
      </c>
      <c r="D307" s="12" t="str">
        <f>IFERROR(__xludf.DUMMYFUNCTION("IFS(
  REGEXMATCH(A307&amp;B307, ""(?i)openai|gpt|gemini|anthropic|claude|mistral|cohere|rag|vector|llm|chatbot|ai-powered""), ""AI &amp; LLM"",
  REGEXMATCH(A307&amp;B307, ""(?i)twitter|instagram|facebook|linkedin|youtube|tiktok|threads|bluesky|pinterest|social vid"&amp;"eo|reels?|shorts?""), ""Social Media"",
  REGEXMATCH(A307&amp;B307, ""(?i)hubspot|pipedrive|stripe|shopify|woocommerce|sales|crm|invoice|order|leads?|recruitment|bamboohr|erpnext""), ""CRM &amp; Sales"",
  REGEXMATCH(A307&amp;B307, ""(?i)gmail|outlook|calendar|slack|"&amp;"discord|telegram|whatsapp|notion|trello|drive|sheets?|meeting|scheduler|appointment|mattermost""), ""Productivity &amp; Communication"",
  REGEXMATCH(A307&amp;B307, ""(?i)github|api|webhook|http|mysql|supabase|mongodb|redis|rss|pr|code review|incident|pagerduty|j"&amp;"ira""), ""Development &amp; Utilities"",
  TRUE, ""Others""
)"),"AI &amp; LLM")</f>
        <v>AI &amp; LLM</v>
      </c>
    </row>
    <row r="308" ht="15.75" customHeight="1">
      <c r="A308" s="14" t="s">
        <v>609</v>
      </c>
      <c r="B308" s="15" t="s">
        <v>610</v>
      </c>
      <c r="C308" s="16" t="s">
        <v>7</v>
      </c>
      <c r="D308" s="12" t="str">
        <f>IFERROR(__xludf.DUMMYFUNCTION("IFS(
  REGEXMATCH(A308&amp;B308, ""(?i)openai|gpt|gemini|anthropic|claude|mistral|cohere|rag|vector|llm|chatbot|ai-powered""), ""AI &amp; LLM"",
  REGEXMATCH(A308&amp;B308, ""(?i)twitter|instagram|facebook|linkedin|youtube|tiktok|threads|bluesky|pinterest|social vid"&amp;"eo|reels?|shorts?""), ""Social Media"",
  REGEXMATCH(A308&amp;B308, ""(?i)hubspot|pipedrive|stripe|shopify|woocommerce|sales|crm|invoice|order|leads?|recruitment|bamboohr|erpnext""), ""CRM &amp; Sales"",
  REGEXMATCH(A308&amp;B308, ""(?i)gmail|outlook|calendar|slack|"&amp;"discord|telegram|whatsapp|notion|trello|drive|sheets?|meeting|scheduler|appointment|mattermost""), ""Productivity &amp; Communication"",
  REGEXMATCH(A308&amp;B308, ""(?i)github|api|webhook|http|mysql|supabase|mongodb|redis|rss|pr|code review|incident|pagerduty|j"&amp;"ira""), ""Development &amp; Utilities"",
  TRUE, ""Others""
)"),"AI &amp; LLM")</f>
        <v>AI &amp; LLM</v>
      </c>
    </row>
    <row r="309" ht="15.75" customHeight="1">
      <c r="A309" s="14" t="s">
        <v>611</v>
      </c>
      <c r="B309" s="15" t="s">
        <v>612</v>
      </c>
      <c r="C309" s="16" t="s">
        <v>7</v>
      </c>
      <c r="D309" s="12" t="str">
        <f>IFERROR(__xludf.DUMMYFUNCTION("IFS(
  REGEXMATCH(A309&amp;B309, ""(?i)openai|gpt|gemini|anthropic|claude|mistral|cohere|rag|vector|llm|chatbot|ai-powered""), ""AI &amp; LLM"",
  REGEXMATCH(A309&amp;B309, ""(?i)twitter|instagram|facebook|linkedin|youtube|tiktok|threads|bluesky|pinterest|social vid"&amp;"eo|reels?|shorts?""), ""Social Media"",
  REGEXMATCH(A309&amp;B309, ""(?i)hubspot|pipedrive|stripe|shopify|woocommerce|sales|crm|invoice|order|leads?|recruitment|bamboohr|erpnext""), ""CRM &amp; Sales"",
  REGEXMATCH(A309&amp;B309, ""(?i)gmail|outlook|calendar|slack|"&amp;"discord|telegram|whatsapp|notion|trello|drive|sheets?|meeting|scheduler|appointment|mattermost""), ""Productivity &amp; Communication"",
  REGEXMATCH(A309&amp;B309, ""(?i)github|api|webhook|http|mysql|supabase|mongodb|redis|rss|pr|code review|incident|pagerduty|j"&amp;"ira""), ""Development &amp; Utilities"",
  TRUE, ""Others""
)"),"AI &amp; LLM")</f>
        <v>AI &amp; LLM</v>
      </c>
    </row>
    <row r="310" ht="15.75" customHeight="1">
      <c r="A310" s="14" t="s">
        <v>613</v>
      </c>
      <c r="B310" s="15" t="s">
        <v>614</v>
      </c>
      <c r="C310" s="16" t="s">
        <v>7</v>
      </c>
      <c r="D310" s="12" t="str">
        <f>IFERROR(__xludf.DUMMYFUNCTION("IFS(
  REGEXMATCH(A310&amp;B310, ""(?i)openai|gpt|gemini|anthropic|claude|mistral|cohere|rag|vector|llm|chatbot|ai-powered""), ""AI &amp; LLM"",
  REGEXMATCH(A310&amp;B310, ""(?i)twitter|instagram|facebook|linkedin|youtube|tiktok|threads|bluesky|pinterest|social vid"&amp;"eo|reels?|shorts?""), ""Social Media"",
  REGEXMATCH(A310&amp;B310, ""(?i)hubspot|pipedrive|stripe|shopify|woocommerce|sales|crm|invoice|order|leads?|recruitment|bamboohr|erpnext""), ""CRM &amp; Sales"",
  REGEXMATCH(A310&amp;B310, ""(?i)gmail|outlook|calendar|slack|"&amp;"discord|telegram|whatsapp|notion|trello|drive|sheets?|meeting|scheduler|appointment|mattermost""), ""Productivity &amp; Communication"",
  REGEXMATCH(A310&amp;B310, ""(?i)github|api|webhook|http|mysql|supabase|mongodb|redis|rss|pr|code review|incident|pagerduty|j"&amp;"ira""), ""Development &amp; Utilities"",
  TRUE, ""Others""
)"),"Productivity &amp; Communication")</f>
        <v>Productivity &amp; Communication</v>
      </c>
    </row>
    <row r="311" ht="15.75" customHeight="1">
      <c r="A311" s="14" t="s">
        <v>615</v>
      </c>
      <c r="B311" s="15" t="s">
        <v>616</v>
      </c>
      <c r="C311" s="16" t="s">
        <v>7</v>
      </c>
      <c r="D311" s="12" t="str">
        <f>IFERROR(__xludf.DUMMYFUNCTION("IFS(
  REGEXMATCH(A311&amp;B311, ""(?i)openai|gpt|gemini|anthropic|claude|mistral|cohere|rag|vector|llm|chatbot|ai-powered""), ""AI &amp; LLM"",
  REGEXMATCH(A311&amp;B311, ""(?i)twitter|instagram|facebook|linkedin|youtube|tiktok|threads|bluesky|pinterest|social vid"&amp;"eo|reels?|shorts?""), ""Social Media"",
  REGEXMATCH(A311&amp;B311, ""(?i)hubspot|pipedrive|stripe|shopify|woocommerce|sales|crm|invoice|order|leads?|recruitment|bamboohr|erpnext""), ""CRM &amp; Sales"",
  REGEXMATCH(A311&amp;B311, ""(?i)gmail|outlook|calendar|slack|"&amp;"discord|telegram|whatsapp|notion|trello|drive|sheets?|meeting|scheduler|appointment|mattermost""), ""Productivity &amp; Communication"",
  REGEXMATCH(A311&amp;B311, ""(?i)github|api|webhook|http|mysql|supabase|mongodb|redis|rss|pr|code review|incident|pagerduty|j"&amp;"ira""), ""Development &amp; Utilities"",
  TRUE, ""Others""
)"),"AI &amp; LLM")</f>
        <v>AI &amp; LLM</v>
      </c>
    </row>
    <row r="312" ht="15.75" customHeight="1">
      <c r="A312" s="14" t="s">
        <v>617</v>
      </c>
      <c r="B312" s="15" t="s">
        <v>618</v>
      </c>
      <c r="C312" s="16" t="s">
        <v>7</v>
      </c>
      <c r="D312" s="12" t="str">
        <f>IFERROR(__xludf.DUMMYFUNCTION("IFS(
  REGEXMATCH(A312&amp;B312, ""(?i)openai|gpt|gemini|anthropic|claude|mistral|cohere|rag|vector|llm|chatbot|ai-powered""), ""AI &amp; LLM"",
  REGEXMATCH(A312&amp;B312, ""(?i)twitter|instagram|facebook|linkedin|youtube|tiktok|threads|bluesky|pinterest|social vid"&amp;"eo|reels?|shorts?""), ""Social Media"",
  REGEXMATCH(A312&amp;B312, ""(?i)hubspot|pipedrive|stripe|shopify|woocommerce|sales|crm|invoice|order|leads?|recruitment|bamboohr|erpnext""), ""CRM &amp; Sales"",
  REGEXMATCH(A312&amp;B312, ""(?i)gmail|outlook|calendar|slack|"&amp;"discord|telegram|whatsapp|notion|trello|drive|sheets?|meeting|scheduler|appointment|mattermost""), ""Productivity &amp; Communication"",
  REGEXMATCH(A312&amp;B312, ""(?i)github|api|webhook|http|mysql|supabase|mongodb|redis|rss|pr|code review|incident|pagerduty|j"&amp;"ira""), ""Development &amp; Utilities"",
  TRUE, ""Others""
)"),"AI &amp; LLM")</f>
        <v>AI &amp; LLM</v>
      </c>
    </row>
    <row r="313" ht="15.75" customHeight="1">
      <c r="A313" s="14" t="s">
        <v>322</v>
      </c>
      <c r="B313" s="15" t="s">
        <v>619</v>
      </c>
      <c r="C313" s="16" t="s">
        <v>7</v>
      </c>
      <c r="D313" s="12" t="str">
        <f>IFERROR(__xludf.DUMMYFUNCTION("IFS(
  REGEXMATCH(A313&amp;B313, ""(?i)openai|gpt|gemini|anthropic|claude|mistral|cohere|rag|vector|llm|chatbot|ai-powered""), ""AI &amp; LLM"",
  REGEXMATCH(A313&amp;B313, ""(?i)twitter|instagram|facebook|linkedin|youtube|tiktok|threads|bluesky|pinterest|social vid"&amp;"eo|reels?|shorts?""), ""Social Media"",
  REGEXMATCH(A313&amp;B313, ""(?i)hubspot|pipedrive|stripe|shopify|woocommerce|sales|crm|invoice|order|leads?|recruitment|bamboohr|erpnext""), ""CRM &amp; Sales"",
  REGEXMATCH(A313&amp;B313, ""(?i)gmail|outlook|calendar|slack|"&amp;"discord|telegram|whatsapp|notion|trello|drive|sheets?|meeting|scheduler|appointment|mattermost""), ""Productivity &amp; Communication"",
  REGEXMATCH(A313&amp;B313, ""(?i)github|api|webhook|http|mysql|supabase|mongodb|redis|rss|pr|code review|incident|pagerduty|j"&amp;"ira""), ""Development &amp; Utilities"",
  TRUE, ""Others""
)"),"AI &amp; LLM")</f>
        <v>AI &amp; LLM</v>
      </c>
    </row>
    <row r="314" ht="15.75" customHeight="1">
      <c r="A314" s="14" t="s">
        <v>620</v>
      </c>
      <c r="B314" s="15" t="s">
        <v>621</v>
      </c>
      <c r="C314" s="16" t="s">
        <v>7</v>
      </c>
      <c r="D314" s="12" t="str">
        <f>IFERROR(__xludf.DUMMYFUNCTION("IFS(
  REGEXMATCH(A314&amp;B314, ""(?i)openai|gpt|gemini|anthropic|claude|mistral|cohere|rag|vector|llm|chatbot|ai-powered""), ""AI &amp; LLM"",
  REGEXMATCH(A314&amp;B314, ""(?i)twitter|instagram|facebook|linkedin|youtube|tiktok|threads|bluesky|pinterest|social vid"&amp;"eo|reels?|shorts?""), ""Social Media"",
  REGEXMATCH(A314&amp;B314, ""(?i)hubspot|pipedrive|stripe|shopify|woocommerce|sales|crm|invoice|order|leads?|recruitment|bamboohr|erpnext""), ""CRM &amp; Sales"",
  REGEXMATCH(A314&amp;B314, ""(?i)gmail|outlook|calendar|slack|"&amp;"discord|telegram|whatsapp|notion|trello|drive|sheets?|meeting|scheduler|appointment|mattermost""), ""Productivity &amp; Communication"",
  REGEXMATCH(A314&amp;B314, ""(?i)github|api|webhook|http|mysql|supabase|mongodb|redis|rss|pr|code review|incident|pagerduty|j"&amp;"ira""), ""Development &amp; Utilities"",
  TRUE, ""Others""
)"),"AI &amp; LLM")</f>
        <v>AI &amp; LLM</v>
      </c>
    </row>
    <row r="315" ht="15.75" customHeight="1">
      <c r="A315" s="14" t="s">
        <v>622</v>
      </c>
      <c r="B315" s="15" t="s">
        <v>623</v>
      </c>
      <c r="C315" s="16" t="s">
        <v>7</v>
      </c>
      <c r="D315" s="12" t="str">
        <f>IFERROR(__xludf.DUMMYFUNCTION("IFS(
  REGEXMATCH(A315&amp;B315, ""(?i)openai|gpt|gemini|anthropic|claude|mistral|cohere|rag|vector|llm|chatbot|ai-powered""), ""AI &amp; LLM"",
  REGEXMATCH(A315&amp;B315, ""(?i)twitter|instagram|facebook|linkedin|youtube|tiktok|threads|bluesky|pinterest|social vid"&amp;"eo|reels?|shorts?""), ""Social Media"",
  REGEXMATCH(A315&amp;B315, ""(?i)hubspot|pipedrive|stripe|shopify|woocommerce|sales|crm|invoice|order|leads?|recruitment|bamboohr|erpnext""), ""CRM &amp; Sales"",
  REGEXMATCH(A315&amp;B315, ""(?i)gmail|outlook|calendar|slack|"&amp;"discord|telegram|whatsapp|notion|trello|drive|sheets?|meeting|scheduler|appointment|mattermost""), ""Productivity &amp; Communication"",
  REGEXMATCH(A315&amp;B315, ""(?i)github|api|webhook|http|mysql|supabase|mongodb|redis|rss|pr|code review|incident|pagerduty|j"&amp;"ira""), ""Development &amp; Utilities"",
  TRUE, ""Others""
)"),"AI &amp; LLM")</f>
        <v>AI &amp; LLM</v>
      </c>
    </row>
    <row r="316" ht="15.75" customHeight="1">
      <c r="A316" s="14" t="s">
        <v>624</v>
      </c>
      <c r="B316" s="15" t="s">
        <v>625</v>
      </c>
      <c r="C316" s="16" t="s">
        <v>7</v>
      </c>
      <c r="D316" s="12" t="str">
        <f>IFERROR(__xludf.DUMMYFUNCTION("IFS(
  REGEXMATCH(A316&amp;B316, ""(?i)openai|gpt|gemini|anthropic|claude|mistral|cohere|rag|vector|llm|chatbot|ai-powered""), ""AI &amp; LLM"",
  REGEXMATCH(A316&amp;B316, ""(?i)twitter|instagram|facebook|linkedin|youtube|tiktok|threads|bluesky|pinterest|social vid"&amp;"eo|reels?|shorts?""), ""Social Media"",
  REGEXMATCH(A316&amp;B316, ""(?i)hubspot|pipedrive|stripe|shopify|woocommerce|sales|crm|invoice|order|leads?|recruitment|bamboohr|erpnext""), ""CRM &amp; Sales"",
  REGEXMATCH(A316&amp;B316, ""(?i)gmail|outlook|calendar|slack|"&amp;"discord|telegram|whatsapp|notion|trello|drive|sheets?|meeting|scheduler|appointment|mattermost""), ""Productivity &amp; Communication"",
  REGEXMATCH(A316&amp;B316, ""(?i)github|api|webhook|http|mysql|supabase|mongodb|redis|rss|pr|code review|incident|pagerduty|j"&amp;"ira""), ""Development &amp; Utilities"",
  TRUE, ""Others""
)"),"AI &amp; LLM")</f>
        <v>AI &amp; LLM</v>
      </c>
    </row>
    <row r="317" ht="15.75" customHeight="1">
      <c r="A317" s="14" t="s">
        <v>626</v>
      </c>
      <c r="B317" s="15" t="s">
        <v>627</v>
      </c>
      <c r="C317" s="16" t="s">
        <v>7</v>
      </c>
      <c r="D317" s="12" t="str">
        <f>IFERROR(__xludf.DUMMYFUNCTION("IFS(
  REGEXMATCH(A317&amp;B317, ""(?i)openai|gpt|gemini|anthropic|claude|mistral|cohere|rag|vector|llm|chatbot|ai-powered""), ""AI &amp; LLM"",
  REGEXMATCH(A317&amp;B317, ""(?i)twitter|instagram|facebook|linkedin|youtube|tiktok|threads|bluesky|pinterest|social vid"&amp;"eo|reels?|shorts?""), ""Social Media"",
  REGEXMATCH(A317&amp;B317, ""(?i)hubspot|pipedrive|stripe|shopify|woocommerce|sales|crm|invoice|order|leads?|recruitment|bamboohr|erpnext""), ""CRM &amp; Sales"",
  REGEXMATCH(A317&amp;B317, ""(?i)gmail|outlook|calendar|slack|"&amp;"discord|telegram|whatsapp|notion|trello|drive|sheets?|meeting|scheduler|appointment|mattermost""), ""Productivity &amp; Communication"",
  REGEXMATCH(A317&amp;B317, ""(?i)github|api|webhook|http|mysql|supabase|mongodb|redis|rss|pr|code review|incident|pagerduty|j"&amp;"ira""), ""Development &amp; Utilities"",
  TRUE, ""Others""
)"),"AI &amp; LLM")</f>
        <v>AI &amp; LLM</v>
      </c>
    </row>
    <row r="318" ht="15.75" customHeight="1">
      <c r="A318" s="14" t="s">
        <v>628</v>
      </c>
      <c r="B318" s="15" t="s">
        <v>629</v>
      </c>
      <c r="C318" s="16" t="s">
        <v>7</v>
      </c>
      <c r="D318" s="12" t="str">
        <f>IFERROR(__xludf.DUMMYFUNCTION("IFS(
  REGEXMATCH(A318&amp;B318, ""(?i)openai|gpt|gemini|anthropic|claude|mistral|cohere|rag|vector|llm|chatbot|ai-powered""), ""AI &amp; LLM"",
  REGEXMATCH(A318&amp;B318, ""(?i)twitter|instagram|facebook|linkedin|youtube|tiktok|threads|bluesky|pinterest|social vid"&amp;"eo|reels?|shorts?""), ""Social Media"",
  REGEXMATCH(A318&amp;B318, ""(?i)hubspot|pipedrive|stripe|shopify|woocommerce|sales|crm|invoice|order|leads?|recruitment|bamboohr|erpnext""), ""CRM &amp; Sales"",
  REGEXMATCH(A318&amp;B318, ""(?i)gmail|outlook|calendar|slack|"&amp;"discord|telegram|whatsapp|notion|trello|drive|sheets?|meeting|scheduler|appointment|mattermost""), ""Productivity &amp; Communication"",
  REGEXMATCH(A318&amp;B318, ""(?i)github|api|webhook|http|mysql|supabase|mongodb|redis|rss|pr|code review|incident|pagerduty|j"&amp;"ira""), ""Development &amp; Utilities"",
  TRUE, ""Others""
)"),"AI &amp; LLM")</f>
        <v>AI &amp; LLM</v>
      </c>
    </row>
    <row r="319" ht="15.75" customHeight="1">
      <c r="A319" s="14" t="s">
        <v>630</v>
      </c>
      <c r="B319" s="15" t="s">
        <v>631</v>
      </c>
      <c r="C319" s="16" t="s">
        <v>7</v>
      </c>
      <c r="D319" s="12" t="str">
        <f>IFERROR(__xludf.DUMMYFUNCTION("IFS(
  REGEXMATCH(A319&amp;B319, ""(?i)openai|gpt|gemini|anthropic|claude|mistral|cohere|rag|vector|llm|chatbot|ai-powered""), ""AI &amp; LLM"",
  REGEXMATCH(A319&amp;B319, ""(?i)twitter|instagram|facebook|linkedin|youtube|tiktok|threads|bluesky|pinterest|social vid"&amp;"eo|reels?|shorts?""), ""Social Media"",
  REGEXMATCH(A319&amp;B319, ""(?i)hubspot|pipedrive|stripe|shopify|woocommerce|sales|crm|invoice|order|leads?|recruitment|bamboohr|erpnext""), ""CRM &amp; Sales"",
  REGEXMATCH(A319&amp;B319, ""(?i)gmail|outlook|calendar|slack|"&amp;"discord|telegram|whatsapp|notion|trello|drive|sheets?|meeting|scheduler|appointment|mattermost""), ""Productivity &amp; Communication"",
  REGEXMATCH(A319&amp;B319, ""(?i)github|api|webhook|http|mysql|supabase|mongodb|redis|rss|pr|code review|incident|pagerduty|j"&amp;"ira""), ""Development &amp; Utilities"",
  TRUE, ""Others""
)"),"AI &amp; LLM")</f>
        <v>AI &amp; LLM</v>
      </c>
    </row>
    <row r="320" ht="15.75" customHeight="1">
      <c r="A320" s="14" t="s">
        <v>632</v>
      </c>
      <c r="B320" s="15" t="s">
        <v>633</v>
      </c>
      <c r="C320" s="16" t="s">
        <v>7</v>
      </c>
      <c r="D320" s="12" t="str">
        <f>IFERROR(__xludf.DUMMYFUNCTION("IFS(
  REGEXMATCH(A320&amp;B320, ""(?i)openai|gpt|gemini|anthropic|claude|mistral|cohere|rag|vector|llm|chatbot|ai-powered""), ""AI &amp; LLM"",
  REGEXMATCH(A320&amp;B320, ""(?i)twitter|instagram|facebook|linkedin|youtube|tiktok|threads|bluesky|pinterest|social vid"&amp;"eo|reels?|shorts?""), ""Social Media"",
  REGEXMATCH(A320&amp;B320, ""(?i)hubspot|pipedrive|stripe|shopify|woocommerce|sales|crm|invoice|order|leads?|recruitment|bamboohr|erpnext""), ""CRM &amp; Sales"",
  REGEXMATCH(A320&amp;B320, ""(?i)gmail|outlook|calendar|slack|"&amp;"discord|telegram|whatsapp|notion|trello|drive|sheets?|meeting|scheduler|appointment|mattermost""), ""Productivity &amp; Communication"",
  REGEXMATCH(A320&amp;B320, ""(?i)github|api|webhook|http|mysql|supabase|mongodb|redis|rss|pr|code review|incident|pagerduty|j"&amp;"ira""), ""Development &amp; Utilities"",
  TRUE, ""Others""
)"),"AI &amp; LLM")</f>
        <v>AI &amp; LLM</v>
      </c>
    </row>
    <row r="321" ht="15.75" customHeight="1">
      <c r="A321" s="14" t="s">
        <v>634</v>
      </c>
      <c r="B321" s="15" t="s">
        <v>635</v>
      </c>
      <c r="C321" s="16" t="s">
        <v>7</v>
      </c>
      <c r="D321" s="12" t="str">
        <f>IFERROR(__xludf.DUMMYFUNCTION("IFS(
  REGEXMATCH(A321&amp;B321, ""(?i)openai|gpt|gemini|anthropic|claude|mistral|cohere|rag|vector|llm|chatbot|ai-powered""), ""AI &amp; LLM"",
  REGEXMATCH(A321&amp;B321, ""(?i)twitter|instagram|facebook|linkedin|youtube|tiktok|threads|bluesky|pinterest|social vid"&amp;"eo|reels?|shorts?""), ""Social Media"",
  REGEXMATCH(A321&amp;B321, ""(?i)hubspot|pipedrive|stripe|shopify|woocommerce|sales|crm|invoice|order|leads?|recruitment|bamboohr|erpnext""), ""CRM &amp; Sales"",
  REGEXMATCH(A321&amp;B321, ""(?i)gmail|outlook|calendar|slack|"&amp;"discord|telegram|whatsapp|notion|trello|drive|sheets?|meeting|scheduler|appointment|mattermost""), ""Productivity &amp; Communication"",
  REGEXMATCH(A321&amp;B321, ""(?i)github|api|webhook|http|mysql|supabase|mongodb|redis|rss|pr|code review|incident|pagerduty|j"&amp;"ira""), ""Development &amp; Utilities"",
  TRUE, ""Others""
)"),"AI &amp; LLM")</f>
        <v>AI &amp; LLM</v>
      </c>
    </row>
    <row r="322" ht="15.75" customHeight="1">
      <c r="A322" s="14" t="s">
        <v>636</v>
      </c>
      <c r="B322" s="15" t="s">
        <v>637</v>
      </c>
      <c r="C322" s="16" t="s">
        <v>7</v>
      </c>
      <c r="D322" s="12" t="str">
        <f>IFERROR(__xludf.DUMMYFUNCTION("IFS(
  REGEXMATCH(A322&amp;B322, ""(?i)openai|gpt|gemini|anthropic|claude|mistral|cohere|rag|vector|llm|chatbot|ai-powered""), ""AI &amp; LLM"",
  REGEXMATCH(A322&amp;B322, ""(?i)twitter|instagram|facebook|linkedin|youtube|tiktok|threads|bluesky|pinterest|social vid"&amp;"eo|reels?|shorts?""), ""Social Media"",
  REGEXMATCH(A322&amp;B322, ""(?i)hubspot|pipedrive|stripe|shopify|woocommerce|sales|crm|invoice|order|leads?|recruitment|bamboohr|erpnext""), ""CRM &amp; Sales"",
  REGEXMATCH(A322&amp;B322, ""(?i)gmail|outlook|calendar|slack|"&amp;"discord|telegram|whatsapp|notion|trello|drive|sheets?|meeting|scheduler|appointment|mattermost""), ""Productivity &amp; Communication"",
  REGEXMATCH(A322&amp;B322, ""(?i)github|api|webhook|http|mysql|supabase|mongodb|redis|rss|pr|code review|incident|pagerduty|j"&amp;"ira""), ""Development &amp; Utilities"",
  TRUE, ""Others""
)"),"AI &amp; LLM")</f>
        <v>AI &amp; LLM</v>
      </c>
    </row>
    <row r="323" ht="15.75" customHeight="1">
      <c r="A323" s="14" t="s">
        <v>638</v>
      </c>
      <c r="B323" s="15" t="s">
        <v>639</v>
      </c>
      <c r="C323" s="16" t="s">
        <v>7</v>
      </c>
      <c r="D323" s="12" t="str">
        <f>IFERROR(__xludf.DUMMYFUNCTION("IFS(
  REGEXMATCH(A323&amp;B323, ""(?i)openai|gpt|gemini|anthropic|claude|mistral|cohere|rag|vector|llm|chatbot|ai-powered""), ""AI &amp; LLM"",
  REGEXMATCH(A323&amp;B323, ""(?i)twitter|instagram|facebook|linkedin|youtube|tiktok|threads|bluesky|pinterest|social vid"&amp;"eo|reels?|shorts?""), ""Social Media"",
  REGEXMATCH(A323&amp;B323, ""(?i)hubspot|pipedrive|stripe|shopify|woocommerce|sales|crm|invoice|order|leads?|recruitment|bamboohr|erpnext""), ""CRM &amp; Sales"",
  REGEXMATCH(A323&amp;B323, ""(?i)gmail|outlook|calendar|slack|"&amp;"discord|telegram|whatsapp|notion|trello|drive|sheets?|meeting|scheduler|appointment|mattermost""), ""Productivity &amp; Communication"",
  REGEXMATCH(A323&amp;B323, ""(?i)github|api|webhook|http|mysql|supabase|mongodb|redis|rss|pr|code review|incident|pagerduty|j"&amp;"ira""), ""Development &amp; Utilities"",
  TRUE, ""Others""
)"),"Social Media")</f>
        <v>Social Media</v>
      </c>
    </row>
    <row r="324" ht="15.75" customHeight="1">
      <c r="A324" s="14" t="s">
        <v>640</v>
      </c>
      <c r="B324" s="15" t="s">
        <v>641</v>
      </c>
      <c r="C324" s="16" t="s">
        <v>7</v>
      </c>
      <c r="D324" s="12" t="str">
        <f>IFERROR(__xludf.DUMMYFUNCTION("IFS(
  REGEXMATCH(A324&amp;B324, ""(?i)openai|gpt|gemini|anthropic|claude|mistral|cohere|rag|vector|llm|chatbot|ai-powered""), ""AI &amp; LLM"",
  REGEXMATCH(A324&amp;B324, ""(?i)twitter|instagram|facebook|linkedin|youtube|tiktok|threads|bluesky|pinterest|social vid"&amp;"eo|reels?|shorts?""), ""Social Media"",
  REGEXMATCH(A324&amp;B324, ""(?i)hubspot|pipedrive|stripe|shopify|woocommerce|sales|crm|invoice|order|leads?|recruitment|bamboohr|erpnext""), ""CRM &amp; Sales"",
  REGEXMATCH(A324&amp;B324, ""(?i)gmail|outlook|calendar|slack|"&amp;"discord|telegram|whatsapp|notion|trello|drive|sheets?|meeting|scheduler|appointment|mattermost""), ""Productivity &amp; Communication"",
  REGEXMATCH(A324&amp;B324, ""(?i)github|api|webhook|http|mysql|supabase|mongodb|redis|rss|pr|code review|incident|pagerduty|j"&amp;"ira""), ""Development &amp; Utilities"",
  TRUE, ""Others""
)"),"AI &amp; LLM")</f>
        <v>AI &amp; LLM</v>
      </c>
    </row>
    <row r="325" ht="15.75" customHeight="1">
      <c r="A325" s="14" t="s">
        <v>642</v>
      </c>
      <c r="B325" s="15" t="s">
        <v>643</v>
      </c>
      <c r="C325" s="16" t="s">
        <v>7</v>
      </c>
      <c r="D325" s="12" t="str">
        <f>IFERROR(__xludf.DUMMYFUNCTION("IFS(
  REGEXMATCH(A325&amp;B325, ""(?i)openai|gpt|gemini|anthropic|claude|mistral|cohere|rag|vector|llm|chatbot|ai-powered""), ""AI &amp; LLM"",
  REGEXMATCH(A325&amp;B325, ""(?i)twitter|instagram|facebook|linkedin|youtube|tiktok|threads|bluesky|pinterest|social vid"&amp;"eo|reels?|shorts?""), ""Social Media"",
  REGEXMATCH(A325&amp;B325, ""(?i)hubspot|pipedrive|stripe|shopify|woocommerce|sales|crm|invoice|order|leads?|recruitment|bamboohr|erpnext""), ""CRM &amp; Sales"",
  REGEXMATCH(A325&amp;B325, ""(?i)gmail|outlook|calendar|slack|"&amp;"discord|telegram|whatsapp|notion|trello|drive|sheets?|meeting|scheduler|appointment|mattermost""), ""Productivity &amp; Communication"",
  REGEXMATCH(A325&amp;B325, ""(?i)github|api|webhook|http|mysql|supabase|mongodb|redis|rss|pr|code review|incident|pagerduty|j"&amp;"ira""), ""Development &amp; Utilities"",
  TRUE, ""Others""
)"),"AI &amp; LLM")</f>
        <v>AI &amp; LLM</v>
      </c>
    </row>
    <row r="326" ht="15.75" customHeight="1">
      <c r="A326" s="14" t="s">
        <v>644</v>
      </c>
      <c r="B326" s="15" t="s">
        <v>645</v>
      </c>
      <c r="C326" s="16" t="s">
        <v>7</v>
      </c>
      <c r="D326" s="12" t="str">
        <f>IFERROR(__xludf.DUMMYFUNCTION("IFS(
  REGEXMATCH(A326&amp;B326, ""(?i)openai|gpt|gemini|anthropic|claude|mistral|cohere|rag|vector|llm|chatbot|ai-powered""), ""AI &amp; LLM"",
  REGEXMATCH(A326&amp;B326, ""(?i)twitter|instagram|facebook|linkedin|youtube|tiktok|threads|bluesky|pinterest|social vid"&amp;"eo|reels?|shorts?""), ""Social Media"",
  REGEXMATCH(A326&amp;B326, ""(?i)hubspot|pipedrive|stripe|shopify|woocommerce|sales|crm|invoice|order|leads?|recruitment|bamboohr|erpnext""), ""CRM &amp; Sales"",
  REGEXMATCH(A326&amp;B326, ""(?i)gmail|outlook|calendar|slack|"&amp;"discord|telegram|whatsapp|notion|trello|drive|sheets?|meeting|scheduler|appointment|mattermost""), ""Productivity &amp; Communication"",
  REGEXMATCH(A326&amp;B326, ""(?i)github|api|webhook|http|mysql|supabase|mongodb|redis|rss|pr|code review|incident|pagerduty|j"&amp;"ira""), ""Development &amp; Utilities"",
  TRUE, ""Others""
)"),"AI &amp; LLM")</f>
        <v>AI &amp; LLM</v>
      </c>
    </row>
    <row r="327" ht="15.75" customHeight="1">
      <c r="A327" s="14" t="s">
        <v>646</v>
      </c>
      <c r="B327" s="15" t="s">
        <v>647</v>
      </c>
      <c r="C327" s="16" t="s">
        <v>7</v>
      </c>
      <c r="D327" s="12" t="str">
        <f>IFERROR(__xludf.DUMMYFUNCTION("IFS(
  REGEXMATCH(A327&amp;B327, ""(?i)openai|gpt|gemini|anthropic|claude|mistral|cohere|rag|vector|llm|chatbot|ai-powered""), ""AI &amp; LLM"",
  REGEXMATCH(A327&amp;B327, ""(?i)twitter|instagram|facebook|linkedin|youtube|tiktok|threads|bluesky|pinterest|social vid"&amp;"eo|reels?|shorts?""), ""Social Media"",
  REGEXMATCH(A327&amp;B327, ""(?i)hubspot|pipedrive|stripe|shopify|woocommerce|sales|crm|invoice|order|leads?|recruitment|bamboohr|erpnext""), ""CRM &amp; Sales"",
  REGEXMATCH(A327&amp;B327, ""(?i)gmail|outlook|calendar|slack|"&amp;"discord|telegram|whatsapp|notion|trello|drive|sheets?|meeting|scheduler|appointment|mattermost""), ""Productivity &amp; Communication"",
  REGEXMATCH(A327&amp;B327, ""(?i)github|api|webhook|http|mysql|supabase|mongodb|redis|rss|pr|code review|incident|pagerduty|j"&amp;"ira""), ""Development &amp; Utilities"",
  TRUE, ""Others""
)"),"AI &amp; LLM")</f>
        <v>AI &amp; LLM</v>
      </c>
    </row>
    <row r="328" ht="15.75" customHeight="1">
      <c r="A328" s="14" t="s">
        <v>648</v>
      </c>
      <c r="B328" s="15" t="s">
        <v>649</v>
      </c>
      <c r="C328" s="16" t="s">
        <v>7</v>
      </c>
      <c r="D328" s="12" t="str">
        <f>IFERROR(__xludf.DUMMYFUNCTION("IFS(
  REGEXMATCH(A328&amp;B328, ""(?i)openai|gpt|gemini|anthropic|claude|mistral|cohere|rag|vector|llm|chatbot|ai-powered""), ""AI &amp; LLM"",
  REGEXMATCH(A328&amp;B328, ""(?i)twitter|instagram|facebook|linkedin|youtube|tiktok|threads|bluesky|pinterest|social vid"&amp;"eo|reels?|shorts?""), ""Social Media"",
  REGEXMATCH(A328&amp;B328, ""(?i)hubspot|pipedrive|stripe|shopify|woocommerce|sales|crm|invoice|order|leads?|recruitment|bamboohr|erpnext""), ""CRM &amp; Sales"",
  REGEXMATCH(A328&amp;B328, ""(?i)gmail|outlook|calendar|slack|"&amp;"discord|telegram|whatsapp|notion|trello|drive|sheets?|meeting|scheduler|appointment|mattermost""), ""Productivity &amp; Communication"",
  REGEXMATCH(A328&amp;B328, ""(?i)github|api|webhook|http|mysql|supabase|mongodb|redis|rss|pr|code review|incident|pagerduty|j"&amp;"ira""), ""Development &amp; Utilities"",
  TRUE, ""Others""
)"),"Social Media")</f>
        <v>Social Media</v>
      </c>
    </row>
    <row r="329" ht="15.75" customHeight="1">
      <c r="A329" s="14" t="s">
        <v>650</v>
      </c>
      <c r="B329" s="15" t="s">
        <v>651</v>
      </c>
      <c r="C329" s="16" t="s">
        <v>7</v>
      </c>
      <c r="D329" s="12" t="str">
        <f>IFERROR(__xludf.DUMMYFUNCTION("IFS(
  REGEXMATCH(A329&amp;B329, ""(?i)openai|gpt|gemini|anthropic|claude|mistral|cohere|rag|vector|llm|chatbot|ai-powered""), ""AI &amp; LLM"",
  REGEXMATCH(A329&amp;B329, ""(?i)twitter|instagram|facebook|linkedin|youtube|tiktok|threads|bluesky|pinterest|social vid"&amp;"eo|reels?|shorts?""), ""Social Media"",
  REGEXMATCH(A329&amp;B329, ""(?i)hubspot|pipedrive|stripe|shopify|woocommerce|sales|crm|invoice|order|leads?|recruitment|bamboohr|erpnext""), ""CRM &amp; Sales"",
  REGEXMATCH(A329&amp;B329, ""(?i)gmail|outlook|calendar|slack|"&amp;"discord|telegram|whatsapp|notion|trello|drive|sheets?|meeting|scheduler|appointment|mattermost""), ""Productivity &amp; Communication"",
  REGEXMATCH(A329&amp;B329, ""(?i)github|api|webhook|http|mysql|supabase|mongodb|redis|rss|pr|code review|incident|pagerduty|j"&amp;"ira""), ""Development &amp; Utilities"",
  TRUE, ""Others""
)"),"AI &amp; LLM")</f>
        <v>AI &amp; LLM</v>
      </c>
    </row>
    <row r="330" ht="15.75" customHeight="1">
      <c r="A330" s="14" t="s">
        <v>652</v>
      </c>
      <c r="B330" s="15" t="s">
        <v>653</v>
      </c>
      <c r="C330" s="16" t="s">
        <v>7</v>
      </c>
      <c r="D330" s="12" t="str">
        <f>IFERROR(__xludf.DUMMYFUNCTION("IFS(
  REGEXMATCH(A330&amp;B330, ""(?i)openai|gpt|gemini|anthropic|claude|mistral|cohere|rag|vector|llm|chatbot|ai-powered""), ""AI &amp; LLM"",
  REGEXMATCH(A330&amp;B330, ""(?i)twitter|instagram|facebook|linkedin|youtube|tiktok|threads|bluesky|pinterest|social vid"&amp;"eo|reels?|shorts?""), ""Social Media"",
  REGEXMATCH(A330&amp;B330, ""(?i)hubspot|pipedrive|stripe|shopify|woocommerce|sales|crm|invoice|order|leads?|recruitment|bamboohr|erpnext""), ""CRM &amp; Sales"",
  REGEXMATCH(A330&amp;B330, ""(?i)gmail|outlook|calendar|slack|"&amp;"discord|telegram|whatsapp|notion|trello|drive|sheets?|meeting|scheduler|appointment|mattermost""), ""Productivity &amp; Communication"",
  REGEXMATCH(A330&amp;B330, ""(?i)github|api|webhook|http|mysql|supabase|mongodb|redis|rss|pr|code review|incident|pagerduty|j"&amp;"ira""), ""Development &amp; Utilities"",
  TRUE, ""Others""
)"),"AI &amp; LLM")</f>
        <v>AI &amp; LLM</v>
      </c>
    </row>
    <row r="331" ht="15.75" customHeight="1">
      <c r="A331" s="14" t="s">
        <v>654</v>
      </c>
      <c r="B331" s="15" t="s">
        <v>655</v>
      </c>
      <c r="C331" s="16" t="s">
        <v>7</v>
      </c>
      <c r="D331" s="12" t="str">
        <f>IFERROR(__xludf.DUMMYFUNCTION("IFS(
  REGEXMATCH(A331&amp;B331, ""(?i)openai|gpt|gemini|anthropic|claude|mistral|cohere|rag|vector|llm|chatbot|ai-powered""), ""AI &amp; LLM"",
  REGEXMATCH(A331&amp;B331, ""(?i)twitter|instagram|facebook|linkedin|youtube|tiktok|threads|bluesky|pinterest|social vid"&amp;"eo|reels?|shorts?""), ""Social Media"",
  REGEXMATCH(A331&amp;B331, ""(?i)hubspot|pipedrive|stripe|shopify|woocommerce|sales|crm|invoice|order|leads?|recruitment|bamboohr|erpnext""), ""CRM &amp; Sales"",
  REGEXMATCH(A331&amp;B331, ""(?i)gmail|outlook|calendar|slack|"&amp;"discord|telegram|whatsapp|notion|trello|drive|sheets?|meeting|scheduler|appointment|mattermost""), ""Productivity &amp; Communication"",
  REGEXMATCH(A331&amp;B331, ""(?i)github|api|webhook|http|mysql|supabase|mongodb|redis|rss|pr|code review|incident|pagerduty|j"&amp;"ira""), ""Development &amp; Utilities"",
  TRUE, ""Others""
)"),"AI &amp; LLM")</f>
        <v>AI &amp; LLM</v>
      </c>
    </row>
    <row r="332" ht="15.75" customHeight="1">
      <c r="A332" s="14" t="s">
        <v>656</v>
      </c>
      <c r="B332" s="15" t="s">
        <v>657</v>
      </c>
      <c r="C332" s="16" t="s">
        <v>7</v>
      </c>
      <c r="D332" s="12" t="str">
        <f>IFERROR(__xludf.DUMMYFUNCTION("IFS(
  REGEXMATCH(A332&amp;B332, ""(?i)openai|gpt|gemini|anthropic|claude|mistral|cohere|rag|vector|llm|chatbot|ai-powered""), ""AI &amp; LLM"",
  REGEXMATCH(A332&amp;B332, ""(?i)twitter|instagram|facebook|linkedin|youtube|tiktok|threads|bluesky|pinterest|social vid"&amp;"eo|reels?|shorts?""), ""Social Media"",
  REGEXMATCH(A332&amp;B332, ""(?i)hubspot|pipedrive|stripe|shopify|woocommerce|sales|crm|invoice|order|leads?|recruitment|bamboohr|erpnext""), ""CRM &amp; Sales"",
  REGEXMATCH(A332&amp;B332, ""(?i)gmail|outlook|calendar|slack|"&amp;"discord|telegram|whatsapp|notion|trello|drive|sheets?|meeting|scheduler|appointment|mattermost""), ""Productivity &amp; Communication"",
  REGEXMATCH(A332&amp;B332, ""(?i)github|api|webhook|http|mysql|supabase|mongodb|redis|rss|pr|code review|incident|pagerduty|j"&amp;"ira""), ""Development &amp; Utilities"",
  TRUE, ""Others""
)"),"AI &amp; LLM")</f>
        <v>AI &amp; LLM</v>
      </c>
    </row>
    <row r="333" ht="15.75" customHeight="1">
      <c r="A333" s="14" t="s">
        <v>658</v>
      </c>
      <c r="B333" s="15" t="s">
        <v>659</v>
      </c>
      <c r="C333" s="16" t="s">
        <v>7</v>
      </c>
      <c r="D333" s="12" t="str">
        <f>IFERROR(__xludf.DUMMYFUNCTION("IFS(
  REGEXMATCH(A333&amp;B333, ""(?i)openai|gpt|gemini|anthropic|claude|mistral|cohere|rag|vector|llm|chatbot|ai-powered""), ""AI &amp; LLM"",
  REGEXMATCH(A333&amp;B333, ""(?i)twitter|instagram|facebook|linkedin|youtube|tiktok|threads|bluesky|pinterest|social vid"&amp;"eo|reels?|shorts?""), ""Social Media"",
  REGEXMATCH(A333&amp;B333, ""(?i)hubspot|pipedrive|stripe|shopify|woocommerce|sales|crm|invoice|order|leads?|recruitment|bamboohr|erpnext""), ""CRM &amp; Sales"",
  REGEXMATCH(A333&amp;B333, ""(?i)gmail|outlook|calendar|slack|"&amp;"discord|telegram|whatsapp|notion|trello|drive|sheets?|meeting|scheduler|appointment|mattermost""), ""Productivity &amp; Communication"",
  REGEXMATCH(A333&amp;B333, ""(?i)github|api|webhook|http|mysql|supabase|mongodb|redis|rss|pr|code review|incident|pagerduty|j"&amp;"ira""), ""Development &amp; Utilities"",
  TRUE, ""Others""
)"),"AI &amp; LLM")</f>
        <v>AI &amp; LLM</v>
      </c>
    </row>
    <row r="334" ht="15.75" customHeight="1">
      <c r="A334" s="14" t="s">
        <v>660</v>
      </c>
      <c r="B334" s="15" t="s">
        <v>661</v>
      </c>
      <c r="C334" s="16" t="s">
        <v>7</v>
      </c>
      <c r="D334" s="12" t="str">
        <f>IFERROR(__xludf.DUMMYFUNCTION("IFS(
  REGEXMATCH(A334&amp;B334, ""(?i)openai|gpt|gemini|anthropic|claude|mistral|cohere|rag|vector|llm|chatbot|ai-powered""), ""AI &amp; LLM"",
  REGEXMATCH(A334&amp;B334, ""(?i)twitter|instagram|facebook|linkedin|youtube|tiktok|threads|bluesky|pinterest|social vid"&amp;"eo|reels?|shorts?""), ""Social Media"",
  REGEXMATCH(A334&amp;B334, ""(?i)hubspot|pipedrive|stripe|shopify|woocommerce|sales|crm|invoice|order|leads?|recruitment|bamboohr|erpnext""), ""CRM &amp; Sales"",
  REGEXMATCH(A334&amp;B334, ""(?i)gmail|outlook|calendar|slack|"&amp;"discord|telegram|whatsapp|notion|trello|drive|sheets?|meeting|scheduler|appointment|mattermost""), ""Productivity &amp; Communication"",
  REGEXMATCH(A334&amp;B334, ""(?i)github|api|webhook|http|mysql|supabase|mongodb|redis|rss|pr|code review|incident|pagerduty|j"&amp;"ira""), ""Development &amp; Utilities"",
  TRUE, ""Others""
)"),"Social Media")</f>
        <v>Social Media</v>
      </c>
    </row>
    <row r="335" ht="15.75" customHeight="1">
      <c r="A335" s="14" t="s">
        <v>662</v>
      </c>
      <c r="B335" s="15" t="s">
        <v>663</v>
      </c>
      <c r="C335" s="16" t="s">
        <v>7</v>
      </c>
      <c r="D335" s="12" t="str">
        <f>IFERROR(__xludf.DUMMYFUNCTION("IFS(
  REGEXMATCH(A335&amp;B335, ""(?i)openai|gpt|gemini|anthropic|claude|mistral|cohere|rag|vector|llm|chatbot|ai-powered""), ""AI &amp; LLM"",
  REGEXMATCH(A335&amp;B335, ""(?i)twitter|instagram|facebook|linkedin|youtube|tiktok|threads|bluesky|pinterest|social vid"&amp;"eo|reels?|shorts?""), ""Social Media"",
  REGEXMATCH(A335&amp;B335, ""(?i)hubspot|pipedrive|stripe|shopify|woocommerce|sales|crm|invoice|order|leads?|recruitment|bamboohr|erpnext""), ""CRM &amp; Sales"",
  REGEXMATCH(A335&amp;B335, ""(?i)gmail|outlook|calendar|slack|"&amp;"discord|telegram|whatsapp|notion|trello|drive|sheets?|meeting|scheduler|appointment|mattermost""), ""Productivity &amp; Communication"",
  REGEXMATCH(A335&amp;B335, ""(?i)github|api|webhook|http|mysql|supabase|mongodb|redis|rss|pr|code review|incident|pagerduty|j"&amp;"ira""), ""Development &amp; Utilities"",
  TRUE, ""Others""
)"),"AI &amp; LLM")</f>
        <v>AI &amp; LLM</v>
      </c>
    </row>
    <row r="336" ht="15.75" customHeight="1">
      <c r="A336" s="14" t="s">
        <v>664</v>
      </c>
      <c r="B336" s="15" t="s">
        <v>665</v>
      </c>
      <c r="C336" s="16" t="s">
        <v>7</v>
      </c>
      <c r="D336" s="12" t="str">
        <f>IFERROR(__xludf.DUMMYFUNCTION("IFS(
  REGEXMATCH(A336&amp;B336, ""(?i)openai|gpt|gemini|anthropic|claude|mistral|cohere|rag|vector|llm|chatbot|ai-powered""), ""AI &amp; LLM"",
  REGEXMATCH(A336&amp;B336, ""(?i)twitter|instagram|facebook|linkedin|youtube|tiktok|threads|bluesky|pinterest|social vid"&amp;"eo|reels?|shorts?""), ""Social Media"",
  REGEXMATCH(A336&amp;B336, ""(?i)hubspot|pipedrive|stripe|shopify|woocommerce|sales|crm|invoice|order|leads?|recruitment|bamboohr|erpnext""), ""CRM &amp; Sales"",
  REGEXMATCH(A336&amp;B336, ""(?i)gmail|outlook|calendar|slack|"&amp;"discord|telegram|whatsapp|notion|trello|drive|sheets?|meeting|scheduler|appointment|mattermost""), ""Productivity &amp; Communication"",
  REGEXMATCH(A336&amp;B336, ""(?i)github|api|webhook|http|mysql|supabase|mongodb|redis|rss|pr|code review|incident|pagerduty|j"&amp;"ira""), ""Development &amp; Utilities"",
  TRUE, ""Others""
)"),"AI &amp; LLM")</f>
        <v>AI &amp; LLM</v>
      </c>
    </row>
    <row r="337" ht="15.75" customHeight="1">
      <c r="A337" s="14" t="s">
        <v>666</v>
      </c>
      <c r="B337" s="15" t="s">
        <v>667</v>
      </c>
      <c r="C337" s="16" t="s">
        <v>7</v>
      </c>
      <c r="D337" s="12" t="str">
        <f>IFERROR(__xludf.DUMMYFUNCTION("IFS(
  REGEXMATCH(A337&amp;B337, ""(?i)openai|gpt|gemini|anthropic|claude|mistral|cohere|rag|vector|llm|chatbot|ai-powered""), ""AI &amp; LLM"",
  REGEXMATCH(A337&amp;B337, ""(?i)twitter|instagram|facebook|linkedin|youtube|tiktok|threads|bluesky|pinterest|social vid"&amp;"eo|reels?|shorts?""), ""Social Media"",
  REGEXMATCH(A337&amp;B337, ""(?i)hubspot|pipedrive|stripe|shopify|woocommerce|sales|crm|invoice|order|leads?|recruitment|bamboohr|erpnext""), ""CRM &amp; Sales"",
  REGEXMATCH(A337&amp;B337, ""(?i)gmail|outlook|calendar|slack|"&amp;"discord|telegram|whatsapp|notion|trello|drive|sheets?|meeting|scheduler|appointment|mattermost""), ""Productivity &amp; Communication"",
  REGEXMATCH(A337&amp;B337, ""(?i)github|api|webhook|http|mysql|supabase|mongodb|redis|rss|pr|code review|incident|pagerduty|j"&amp;"ira""), ""Development &amp; Utilities"",
  TRUE, ""Others""
)"),"AI &amp; LLM")</f>
        <v>AI &amp; LLM</v>
      </c>
    </row>
    <row r="338" ht="15.75" customHeight="1">
      <c r="A338" s="14" t="s">
        <v>668</v>
      </c>
      <c r="B338" s="15" t="s">
        <v>669</v>
      </c>
      <c r="C338" s="16" t="s">
        <v>7</v>
      </c>
      <c r="D338" s="12" t="str">
        <f>IFERROR(__xludf.DUMMYFUNCTION("IFS(
  REGEXMATCH(A338&amp;B338, ""(?i)openai|gpt|gemini|anthropic|claude|mistral|cohere|rag|vector|llm|chatbot|ai-powered""), ""AI &amp; LLM"",
  REGEXMATCH(A338&amp;B338, ""(?i)twitter|instagram|facebook|linkedin|youtube|tiktok|threads|bluesky|pinterest|social vid"&amp;"eo|reels?|shorts?""), ""Social Media"",
  REGEXMATCH(A338&amp;B338, ""(?i)hubspot|pipedrive|stripe|shopify|woocommerce|sales|crm|invoice|order|leads?|recruitment|bamboohr|erpnext""), ""CRM &amp; Sales"",
  REGEXMATCH(A338&amp;B338, ""(?i)gmail|outlook|calendar|slack|"&amp;"discord|telegram|whatsapp|notion|trello|drive|sheets?|meeting|scheduler|appointment|mattermost""), ""Productivity &amp; Communication"",
  REGEXMATCH(A338&amp;B338, ""(?i)github|api|webhook|http|mysql|supabase|mongodb|redis|rss|pr|code review|incident|pagerduty|j"&amp;"ira""), ""Development &amp; Utilities"",
  TRUE, ""Others""
)"),"AI &amp; LLM")</f>
        <v>AI &amp; LLM</v>
      </c>
    </row>
    <row r="339" ht="15.75" customHeight="1">
      <c r="A339" s="14" t="s">
        <v>670</v>
      </c>
      <c r="B339" s="15" t="s">
        <v>671</v>
      </c>
      <c r="C339" s="16" t="s">
        <v>7</v>
      </c>
      <c r="D339" s="12" t="str">
        <f>IFERROR(__xludf.DUMMYFUNCTION("IFS(
  REGEXMATCH(A339&amp;B339, ""(?i)openai|gpt|gemini|anthropic|claude|mistral|cohere|rag|vector|llm|chatbot|ai-powered""), ""AI &amp; LLM"",
  REGEXMATCH(A339&amp;B339, ""(?i)twitter|instagram|facebook|linkedin|youtube|tiktok|threads|bluesky|pinterest|social vid"&amp;"eo|reels?|shorts?""), ""Social Media"",
  REGEXMATCH(A339&amp;B339, ""(?i)hubspot|pipedrive|stripe|shopify|woocommerce|sales|crm|invoice|order|leads?|recruitment|bamboohr|erpnext""), ""CRM &amp; Sales"",
  REGEXMATCH(A339&amp;B339, ""(?i)gmail|outlook|calendar|slack|"&amp;"discord|telegram|whatsapp|notion|trello|drive|sheets?|meeting|scheduler|appointment|mattermost""), ""Productivity &amp; Communication"",
  REGEXMATCH(A339&amp;B339, ""(?i)github|api|webhook|http|mysql|supabase|mongodb|redis|rss|pr|code review|incident|pagerduty|j"&amp;"ira""), ""Development &amp; Utilities"",
  TRUE, ""Others""
)"),"AI &amp; LLM")</f>
        <v>AI &amp; LLM</v>
      </c>
    </row>
    <row r="340" ht="15.75" customHeight="1">
      <c r="A340" s="14" t="s">
        <v>672</v>
      </c>
      <c r="B340" s="15" t="s">
        <v>673</v>
      </c>
      <c r="C340" s="16" t="s">
        <v>7</v>
      </c>
      <c r="D340" s="12" t="str">
        <f>IFERROR(__xludf.DUMMYFUNCTION("IFS(
  REGEXMATCH(A340&amp;B340, ""(?i)openai|gpt|gemini|anthropic|claude|mistral|cohere|rag|vector|llm|chatbot|ai-powered""), ""AI &amp; LLM"",
  REGEXMATCH(A340&amp;B340, ""(?i)twitter|instagram|facebook|linkedin|youtube|tiktok|threads|bluesky|pinterest|social vid"&amp;"eo|reels?|shorts?""), ""Social Media"",
  REGEXMATCH(A340&amp;B340, ""(?i)hubspot|pipedrive|stripe|shopify|woocommerce|sales|crm|invoice|order|leads?|recruitment|bamboohr|erpnext""), ""CRM &amp; Sales"",
  REGEXMATCH(A340&amp;B340, ""(?i)gmail|outlook|calendar|slack|"&amp;"discord|telegram|whatsapp|notion|trello|drive|sheets?|meeting|scheduler|appointment|mattermost""), ""Productivity &amp; Communication"",
  REGEXMATCH(A340&amp;B340, ""(?i)github|api|webhook|http|mysql|supabase|mongodb|redis|rss|pr|code review|incident|pagerduty|j"&amp;"ira""), ""Development &amp; Utilities"",
  TRUE, ""Others""
)"),"AI &amp; LLM")</f>
        <v>AI &amp; LLM</v>
      </c>
    </row>
    <row r="341" ht="15.75" customHeight="1">
      <c r="A341" s="14" t="s">
        <v>674</v>
      </c>
      <c r="B341" s="15" t="s">
        <v>675</v>
      </c>
      <c r="C341" s="16" t="s">
        <v>7</v>
      </c>
      <c r="D341" s="12" t="str">
        <f>IFERROR(__xludf.DUMMYFUNCTION("IFS(
  REGEXMATCH(A341&amp;B341, ""(?i)openai|gpt|gemini|anthropic|claude|mistral|cohere|rag|vector|llm|chatbot|ai-powered""), ""AI &amp; LLM"",
  REGEXMATCH(A341&amp;B341, ""(?i)twitter|instagram|facebook|linkedin|youtube|tiktok|threads|bluesky|pinterest|social vid"&amp;"eo|reels?|shorts?""), ""Social Media"",
  REGEXMATCH(A341&amp;B341, ""(?i)hubspot|pipedrive|stripe|shopify|woocommerce|sales|crm|invoice|order|leads?|recruitment|bamboohr|erpnext""), ""CRM &amp; Sales"",
  REGEXMATCH(A341&amp;B341, ""(?i)gmail|outlook|calendar|slack|"&amp;"discord|telegram|whatsapp|notion|trello|drive|sheets?|meeting|scheduler|appointment|mattermost""), ""Productivity &amp; Communication"",
  REGEXMATCH(A341&amp;B341, ""(?i)github|api|webhook|http|mysql|supabase|mongodb|redis|rss|pr|code review|incident|pagerduty|j"&amp;"ira""), ""Development &amp; Utilities"",
  TRUE, ""Others""
)"),"AI &amp; LLM")</f>
        <v>AI &amp; LLM</v>
      </c>
    </row>
    <row r="342" ht="15.75" customHeight="1">
      <c r="A342" s="14" t="s">
        <v>676</v>
      </c>
      <c r="B342" s="15" t="s">
        <v>677</v>
      </c>
      <c r="C342" s="16" t="s">
        <v>7</v>
      </c>
      <c r="D342" s="12" t="str">
        <f>IFERROR(__xludf.DUMMYFUNCTION("IFS(
  REGEXMATCH(A342&amp;B342, ""(?i)openai|gpt|gemini|anthropic|claude|mistral|cohere|rag|vector|llm|chatbot|ai-powered""), ""AI &amp; LLM"",
  REGEXMATCH(A342&amp;B342, ""(?i)twitter|instagram|facebook|linkedin|youtube|tiktok|threads|bluesky|pinterest|social vid"&amp;"eo|reels?|shorts?""), ""Social Media"",
  REGEXMATCH(A342&amp;B342, ""(?i)hubspot|pipedrive|stripe|shopify|woocommerce|sales|crm|invoice|order|leads?|recruitment|bamboohr|erpnext""), ""CRM &amp; Sales"",
  REGEXMATCH(A342&amp;B342, ""(?i)gmail|outlook|calendar|slack|"&amp;"discord|telegram|whatsapp|notion|trello|drive|sheets?|meeting|scheduler|appointment|mattermost""), ""Productivity &amp; Communication"",
  REGEXMATCH(A342&amp;B342, ""(?i)github|api|webhook|http|mysql|supabase|mongodb|redis|rss|pr|code review|incident|pagerduty|j"&amp;"ira""), ""Development &amp; Utilities"",
  TRUE, ""Others""
)"),"AI &amp; LLM")</f>
        <v>AI &amp; LLM</v>
      </c>
    </row>
    <row r="343" ht="15.75" customHeight="1">
      <c r="A343" s="14" t="s">
        <v>678</v>
      </c>
      <c r="B343" s="15" t="s">
        <v>679</v>
      </c>
      <c r="C343" s="16" t="s">
        <v>7</v>
      </c>
      <c r="D343" s="12" t="str">
        <f>IFERROR(__xludf.DUMMYFUNCTION("IFS(
  REGEXMATCH(A343&amp;B343, ""(?i)openai|gpt|gemini|anthropic|claude|mistral|cohere|rag|vector|llm|chatbot|ai-powered""), ""AI &amp; LLM"",
  REGEXMATCH(A343&amp;B343, ""(?i)twitter|instagram|facebook|linkedin|youtube|tiktok|threads|bluesky|pinterest|social vid"&amp;"eo|reels?|shorts?""), ""Social Media"",
  REGEXMATCH(A343&amp;B343, ""(?i)hubspot|pipedrive|stripe|shopify|woocommerce|sales|crm|invoice|order|leads?|recruitment|bamboohr|erpnext""), ""CRM &amp; Sales"",
  REGEXMATCH(A343&amp;B343, ""(?i)gmail|outlook|calendar|slack|"&amp;"discord|telegram|whatsapp|notion|trello|drive|sheets?|meeting|scheduler|appointment|mattermost""), ""Productivity &amp; Communication"",
  REGEXMATCH(A343&amp;B343, ""(?i)github|api|webhook|http|mysql|supabase|mongodb|redis|rss|pr|code review|incident|pagerduty|j"&amp;"ira""), ""Development &amp; Utilities"",
  TRUE, ""Others""
)"),"AI &amp; LLM")</f>
        <v>AI &amp; LLM</v>
      </c>
    </row>
    <row r="344" ht="15.75" customHeight="1">
      <c r="A344" s="14" t="s">
        <v>680</v>
      </c>
      <c r="B344" s="15" t="s">
        <v>681</v>
      </c>
      <c r="C344" s="16" t="s">
        <v>7</v>
      </c>
      <c r="D344" s="12" t="str">
        <f>IFERROR(__xludf.DUMMYFUNCTION("IFS(
  REGEXMATCH(A344&amp;B344, ""(?i)openai|gpt|gemini|anthropic|claude|mistral|cohere|rag|vector|llm|chatbot|ai-powered""), ""AI &amp; LLM"",
  REGEXMATCH(A344&amp;B344, ""(?i)twitter|instagram|facebook|linkedin|youtube|tiktok|threads|bluesky|pinterest|social vid"&amp;"eo|reels?|shorts?""), ""Social Media"",
  REGEXMATCH(A344&amp;B344, ""(?i)hubspot|pipedrive|stripe|shopify|woocommerce|sales|crm|invoice|order|leads?|recruitment|bamboohr|erpnext""), ""CRM &amp; Sales"",
  REGEXMATCH(A344&amp;B344, ""(?i)gmail|outlook|calendar|slack|"&amp;"discord|telegram|whatsapp|notion|trello|drive|sheets?|meeting|scheduler|appointment|mattermost""), ""Productivity &amp; Communication"",
  REGEXMATCH(A344&amp;B344, ""(?i)github|api|webhook|http|mysql|supabase|mongodb|redis|rss|pr|code review|incident|pagerduty|j"&amp;"ira""), ""Development &amp; Utilities"",
  TRUE, ""Others""
)"),"AI &amp; LLM")</f>
        <v>AI &amp; LLM</v>
      </c>
    </row>
    <row r="345" ht="15.75" customHeight="1">
      <c r="A345" s="14" t="s">
        <v>682</v>
      </c>
      <c r="B345" s="15" t="s">
        <v>683</v>
      </c>
      <c r="C345" s="16" t="s">
        <v>7</v>
      </c>
      <c r="D345" s="12" t="str">
        <f>IFERROR(__xludf.DUMMYFUNCTION("IFS(
  REGEXMATCH(A345&amp;B345, ""(?i)openai|gpt|gemini|anthropic|claude|mistral|cohere|rag|vector|llm|chatbot|ai-powered""), ""AI &amp; LLM"",
  REGEXMATCH(A345&amp;B345, ""(?i)twitter|instagram|facebook|linkedin|youtube|tiktok|threads|bluesky|pinterest|social vid"&amp;"eo|reels?|shorts?""), ""Social Media"",
  REGEXMATCH(A345&amp;B345, ""(?i)hubspot|pipedrive|stripe|shopify|woocommerce|sales|crm|invoice|order|leads?|recruitment|bamboohr|erpnext""), ""CRM &amp; Sales"",
  REGEXMATCH(A345&amp;B345, ""(?i)gmail|outlook|calendar|slack|"&amp;"discord|telegram|whatsapp|notion|trello|drive|sheets?|meeting|scheduler|appointment|mattermost""), ""Productivity &amp; Communication"",
  REGEXMATCH(A345&amp;B345, ""(?i)github|api|webhook|http|mysql|supabase|mongodb|redis|rss|pr|code review|incident|pagerduty|j"&amp;"ira""), ""Development &amp; Utilities"",
  TRUE, ""Others""
)"),"AI &amp; LLM")</f>
        <v>AI &amp; LLM</v>
      </c>
    </row>
    <row r="346" ht="15.75" customHeight="1">
      <c r="A346" s="14" t="s">
        <v>684</v>
      </c>
      <c r="B346" s="15" t="s">
        <v>685</v>
      </c>
      <c r="C346" s="16" t="s">
        <v>7</v>
      </c>
      <c r="D346" s="12" t="str">
        <f>IFERROR(__xludf.DUMMYFUNCTION("IFS(
  REGEXMATCH(A346&amp;B346, ""(?i)openai|gpt|gemini|anthropic|claude|mistral|cohere|rag|vector|llm|chatbot|ai-powered""), ""AI &amp; LLM"",
  REGEXMATCH(A346&amp;B346, ""(?i)twitter|instagram|facebook|linkedin|youtube|tiktok|threads|bluesky|pinterest|social vid"&amp;"eo|reels?|shorts?""), ""Social Media"",
  REGEXMATCH(A346&amp;B346, ""(?i)hubspot|pipedrive|stripe|shopify|woocommerce|sales|crm|invoice|order|leads?|recruitment|bamboohr|erpnext""), ""CRM &amp; Sales"",
  REGEXMATCH(A346&amp;B346, ""(?i)gmail|outlook|calendar|slack|"&amp;"discord|telegram|whatsapp|notion|trello|drive|sheets?|meeting|scheduler|appointment|mattermost""), ""Productivity &amp; Communication"",
  REGEXMATCH(A346&amp;B346, ""(?i)github|api|webhook|http|mysql|supabase|mongodb|redis|rss|pr|code review|incident|pagerduty|j"&amp;"ira""), ""Development &amp; Utilities"",
  TRUE, ""Others""
)"),"AI &amp; LLM")</f>
        <v>AI &amp; LLM</v>
      </c>
    </row>
    <row r="347" ht="15.75" customHeight="1">
      <c r="A347" s="14" t="s">
        <v>656</v>
      </c>
      <c r="B347" s="15" t="s">
        <v>686</v>
      </c>
      <c r="C347" s="16" t="s">
        <v>7</v>
      </c>
      <c r="D347" s="12" t="str">
        <f>IFERROR(__xludf.DUMMYFUNCTION("IFS(
  REGEXMATCH(A347&amp;B347, ""(?i)openai|gpt|gemini|anthropic|claude|mistral|cohere|rag|vector|llm|chatbot|ai-powered""), ""AI &amp; LLM"",
  REGEXMATCH(A347&amp;B347, ""(?i)twitter|instagram|facebook|linkedin|youtube|tiktok|threads|bluesky|pinterest|social vid"&amp;"eo|reels?|shorts?""), ""Social Media"",
  REGEXMATCH(A347&amp;B347, ""(?i)hubspot|pipedrive|stripe|shopify|woocommerce|sales|crm|invoice|order|leads?|recruitment|bamboohr|erpnext""), ""CRM &amp; Sales"",
  REGEXMATCH(A347&amp;B347, ""(?i)gmail|outlook|calendar|slack|"&amp;"discord|telegram|whatsapp|notion|trello|drive|sheets?|meeting|scheduler|appointment|mattermost""), ""Productivity &amp; Communication"",
  REGEXMATCH(A347&amp;B347, ""(?i)github|api|webhook|http|mysql|supabase|mongodb|redis|rss|pr|code review|incident|pagerduty|j"&amp;"ira""), ""Development &amp; Utilities"",
  TRUE, ""Others""
)"),"AI &amp; LLM")</f>
        <v>AI &amp; LLM</v>
      </c>
    </row>
    <row r="348" ht="15.75" customHeight="1">
      <c r="A348" s="14" t="s">
        <v>687</v>
      </c>
      <c r="B348" s="15" t="s">
        <v>688</v>
      </c>
      <c r="C348" s="16" t="s">
        <v>7</v>
      </c>
      <c r="D348" s="12" t="str">
        <f>IFERROR(__xludf.DUMMYFUNCTION("IFS(
  REGEXMATCH(A348&amp;B348, ""(?i)openai|gpt|gemini|anthropic|claude|mistral|cohere|rag|vector|llm|chatbot|ai-powered""), ""AI &amp; LLM"",
  REGEXMATCH(A348&amp;B348, ""(?i)twitter|instagram|facebook|linkedin|youtube|tiktok|threads|bluesky|pinterest|social vid"&amp;"eo|reels?|shorts?""), ""Social Media"",
  REGEXMATCH(A348&amp;B348, ""(?i)hubspot|pipedrive|stripe|shopify|woocommerce|sales|crm|invoice|order|leads?|recruitment|bamboohr|erpnext""), ""CRM &amp; Sales"",
  REGEXMATCH(A348&amp;B348, ""(?i)gmail|outlook|calendar|slack|"&amp;"discord|telegram|whatsapp|notion|trello|drive|sheets?|meeting|scheduler|appointment|mattermost""), ""Productivity &amp; Communication"",
  REGEXMATCH(A348&amp;B348, ""(?i)github|api|webhook|http|mysql|supabase|mongodb|redis|rss|pr|code review|incident|pagerduty|j"&amp;"ira""), ""Development &amp; Utilities"",
  TRUE, ""Others""
)"),"AI &amp; LLM")</f>
        <v>AI &amp; LLM</v>
      </c>
    </row>
    <row r="349" ht="15.75" customHeight="1">
      <c r="A349" s="14" t="s">
        <v>310</v>
      </c>
      <c r="B349" s="15" t="s">
        <v>689</v>
      </c>
      <c r="C349" s="16" t="s">
        <v>7</v>
      </c>
      <c r="D349" s="12" t="str">
        <f>IFERROR(__xludf.DUMMYFUNCTION("IFS(
  REGEXMATCH(A349&amp;B349, ""(?i)openai|gpt|gemini|anthropic|claude|mistral|cohere|rag|vector|llm|chatbot|ai-powered""), ""AI &amp; LLM"",
  REGEXMATCH(A349&amp;B349, ""(?i)twitter|instagram|facebook|linkedin|youtube|tiktok|threads|bluesky|pinterest|social vid"&amp;"eo|reels?|shorts?""), ""Social Media"",
  REGEXMATCH(A349&amp;B349, ""(?i)hubspot|pipedrive|stripe|shopify|woocommerce|sales|crm|invoice|order|leads?|recruitment|bamboohr|erpnext""), ""CRM &amp; Sales"",
  REGEXMATCH(A349&amp;B349, ""(?i)gmail|outlook|calendar|slack|"&amp;"discord|telegram|whatsapp|notion|trello|drive|sheets?|meeting|scheduler|appointment|mattermost""), ""Productivity &amp; Communication"",
  REGEXMATCH(A349&amp;B349, ""(?i)github|api|webhook|http|mysql|supabase|mongodb|redis|rss|pr|code review|incident|pagerduty|j"&amp;"ira""), ""Development &amp; Utilities"",
  TRUE, ""Others""
)"),"AI &amp; LLM")</f>
        <v>AI &amp; LLM</v>
      </c>
    </row>
    <row r="350" ht="15.75" customHeight="1">
      <c r="A350" s="14" t="s">
        <v>690</v>
      </c>
      <c r="B350" s="15" t="s">
        <v>691</v>
      </c>
      <c r="C350" s="16" t="s">
        <v>7</v>
      </c>
      <c r="D350" s="12" t="str">
        <f>IFERROR(__xludf.DUMMYFUNCTION("IFS(
  REGEXMATCH(A350&amp;B350, ""(?i)openai|gpt|gemini|anthropic|claude|mistral|cohere|rag|vector|llm|chatbot|ai-powered""), ""AI &amp; LLM"",
  REGEXMATCH(A350&amp;B350, ""(?i)twitter|instagram|facebook|linkedin|youtube|tiktok|threads|bluesky|pinterest|social vid"&amp;"eo|reels?|shorts?""), ""Social Media"",
  REGEXMATCH(A350&amp;B350, ""(?i)hubspot|pipedrive|stripe|shopify|woocommerce|sales|crm|invoice|order|leads?|recruitment|bamboohr|erpnext""), ""CRM &amp; Sales"",
  REGEXMATCH(A350&amp;B350, ""(?i)gmail|outlook|calendar|slack|"&amp;"discord|telegram|whatsapp|notion|trello|drive|sheets?|meeting|scheduler|appointment|mattermost""), ""Productivity &amp; Communication"",
  REGEXMATCH(A350&amp;B350, ""(?i)github|api|webhook|http|mysql|supabase|mongodb|redis|rss|pr|code review|incident|pagerduty|j"&amp;"ira""), ""Development &amp; Utilities"",
  TRUE, ""Others""
)"),"AI &amp; LLM")</f>
        <v>AI &amp; LLM</v>
      </c>
    </row>
    <row r="351" ht="15.75" customHeight="1">
      <c r="A351" s="14" t="s">
        <v>692</v>
      </c>
      <c r="B351" s="15" t="s">
        <v>693</v>
      </c>
      <c r="C351" s="16" t="s">
        <v>7</v>
      </c>
      <c r="D351" s="12" t="str">
        <f>IFERROR(__xludf.DUMMYFUNCTION("IFS(
  REGEXMATCH(A351&amp;B351, ""(?i)openai|gpt|gemini|anthropic|claude|mistral|cohere|rag|vector|llm|chatbot|ai-powered""), ""AI &amp; LLM"",
  REGEXMATCH(A351&amp;B351, ""(?i)twitter|instagram|facebook|linkedin|youtube|tiktok|threads|bluesky|pinterest|social vid"&amp;"eo|reels?|shorts?""), ""Social Media"",
  REGEXMATCH(A351&amp;B351, ""(?i)hubspot|pipedrive|stripe|shopify|woocommerce|sales|crm|invoice|order|leads?|recruitment|bamboohr|erpnext""), ""CRM &amp; Sales"",
  REGEXMATCH(A351&amp;B351, ""(?i)gmail|outlook|calendar|slack|"&amp;"discord|telegram|whatsapp|notion|trello|drive|sheets?|meeting|scheduler|appointment|mattermost""), ""Productivity &amp; Communication"",
  REGEXMATCH(A351&amp;B351, ""(?i)github|api|webhook|http|mysql|supabase|mongodb|redis|rss|pr|code review|incident|pagerduty|j"&amp;"ira""), ""Development &amp; Utilities"",
  TRUE, ""Others""
)"),"AI &amp; LLM")</f>
        <v>AI &amp; LLM</v>
      </c>
    </row>
    <row r="352" ht="15.75" customHeight="1">
      <c r="A352" s="14" t="s">
        <v>644</v>
      </c>
      <c r="B352" s="15" t="s">
        <v>694</v>
      </c>
      <c r="C352" s="16" t="s">
        <v>7</v>
      </c>
      <c r="D352" s="12" t="str">
        <f>IFERROR(__xludf.DUMMYFUNCTION("IFS(
  REGEXMATCH(A352&amp;B352, ""(?i)openai|gpt|gemini|anthropic|claude|mistral|cohere|rag|vector|llm|chatbot|ai-powered""), ""AI &amp; LLM"",
  REGEXMATCH(A352&amp;B352, ""(?i)twitter|instagram|facebook|linkedin|youtube|tiktok|threads|bluesky|pinterest|social vid"&amp;"eo|reels?|shorts?""), ""Social Media"",
  REGEXMATCH(A352&amp;B352, ""(?i)hubspot|pipedrive|stripe|shopify|woocommerce|sales|crm|invoice|order|leads?|recruitment|bamboohr|erpnext""), ""CRM &amp; Sales"",
  REGEXMATCH(A352&amp;B352, ""(?i)gmail|outlook|calendar|slack|"&amp;"discord|telegram|whatsapp|notion|trello|drive|sheets?|meeting|scheduler|appointment|mattermost""), ""Productivity &amp; Communication"",
  REGEXMATCH(A352&amp;B352, ""(?i)github|api|webhook|http|mysql|supabase|mongodb|redis|rss|pr|code review|incident|pagerduty|j"&amp;"ira""), ""Development &amp; Utilities"",
  TRUE, ""Others""
)"),"AI &amp; LLM")</f>
        <v>AI &amp; LLM</v>
      </c>
    </row>
    <row r="353" ht="15.75" customHeight="1">
      <c r="A353" s="14" t="s">
        <v>695</v>
      </c>
      <c r="B353" s="15" t="s">
        <v>696</v>
      </c>
      <c r="C353" s="16" t="s">
        <v>7</v>
      </c>
      <c r="D353" s="12" t="str">
        <f>IFERROR(__xludf.DUMMYFUNCTION("IFS(
  REGEXMATCH(A353&amp;B353, ""(?i)openai|gpt|gemini|anthropic|claude|mistral|cohere|rag|vector|llm|chatbot|ai-powered""), ""AI &amp; LLM"",
  REGEXMATCH(A353&amp;B353, ""(?i)twitter|instagram|facebook|linkedin|youtube|tiktok|threads|bluesky|pinterest|social vid"&amp;"eo|reels?|shorts?""), ""Social Media"",
  REGEXMATCH(A353&amp;B353, ""(?i)hubspot|pipedrive|stripe|shopify|woocommerce|sales|crm|invoice|order|leads?|recruitment|bamboohr|erpnext""), ""CRM &amp; Sales"",
  REGEXMATCH(A353&amp;B353, ""(?i)gmail|outlook|calendar|slack|"&amp;"discord|telegram|whatsapp|notion|trello|drive|sheets?|meeting|scheduler|appointment|mattermost""), ""Productivity &amp; Communication"",
  REGEXMATCH(A353&amp;B353, ""(?i)github|api|webhook|http|mysql|supabase|mongodb|redis|rss|pr|code review|incident|pagerduty|j"&amp;"ira""), ""Development &amp; Utilities"",
  TRUE, ""Others""
)"),"AI &amp; LLM")</f>
        <v>AI &amp; LLM</v>
      </c>
    </row>
    <row r="354" ht="15.75" customHeight="1">
      <c r="A354" s="14" t="s">
        <v>697</v>
      </c>
      <c r="B354" s="15" t="s">
        <v>698</v>
      </c>
      <c r="C354" s="16" t="s">
        <v>7</v>
      </c>
      <c r="D354" s="12" t="str">
        <f>IFERROR(__xludf.DUMMYFUNCTION("IFS(
  REGEXMATCH(A354&amp;B354, ""(?i)openai|gpt|gemini|anthropic|claude|mistral|cohere|rag|vector|llm|chatbot|ai-powered""), ""AI &amp; LLM"",
  REGEXMATCH(A354&amp;B354, ""(?i)twitter|instagram|facebook|linkedin|youtube|tiktok|threads|bluesky|pinterest|social vid"&amp;"eo|reels?|shorts?""), ""Social Media"",
  REGEXMATCH(A354&amp;B354, ""(?i)hubspot|pipedrive|stripe|shopify|woocommerce|sales|crm|invoice|order|leads?|recruitment|bamboohr|erpnext""), ""CRM &amp; Sales"",
  REGEXMATCH(A354&amp;B354, ""(?i)gmail|outlook|calendar|slack|"&amp;"discord|telegram|whatsapp|notion|trello|drive|sheets?|meeting|scheduler|appointment|mattermost""), ""Productivity &amp; Communication"",
  REGEXMATCH(A354&amp;B354, ""(?i)github|api|webhook|http|mysql|supabase|mongodb|redis|rss|pr|code review|incident|pagerduty|j"&amp;"ira""), ""Development &amp; Utilities"",
  TRUE, ""Others""
)"),"AI &amp; LLM")</f>
        <v>AI &amp; LLM</v>
      </c>
    </row>
    <row r="355" ht="15.75" customHeight="1">
      <c r="A355" s="14" t="s">
        <v>134</v>
      </c>
      <c r="B355" s="15" t="s">
        <v>699</v>
      </c>
      <c r="C355" s="16" t="s">
        <v>7</v>
      </c>
      <c r="D355" s="12" t="str">
        <f>IFERROR(__xludf.DUMMYFUNCTION("IFS(
  REGEXMATCH(A355&amp;B355, ""(?i)openai|gpt|gemini|anthropic|claude|mistral|cohere|rag|vector|llm|chatbot|ai-powered""), ""AI &amp; LLM"",
  REGEXMATCH(A355&amp;B355, ""(?i)twitter|instagram|facebook|linkedin|youtube|tiktok|threads|bluesky|pinterest|social vid"&amp;"eo|reels?|shorts?""), ""Social Media"",
  REGEXMATCH(A355&amp;B355, ""(?i)hubspot|pipedrive|stripe|shopify|woocommerce|sales|crm|invoice|order|leads?|recruitment|bamboohr|erpnext""), ""CRM &amp; Sales"",
  REGEXMATCH(A355&amp;B355, ""(?i)gmail|outlook|calendar|slack|"&amp;"discord|telegram|whatsapp|notion|trello|drive|sheets?|meeting|scheduler|appointment|mattermost""), ""Productivity &amp; Communication"",
  REGEXMATCH(A355&amp;B355, ""(?i)github|api|webhook|http|mysql|supabase|mongodb|redis|rss|pr|code review|incident|pagerduty|j"&amp;"ira""), ""Development &amp; Utilities"",
  TRUE, ""Others""
)"),"AI &amp; LLM")</f>
        <v>AI &amp; LLM</v>
      </c>
    </row>
    <row r="356" ht="15.75" customHeight="1">
      <c r="A356" s="14" t="s">
        <v>700</v>
      </c>
      <c r="B356" s="15" t="s">
        <v>701</v>
      </c>
      <c r="C356" s="16" t="s">
        <v>7</v>
      </c>
      <c r="D356" s="12" t="str">
        <f>IFERROR(__xludf.DUMMYFUNCTION("IFS(
  REGEXMATCH(A356&amp;B356, ""(?i)openai|gpt|gemini|anthropic|claude|mistral|cohere|rag|vector|llm|chatbot|ai-powered""), ""AI &amp; LLM"",
  REGEXMATCH(A356&amp;B356, ""(?i)twitter|instagram|facebook|linkedin|youtube|tiktok|threads|bluesky|pinterest|social vid"&amp;"eo|reels?|shorts?""), ""Social Media"",
  REGEXMATCH(A356&amp;B356, ""(?i)hubspot|pipedrive|stripe|shopify|woocommerce|sales|crm|invoice|order|leads?|recruitment|bamboohr|erpnext""), ""CRM &amp; Sales"",
  REGEXMATCH(A356&amp;B356, ""(?i)gmail|outlook|calendar|slack|"&amp;"discord|telegram|whatsapp|notion|trello|drive|sheets?|meeting|scheduler|appointment|mattermost""), ""Productivity &amp; Communication"",
  REGEXMATCH(A356&amp;B356, ""(?i)github|api|webhook|http|mysql|supabase|mongodb|redis|rss|pr|code review|incident|pagerduty|j"&amp;"ira""), ""Development &amp; Utilities"",
  TRUE, ""Others""
)"),"AI &amp; LLM")</f>
        <v>AI &amp; LLM</v>
      </c>
    </row>
    <row r="357" ht="15.75" customHeight="1">
      <c r="A357" s="14" t="s">
        <v>702</v>
      </c>
      <c r="B357" s="15" t="s">
        <v>703</v>
      </c>
      <c r="C357" s="16" t="s">
        <v>7</v>
      </c>
      <c r="D357" s="12" t="str">
        <f>IFERROR(__xludf.DUMMYFUNCTION("IFS(
  REGEXMATCH(A357&amp;B357, ""(?i)openai|gpt|gemini|anthropic|claude|mistral|cohere|rag|vector|llm|chatbot|ai-powered""), ""AI &amp; LLM"",
  REGEXMATCH(A357&amp;B357, ""(?i)twitter|instagram|facebook|linkedin|youtube|tiktok|threads|bluesky|pinterest|social vid"&amp;"eo|reels?|shorts?""), ""Social Media"",
  REGEXMATCH(A357&amp;B357, ""(?i)hubspot|pipedrive|stripe|shopify|woocommerce|sales|crm|invoice|order|leads?|recruitment|bamboohr|erpnext""), ""CRM &amp; Sales"",
  REGEXMATCH(A357&amp;B357, ""(?i)gmail|outlook|calendar|slack|"&amp;"discord|telegram|whatsapp|notion|trello|drive|sheets?|meeting|scheduler|appointment|mattermost""), ""Productivity &amp; Communication"",
  REGEXMATCH(A357&amp;B357, ""(?i)github|api|webhook|http|mysql|supabase|mongodb|redis|rss|pr|code review|incident|pagerduty|j"&amp;"ira""), ""Development &amp; Utilities"",
  TRUE, ""Others""
)"),"AI &amp; LLM")</f>
        <v>AI &amp; LLM</v>
      </c>
    </row>
    <row r="358" ht="15.75" customHeight="1">
      <c r="A358" s="14" t="s">
        <v>704</v>
      </c>
      <c r="B358" s="15" t="s">
        <v>705</v>
      </c>
      <c r="C358" s="16" t="s">
        <v>7</v>
      </c>
      <c r="D358" s="12" t="str">
        <f>IFERROR(__xludf.DUMMYFUNCTION("IFS(
  REGEXMATCH(A358&amp;B358, ""(?i)openai|gpt|gemini|anthropic|claude|mistral|cohere|rag|vector|llm|chatbot|ai-powered""), ""AI &amp; LLM"",
  REGEXMATCH(A358&amp;B358, ""(?i)twitter|instagram|facebook|linkedin|youtube|tiktok|threads|bluesky|pinterest|social vid"&amp;"eo|reels?|shorts?""), ""Social Media"",
  REGEXMATCH(A358&amp;B358, ""(?i)hubspot|pipedrive|stripe|shopify|woocommerce|sales|crm|invoice|order|leads?|recruitment|bamboohr|erpnext""), ""CRM &amp; Sales"",
  REGEXMATCH(A358&amp;B358, ""(?i)gmail|outlook|calendar|slack|"&amp;"discord|telegram|whatsapp|notion|trello|drive|sheets?|meeting|scheduler|appointment|mattermost""), ""Productivity &amp; Communication"",
  REGEXMATCH(A358&amp;B358, ""(?i)github|api|webhook|http|mysql|supabase|mongodb|redis|rss|pr|code review|incident|pagerduty|j"&amp;"ira""), ""Development &amp; Utilities"",
  TRUE, ""Others""
)"),"AI &amp; LLM")</f>
        <v>AI &amp; LLM</v>
      </c>
    </row>
    <row r="359" ht="15.75" customHeight="1">
      <c r="A359" s="14" t="s">
        <v>224</v>
      </c>
      <c r="B359" s="15" t="s">
        <v>706</v>
      </c>
      <c r="C359" s="16" t="s">
        <v>7</v>
      </c>
      <c r="D359" s="12" t="str">
        <f>IFERROR(__xludf.DUMMYFUNCTION("IFS(
  REGEXMATCH(A359&amp;B359, ""(?i)openai|gpt|gemini|anthropic|claude|mistral|cohere|rag|vector|llm|chatbot|ai-powered""), ""AI &amp; LLM"",
  REGEXMATCH(A359&amp;B359, ""(?i)twitter|instagram|facebook|linkedin|youtube|tiktok|threads|bluesky|pinterest|social vid"&amp;"eo|reels?|shorts?""), ""Social Media"",
  REGEXMATCH(A359&amp;B359, ""(?i)hubspot|pipedrive|stripe|shopify|woocommerce|sales|crm|invoice|order|leads?|recruitment|bamboohr|erpnext""), ""CRM &amp; Sales"",
  REGEXMATCH(A359&amp;B359, ""(?i)gmail|outlook|calendar|slack|"&amp;"discord|telegram|whatsapp|notion|trello|drive|sheets?|meeting|scheduler|appointment|mattermost""), ""Productivity &amp; Communication"",
  REGEXMATCH(A359&amp;B359, ""(?i)github|api|webhook|http|mysql|supabase|mongodb|redis|rss|pr|code review|incident|pagerduty|j"&amp;"ira""), ""Development &amp; Utilities"",
  TRUE, ""Others""
)"),"Development &amp; Utilities")</f>
        <v>Development &amp; Utilities</v>
      </c>
    </row>
    <row r="360" ht="15.75" customHeight="1">
      <c r="A360" s="14" t="s">
        <v>707</v>
      </c>
      <c r="B360" s="15" t="s">
        <v>708</v>
      </c>
      <c r="C360" s="16" t="s">
        <v>7</v>
      </c>
      <c r="D360" s="12" t="str">
        <f>IFERROR(__xludf.DUMMYFUNCTION("IFS(
  REGEXMATCH(A360&amp;B360, ""(?i)openai|gpt|gemini|anthropic|claude|mistral|cohere|rag|vector|llm|chatbot|ai-powered""), ""AI &amp; LLM"",
  REGEXMATCH(A360&amp;B360, ""(?i)twitter|instagram|facebook|linkedin|youtube|tiktok|threads|bluesky|pinterest|social vid"&amp;"eo|reels?|shorts?""), ""Social Media"",
  REGEXMATCH(A360&amp;B360, ""(?i)hubspot|pipedrive|stripe|shopify|woocommerce|sales|crm|invoice|order|leads?|recruitment|bamboohr|erpnext""), ""CRM &amp; Sales"",
  REGEXMATCH(A360&amp;B360, ""(?i)gmail|outlook|calendar|slack|"&amp;"discord|telegram|whatsapp|notion|trello|drive|sheets?|meeting|scheduler|appointment|mattermost""), ""Productivity &amp; Communication"",
  REGEXMATCH(A360&amp;B360, ""(?i)github|api|webhook|http|mysql|supabase|mongodb|redis|rss|pr|code review|incident|pagerduty|j"&amp;"ira""), ""Development &amp; Utilities"",
  TRUE, ""Others""
)"),"Productivity &amp; Communication")</f>
        <v>Productivity &amp; Communication</v>
      </c>
    </row>
    <row r="361" ht="15.75" customHeight="1">
      <c r="A361" s="14" t="s">
        <v>709</v>
      </c>
      <c r="B361" s="15" t="s">
        <v>710</v>
      </c>
      <c r="C361" s="16" t="s">
        <v>7</v>
      </c>
      <c r="D361" s="12" t="str">
        <f>IFERROR(__xludf.DUMMYFUNCTION("IFS(
  REGEXMATCH(A361&amp;B361, ""(?i)openai|gpt|gemini|anthropic|claude|mistral|cohere|rag|vector|llm|chatbot|ai-powered""), ""AI &amp; LLM"",
  REGEXMATCH(A361&amp;B361, ""(?i)twitter|instagram|facebook|linkedin|youtube|tiktok|threads|bluesky|pinterest|social vid"&amp;"eo|reels?|shorts?""), ""Social Media"",
  REGEXMATCH(A361&amp;B361, ""(?i)hubspot|pipedrive|stripe|shopify|woocommerce|sales|crm|invoice|order|leads?|recruitment|bamboohr|erpnext""), ""CRM &amp; Sales"",
  REGEXMATCH(A361&amp;B361, ""(?i)gmail|outlook|calendar|slack|"&amp;"discord|telegram|whatsapp|notion|trello|drive|sheets?|meeting|scheduler|appointment|mattermost""), ""Productivity &amp; Communication"",
  REGEXMATCH(A361&amp;B361, ""(?i)github|api|webhook|http|mysql|supabase|mongodb|redis|rss|pr|code review|incident|pagerduty|j"&amp;"ira""), ""Development &amp; Utilities"",
  TRUE, ""Others""
)"),"CRM &amp; Sales")</f>
        <v>CRM &amp; Sales</v>
      </c>
    </row>
    <row r="362" ht="15.75" customHeight="1">
      <c r="A362" s="14" t="s">
        <v>711</v>
      </c>
      <c r="B362" s="15" t="s">
        <v>712</v>
      </c>
      <c r="C362" s="16" t="s">
        <v>7</v>
      </c>
      <c r="D362" s="12" t="str">
        <f>IFERROR(__xludf.DUMMYFUNCTION("IFS(
  REGEXMATCH(A362&amp;B362, ""(?i)openai|gpt|gemini|anthropic|claude|mistral|cohere|rag|vector|llm|chatbot|ai-powered""), ""AI &amp; LLM"",
  REGEXMATCH(A362&amp;B362, ""(?i)twitter|instagram|facebook|linkedin|youtube|tiktok|threads|bluesky|pinterest|social vid"&amp;"eo|reels?|shorts?""), ""Social Media"",
  REGEXMATCH(A362&amp;B362, ""(?i)hubspot|pipedrive|stripe|shopify|woocommerce|sales|crm|invoice|order|leads?|recruitment|bamboohr|erpnext""), ""CRM &amp; Sales"",
  REGEXMATCH(A362&amp;B362, ""(?i)gmail|outlook|calendar|slack|"&amp;"discord|telegram|whatsapp|notion|trello|drive|sheets?|meeting|scheduler|appointment|mattermost""), ""Productivity &amp; Communication"",
  REGEXMATCH(A362&amp;B362, ""(?i)github|api|webhook|http|mysql|supabase|mongodb|redis|rss|pr|code review|incident|pagerduty|j"&amp;"ira""), ""Development &amp; Utilities"",
  TRUE, ""Others""
)"),"AI &amp; LLM")</f>
        <v>AI &amp; LLM</v>
      </c>
    </row>
    <row r="363" ht="15.75" customHeight="1">
      <c r="A363" s="14" t="s">
        <v>713</v>
      </c>
      <c r="B363" s="15" t="s">
        <v>714</v>
      </c>
      <c r="C363" s="16" t="s">
        <v>7</v>
      </c>
      <c r="D363" s="12" t="str">
        <f>IFERROR(__xludf.DUMMYFUNCTION("IFS(
  REGEXMATCH(A363&amp;B363, ""(?i)openai|gpt|gemini|anthropic|claude|mistral|cohere|rag|vector|llm|chatbot|ai-powered""), ""AI &amp; LLM"",
  REGEXMATCH(A363&amp;B363, ""(?i)twitter|instagram|facebook|linkedin|youtube|tiktok|threads|bluesky|pinterest|social vid"&amp;"eo|reels?|shorts?""), ""Social Media"",
  REGEXMATCH(A363&amp;B363, ""(?i)hubspot|pipedrive|stripe|shopify|woocommerce|sales|crm|invoice|order|leads?|recruitment|bamboohr|erpnext""), ""CRM &amp; Sales"",
  REGEXMATCH(A363&amp;B363, ""(?i)gmail|outlook|calendar|slack|"&amp;"discord|telegram|whatsapp|notion|trello|drive|sheets?|meeting|scheduler|appointment|mattermost""), ""Productivity &amp; Communication"",
  REGEXMATCH(A363&amp;B363, ""(?i)github|api|webhook|http|mysql|supabase|mongodb|redis|rss|pr|code review|incident|pagerduty|j"&amp;"ira""), ""Development &amp; Utilities"",
  TRUE, ""Others""
)"),"AI &amp; LLM")</f>
        <v>AI &amp; LLM</v>
      </c>
    </row>
    <row r="364" ht="15.75" customHeight="1">
      <c r="A364" s="14" t="s">
        <v>715</v>
      </c>
      <c r="B364" s="15" t="s">
        <v>716</v>
      </c>
      <c r="C364" s="16" t="s">
        <v>7</v>
      </c>
      <c r="D364" s="12" t="str">
        <f>IFERROR(__xludf.DUMMYFUNCTION("IFS(
  REGEXMATCH(A364&amp;B364, ""(?i)openai|gpt|gemini|anthropic|claude|mistral|cohere|rag|vector|llm|chatbot|ai-powered""), ""AI &amp; LLM"",
  REGEXMATCH(A364&amp;B364, ""(?i)twitter|instagram|facebook|linkedin|youtube|tiktok|threads|bluesky|pinterest|social vid"&amp;"eo|reels?|shorts?""), ""Social Media"",
  REGEXMATCH(A364&amp;B364, ""(?i)hubspot|pipedrive|stripe|shopify|woocommerce|sales|crm|invoice|order|leads?|recruitment|bamboohr|erpnext""), ""CRM &amp; Sales"",
  REGEXMATCH(A364&amp;B364, ""(?i)gmail|outlook|calendar|slack|"&amp;"discord|telegram|whatsapp|notion|trello|drive|sheets?|meeting|scheduler|appointment|mattermost""), ""Productivity &amp; Communication"",
  REGEXMATCH(A364&amp;B364, ""(?i)github|api|webhook|http|mysql|supabase|mongodb|redis|rss|pr|code review|incident|pagerduty|j"&amp;"ira""), ""Development &amp; Utilities"",
  TRUE, ""Others""
)"),"Social Media")</f>
        <v>Social Media</v>
      </c>
    </row>
    <row r="365" ht="15.75" customHeight="1">
      <c r="A365" s="14" t="s">
        <v>717</v>
      </c>
      <c r="B365" s="15" t="s">
        <v>718</v>
      </c>
      <c r="C365" s="16" t="s">
        <v>7</v>
      </c>
      <c r="D365" s="12" t="str">
        <f>IFERROR(__xludf.DUMMYFUNCTION("IFS(
  REGEXMATCH(A365&amp;B365, ""(?i)openai|gpt|gemini|anthropic|claude|mistral|cohere|rag|vector|llm|chatbot|ai-powered""), ""AI &amp; LLM"",
  REGEXMATCH(A365&amp;B365, ""(?i)twitter|instagram|facebook|linkedin|youtube|tiktok|threads|bluesky|pinterest|social vid"&amp;"eo|reels?|shorts?""), ""Social Media"",
  REGEXMATCH(A365&amp;B365, ""(?i)hubspot|pipedrive|stripe|shopify|woocommerce|sales|crm|invoice|order|leads?|recruitment|bamboohr|erpnext""), ""CRM &amp; Sales"",
  REGEXMATCH(A365&amp;B365, ""(?i)gmail|outlook|calendar|slack|"&amp;"discord|telegram|whatsapp|notion|trello|drive|sheets?|meeting|scheduler|appointment|mattermost""), ""Productivity &amp; Communication"",
  REGEXMATCH(A365&amp;B365, ""(?i)github|api|webhook|http|mysql|supabase|mongodb|redis|rss|pr|code review|incident|pagerduty|j"&amp;"ira""), ""Development &amp; Utilities"",
  TRUE, ""Others""
)"),"Productivity &amp; Communication")</f>
        <v>Productivity &amp; Communication</v>
      </c>
    </row>
    <row r="366" ht="15.75" customHeight="1">
      <c r="A366" s="14" t="s">
        <v>719</v>
      </c>
      <c r="B366" s="15" t="s">
        <v>720</v>
      </c>
      <c r="C366" s="16" t="s">
        <v>7</v>
      </c>
      <c r="D366" s="12" t="str">
        <f>IFERROR(__xludf.DUMMYFUNCTION("IFS(
  REGEXMATCH(A366&amp;B366, ""(?i)openai|gpt|gemini|anthropic|claude|mistral|cohere|rag|vector|llm|chatbot|ai-powered""), ""AI &amp; LLM"",
  REGEXMATCH(A366&amp;B366, ""(?i)twitter|instagram|facebook|linkedin|youtube|tiktok|threads|bluesky|pinterest|social vid"&amp;"eo|reels?|shorts?""), ""Social Media"",
  REGEXMATCH(A366&amp;B366, ""(?i)hubspot|pipedrive|stripe|shopify|woocommerce|sales|crm|invoice|order|leads?|recruitment|bamboohr|erpnext""), ""CRM &amp; Sales"",
  REGEXMATCH(A366&amp;B366, ""(?i)gmail|outlook|calendar|slack|"&amp;"discord|telegram|whatsapp|notion|trello|drive|sheets?|meeting|scheduler|appointment|mattermost""), ""Productivity &amp; Communication"",
  REGEXMATCH(A366&amp;B366, ""(?i)github|api|webhook|http|mysql|supabase|mongodb|redis|rss|pr|code review|incident|pagerduty|j"&amp;"ira""), ""Development &amp; Utilities"",
  TRUE, ""Others""
)"),"AI &amp; LLM")</f>
        <v>AI &amp; LLM</v>
      </c>
    </row>
    <row r="367" ht="15.75" customHeight="1">
      <c r="A367" s="14" t="s">
        <v>721</v>
      </c>
      <c r="B367" s="15" t="s">
        <v>722</v>
      </c>
      <c r="C367" s="16" t="s">
        <v>7</v>
      </c>
      <c r="D367" s="12" t="str">
        <f>IFERROR(__xludf.DUMMYFUNCTION("IFS(
  REGEXMATCH(A367&amp;B367, ""(?i)openai|gpt|gemini|anthropic|claude|mistral|cohere|rag|vector|llm|chatbot|ai-powered""), ""AI &amp; LLM"",
  REGEXMATCH(A367&amp;B367, ""(?i)twitter|instagram|facebook|linkedin|youtube|tiktok|threads|bluesky|pinterest|social vid"&amp;"eo|reels?|shorts?""), ""Social Media"",
  REGEXMATCH(A367&amp;B367, ""(?i)hubspot|pipedrive|stripe|shopify|woocommerce|sales|crm|invoice|order|leads?|recruitment|bamboohr|erpnext""), ""CRM &amp; Sales"",
  REGEXMATCH(A367&amp;B367, ""(?i)gmail|outlook|calendar|slack|"&amp;"discord|telegram|whatsapp|notion|trello|drive|sheets?|meeting|scheduler|appointment|mattermost""), ""Productivity &amp; Communication"",
  REGEXMATCH(A367&amp;B367, ""(?i)github|api|webhook|http|mysql|supabase|mongodb|redis|rss|pr|code review|incident|pagerduty|j"&amp;"ira""), ""Development &amp; Utilities"",
  TRUE, ""Others""
)"),"AI &amp; LLM")</f>
        <v>AI &amp; LLM</v>
      </c>
    </row>
    <row r="368" ht="15.75" customHeight="1">
      <c r="A368" s="14" t="s">
        <v>723</v>
      </c>
      <c r="B368" s="15" t="s">
        <v>724</v>
      </c>
      <c r="C368" s="16" t="s">
        <v>7</v>
      </c>
      <c r="D368" s="12" t="str">
        <f>IFERROR(__xludf.DUMMYFUNCTION("IFS(
  REGEXMATCH(A368&amp;B368, ""(?i)openai|gpt|gemini|anthropic|claude|mistral|cohere|rag|vector|llm|chatbot|ai-powered""), ""AI &amp; LLM"",
  REGEXMATCH(A368&amp;B368, ""(?i)twitter|instagram|facebook|linkedin|youtube|tiktok|threads|bluesky|pinterest|social vid"&amp;"eo|reels?|shorts?""), ""Social Media"",
  REGEXMATCH(A368&amp;B368, ""(?i)hubspot|pipedrive|stripe|shopify|woocommerce|sales|crm|invoice|order|leads?|recruitment|bamboohr|erpnext""), ""CRM &amp; Sales"",
  REGEXMATCH(A368&amp;B368, ""(?i)gmail|outlook|calendar|slack|"&amp;"discord|telegram|whatsapp|notion|trello|drive|sheets?|meeting|scheduler|appointment|mattermost""), ""Productivity &amp; Communication"",
  REGEXMATCH(A368&amp;B368, ""(?i)github|api|webhook|http|mysql|supabase|mongodb|redis|rss|pr|code review|incident|pagerduty|j"&amp;"ira""), ""Development &amp; Utilities"",
  TRUE, ""Others""
)"),"AI &amp; LLM")</f>
        <v>AI &amp; LLM</v>
      </c>
    </row>
    <row r="369" ht="15.75" customHeight="1">
      <c r="A369" s="14" t="s">
        <v>48</v>
      </c>
      <c r="B369" s="15" t="s">
        <v>725</v>
      </c>
      <c r="C369" s="16" t="s">
        <v>7</v>
      </c>
      <c r="D369" s="12" t="str">
        <f>IFERROR(__xludf.DUMMYFUNCTION("IFS(
  REGEXMATCH(A369&amp;B369, ""(?i)openai|gpt|gemini|anthropic|claude|mistral|cohere|rag|vector|llm|chatbot|ai-powered""), ""AI &amp; LLM"",
  REGEXMATCH(A369&amp;B369, ""(?i)twitter|instagram|facebook|linkedin|youtube|tiktok|threads|bluesky|pinterest|social vid"&amp;"eo|reels?|shorts?""), ""Social Media"",
  REGEXMATCH(A369&amp;B369, ""(?i)hubspot|pipedrive|stripe|shopify|woocommerce|sales|crm|invoice|order|leads?|recruitment|bamboohr|erpnext""), ""CRM &amp; Sales"",
  REGEXMATCH(A369&amp;B369, ""(?i)gmail|outlook|calendar|slack|"&amp;"discord|telegram|whatsapp|notion|trello|drive|sheets?|meeting|scheduler|appointment|mattermost""), ""Productivity &amp; Communication"",
  REGEXMATCH(A369&amp;B369, ""(?i)github|api|webhook|http|mysql|supabase|mongodb|redis|rss|pr|code review|incident|pagerduty|j"&amp;"ira""), ""Development &amp; Utilities"",
  TRUE, ""Others""
)"),"AI &amp; LLM")</f>
        <v>AI &amp; LLM</v>
      </c>
    </row>
    <row r="370" ht="15.75" customHeight="1">
      <c r="A370" s="14" t="s">
        <v>726</v>
      </c>
      <c r="B370" s="15" t="s">
        <v>727</v>
      </c>
      <c r="C370" s="16" t="s">
        <v>7</v>
      </c>
      <c r="D370" s="12" t="str">
        <f>IFERROR(__xludf.DUMMYFUNCTION("IFS(
  REGEXMATCH(A370&amp;B370, ""(?i)openai|gpt|gemini|anthropic|claude|mistral|cohere|rag|vector|llm|chatbot|ai-powered""), ""AI &amp; LLM"",
  REGEXMATCH(A370&amp;B370, ""(?i)twitter|instagram|facebook|linkedin|youtube|tiktok|threads|bluesky|pinterest|social vid"&amp;"eo|reels?|shorts?""), ""Social Media"",
  REGEXMATCH(A370&amp;B370, ""(?i)hubspot|pipedrive|stripe|shopify|woocommerce|sales|crm|invoice|order|leads?|recruitment|bamboohr|erpnext""), ""CRM &amp; Sales"",
  REGEXMATCH(A370&amp;B370, ""(?i)gmail|outlook|calendar|slack|"&amp;"discord|telegram|whatsapp|notion|trello|drive|sheets?|meeting|scheduler|appointment|mattermost""), ""Productivity &amp; Communication"",
  REGEXMATCH(A370&amp;B370, ""(?i)github|api|webhook|http|mysql|supabase|mongodb|redis|rss|pr|code review|incident|pagerduty|j"&amp;"ira""), ""Development &amp; Utilities"",
  TRUE, ""Others""
)"),"AI &amp; LLM")</f>
        <v>AI &amp; LLM</v>
      </c>
    </row>
    <row r="371" ht="15.75" customHeight="1">
      <c r="A371" s="14" t="s">
        <v>728</v>
      </c>
      <c r="B371" s="15" t="s">
        <v>729</v>
      </c>
      <c r="C371" s="16" t="s">
        <v>7</v>
      </c>
      <c r="D371" s="12" t="str">
        <f>IFERROR(__xludf.DUMMYFUNCTION("IFS(
  REGEXMATCH(A371&amp;B371, ""(?i)openai|gpt|gemini|anthropic|claude|mistral|cohere|rag|vector|llm|chatbot|ai-powered""), ""AI &amp; LLM"",
  REGEXMATCH(A371&amp;B371, ""(?i)twitter|instagram|facebook|linkedin|youtube|tiktok|threads|bluesky|pinterest|social vid"&amp;"eo|reels?|shorts?""), ""Social Media"",
  REGEXMATCH(A371&amp;B371, ""(?i)hubspot|pipedrive|stripe|shopify|woocommerce|sales|crm|invoice|order|leads?|recruitment|bamboohr|erpnext""), ""CRM &amp; Sales"",
  REGEXMATCH(A371&amp;B371, ""(?i)gmail|outlook|calendar|slack|"&amp;"discord|telegram|whatsapp|notion|trello|drive|sheets?|meeting|scheduler|appointment|mattermost""), ""Productivity &amp; Communication"",
  REGEXMATCH(A371&amp;B371, ""(?i)github|api|webhook|http|mysql|supabase|mongodb|redis|rss|pr|code review|incident|pagerduty|j"&amp;"ira""), ""Development &amp; Utilities"",
  TRUE, ""Others""
)"),"Development &amp; Utilities")</f>
        <v>Development &amp; Utilities</v>
      </c>
    </row>
    <row r="372" ht="15.75" customHeight="1">
      <c r="A372" s="14" t="s">
        <v>730</v>
      </c>
      <c r="B372" s="15" t="s">
        <v>731</v>
      </c>
      <c r="C372" s="16" t="s">
        <v>7</v>
      </c>
      <c r="D372" s="12" t="str">
        <f>IFERROR(__xludf.DUMMYFUNCTION("IFS(
  REGEXMATCH(A372&amp;B372, ""(?i)openai|gpt|gemini|anthropic|claude|mistral|cohere|rag|vector|llm|chatbot|ai-powered""), ""AI &amp; LLM"",
  REGEXMATCH(A372&amp;B372, ""(?i)twitter|instagram|facebook|linkedin|youtube|tiktok|threads|bluesky|pinterest|social vid"&amp;"eo|reels?|shorts?""), ""Social Media"",
  REGEXMATCH(A372&amp;B372, ""(?i)hubspot|pipedrive|stripe|shopify|woocommerce|sales|crm|invoice|order|leads?|recruitment|bamboohr|erpnext""), ""CRM &amp; Sales"",
  REGEXMATCH(A372&amp;B372, ""(?i)gmail|outlook|calendar|slack|"&amp;"discord|telegram|whatsapp|notion|trello|drive|sheets?|meeting|scheduler|appointment|mattermost""), ""Productivity &amp; Communication"",
  REGEXMATCH(A372&amp;B372, ""(?i)github|api|webhook|http|mysql|supabase|mongodb|redis|rss|pr|code review|incident|pagerduty|j"&amp;"ira""), ""Development &amp; Utilities"",
  TRUE, ""Others""
)"),"AI &amp; LLM")</f>
        <v>AI &amp; LLM</v>
      </c>
    </row>
    <row r="373" ht="15.75" customHeight="1">
      <c r="A373" s="14" t="s">
        <v>732</v>
      </c>
      <c r="B373" s="15" t="s">
        <v>733</v>
      </c>
      <c r="C373" s="16" t="s">
        <v>7</v>
      </c>
      <c r="D373" s="12" t="str">
        <f>IFERROR(__xludf.DUMMYFUNCTION("IFS(
  REGEXMATCH(A373&amp;B373, ""(?i)openai|gpt|gemini|anthropic|claude|mistral|cohere|rag|vector|llm|chatbot|ai-powered""), ""AI &amp; LLM"",
  REGEXMATCH(A373&amp;B373, ""(?i)twitter|instagram|facebook|linkedin|youtube|tiktok|threads|bluesky|pinterest|social vid"&amp;"eo|reels?|shorts?""), ""Social Media"",
  REGEXMATCH(A373&amp;B373, ""(?i)hubspot|pipedrive|stripe|shopify|woocommerce|sales|crm|invoice|order|leads?|recruitment|bamboohr|erpnext""), ""CRM &amp; Sales"",
  REGEXMATCH(A373&amp;B373, ""(?i)gmail|outlook|calendar|slack|"&amp;"discord|telegram|whatsapp|notion|trello|drive|sheets?|meeting|scheduler|appointment|mattermost""), ""Productivity &amp; Communication"",
  REGEXMATCH(A373&amp;B373, ""(?i)github|api|webhook|http|mysql|supabase|mongodb|redis|rss|pr|code review|incident|pagerduty|j"&amp;"ira""), ""Development &amp; Utilities"",
  TRUE, ""Others""
)"),"CRM &amp; Sales")</f>
        <v>CRM &amp; Sales</v>
      </c>
    </row>
    <row r="374" ht="15.75" customHeight="1">
      <c r="A374" s="14" t="s">
        <v>734</v>
      </c>
      <c r="B374" s="15" t="s">
        <v>735</v>
      </c>
      <c r="C374" s="16" t="s">
        <v>7</v>
      </c>
      <c r="D374" s="12" t="str">
        <f>IFERROR(__xludf.DUMMYFUNCTION("IFS(
  REGEXMATCH(A374&amp;B374, ""(?i)openai|gpt|gemini|anthropic|claude|mistral|cohere|rag|vector|llm|chatbot|ai-powered""), ""AI &amp; LLM"",
  REGEXMATCH(A374&amp;B374, ""(?i)twitter|instagram|facebook|linkedin|youtube|tiktok|threads|bluesky|pinterest|social vid"&amp;"eo|reels?|shorts?""), ""Social Media"",
  REGEXMATCH(A374&amp;B374, ""(?i)hubspot|pipedrive|stripe|shopify|woocommerce|sales|crm|invoice|order|leads?|recruitment|bamboohr|erpnext""), ""CRM &amp; Sales"",
  REGEXMATCH(A374&amp;B374, ""(?i)gmail|outlook|calendar|slack|"&amp;"discord|telegram|whatsapp|notion|trello|drive|sheets?|meeting|scheduler|appointment|mattermost""), ""Productivity &amp; Communication"",
  REGEXMATCH(A374&amp;B374, ""(?i)github|api|webhook|http|mysql|supabase|mongodb|redis|rss|pr|code review|incident|pagerduty|j"&amp;"ira""), ""Development &amp; Utilities"",
  TRUE, ""Others""
)"),"Development &amp; Utilities")</f>
        <v>Development &amp; Utilities</v>
      </c>
    </row>
    <row r="375" ht="15.75" customHeight="1">
      <c r="A375" s="14" t="s">
        <v>736</v>
      </c>
      <c r="B375" s="15" t="s">
        <v>737</v>
      </c>
      <c r="C375" s="16" t="s">
        <v>7</v>
      </c>
      <c r="D375" s="12" t="str">
        <f>IFERROR(__xludf.DUMMYFUNCTION("IFS(
  REGEXMATCH(A375&amp;B375, ""(?i)openai|gpt|gemini|anthropic|claude|mistral|cohere|rag|vector|llm|chatbot|ai-powered""), ""AI &amp; LLM"",
  REGEXMATCH(A375&amp;B375, ""(?i)twitter|instagram|facebook|linkedin|youtube|tiktok|threads|bluesky|pinterest|social vid"&amp;"eo|reels?|shorts?""), ""Social Media"",
  REGEXMATCH(A375&amp;B375, ""(?i)hubspot|pipedrive|stripe|shopify|woocommerce|sales|crm|invoice|order|leads?|recruitment|bamboohr|erpnext""), ""CRM &amp; Sales"",
  REGEXMATCH(A375&amp;B375, ""(?i)gmail|outlook|calendar|slack|"&amp;"discord|telegram|whatsapp|notion|trello|drive|sheets?|meeting|scheduler|appointment|mattermost""), ""Productivity &amp; Communication"",
  REGEXMATCH(A375&amp;B375, ""(?i)github|api|webhook|http|mysql|supabase|mongodb|redis|rss|pr|code review|incident|pagerduty|j"&amp;"ira""), ""Development &amp; Utilities"",
  TRUE, ""Others""
)"),"AI &amp; LLM")</f>
        <v>AI &amp; LLM</v>
      </c>
    </row>
    <row r="376" ht="15.75" customHeight="1">
      <c r="A376" s="14" t="s">
        <v>738</v>
      </c>
      <c r="B376" s="15" t="s">
        <v>739</v>
      </c>
      <c r="C376" s="16" t="s">
        <v>7</v>
      </c>
      <c r="D376" s="12" t="str">
        <f>IFERROR(__xludf.DUMMYFUNCTION("IFS(
  REGEXMATCH(A376&amp;B376, ""(?i)openai|gpt|gemini|anthropic|claude|mistral|cohere|rag|vector|llm|chatbot|ai-powered""), ""AI &amp; LLM"",
  REGEXMATCH(A376&amp;B376, ""(?i)twitter|instagram|facebook|linkedin|youtube|tiktok|threads|bluesky|pinterest|social vid"&amp;"eo|reels?|shorts?""), ""Social Media"",
  REGEXMATCH(A376&amp;B376, ""(?i)hubspot|pipedrive|stripe|shopify|woocommerce|sales|crm|invoice|order|leads?|recruitment|bamboohr|erpnext""), ""CRM &amp; Sales"",
  REGEXMATCH(A376&amp;B376, ""(?i)gmail|outlook|calendar|slack|"&amp;"discord|telegram|whatsapp|notion|trello|drive|sheets?|meeting|scheduler|appointment|mattermost""), ""Productivity &amp; Communication"",
  REGEXMATCH(A376&amp;B376, ""(?i)github|api|webhook|http|mysql|supabase|mongodb|redis|rss|pr|code review|incident|pagerduty|j"&amp;"ira""), ""Development &amp; Utilities"",
  TRUE, ""Others""
)"),"Productivity &amp; Communication")</f>
        <v>Productivity &amp; Communication</v>
      </c>
    </row>
    <row r="377" ht="15.75" customHeight="1">
      <c r="A377" s="14" t="s">
        <v>740</v>
      </c>
      <c r="B377" s="15" t="s">
        <v>741</v>
      </c>
      <c r="C377" s="16" t="s">
        <v>7</v>
      </c>
      <c r="D377" s="12" t="str">
        <f>IFERROR(__xludf.DUMMYFUNCTION("IFS(
  REGEXMATCH(A377&amp;B377, ""(?i)openai|gpt|gemini|anthropic|claude|mistral|cohere|rag|vector|llm|chatbot|ai-powered""), ""AI &amp; LLM"",
  REGEXMATCH(A377&amp;B377, ""(?i)twitter|instagram|facebook|linkedin|youtube|tiktok|threads|bluesky|pinterest|social vid"&amp;"eo|reels?|shorts?""), ""Social Media"",
  REGEXMATCH(A377&amp;B377, ""(?i)hubspot|pipedrive|stripe|shopify|woocommerce|sales|crm|invoice|order|leads?|recruitment|bamboohr|erpnext""), ""CRM &amp; Sales"",
  REGEXMATCH(A377&amp;B377, ""(?i)gmail|outlook|calendar|slack|"&amp;"discord|telegram|whatsapp|notion|trello|drive|sheets?|meeting|scheduler|appointment|mattermost""), ""Productivity &amp; Communication"",
  REGEXMATCH(A377&amp;B377, ""(?i)github|api|webhook|http|mysql|supabase|mongodb|redis|rss|pr|code review|incident|pagerduty|j"&amp;"ira""), ""Development &amp; Utilities"",
  TRUE, ""Others""
)"),"Development &amp; Utilities")</f>
        <v>Development &amp; Utilities</v>
      </c>
    </row>
    <row r="378" ht="15.75" customHeight="1">
      <c r="A378" s="14" t="s">
        <v>742</v>
      </c>
      <c r="B378" s="15" t="s">
        <v>743</v>
      </c>
      <c r="C378" s="16" t="s">
        <v>7</v>
      </c>
      <c r="D378" s="12" t="str">
        <f>IFERROR(__xludf.DUMMYFUNCTION("IFS(
  REGEXMATCH(A378&amp;B378, ""(?i)openai|gpt|gemini|anthropic|claude|mistral|cohere|rag|vector|llm|chatbot|ai-powered""), ""AI &amp; LLM"",
  REGEXMATCH(A378&amp;B378, ""(?i)twitter|instagram|facebook|linkedin|youtube|tiktok|threads|bluesky|pinterest|social vid"&amp;"eo|reels?|shorts?""), ""Social Media"",
  REGEXMATCH(A378&amp;B378, ""(?i)hubspot|pipedrive|stripe|shopify|woocommerce|sales|crm|invoice|order|leads?|recruitment|bamboohr|erpnext""), ""CRM &amp; Sales"",
  REGEXMATCH(A378&amp;B378, ""(?i)gmail|outlook|calendar|slack|"&amp;"discord|telegram|whatsapp|notion|trello|drive|sheets?|meeting|scheduler|appointment|mattermost""), ""Productivity &amp; Communication"",
  REGEXMATCH(A378&amp;B378, ""(?i)github|api|webhook|http|mysql|supabase|mongodb|redis|rss|pr|code review|incident|pagerduty|j"&amp;"ira""), ""Development &amp; Utilities"",
  TRUE, ""Others""
)"),"AI &amp; LLM")</f>
        <v>AI &amp; LLM</v>
      </c>
    </row>
    <row r="379" ht="15.75" customHeight="1">
      <c r="A379" s="14" t="s">
        <v>744</v>
      </c>
      <c r="B379" s="15" t="s">
        <v>745</v>
      </c>
      <c r="C379" s="16" t="s">
        <v>7</v>
      </c>
      <c r="D379" s="12" t="str">
        <f>IFERROR(__xludf.DUMMYFUNCTION("IFS(
  REGEXMATCH(A379&amp;B379, ""(?i)openai|gpt|gemini|anthropic|claude|mistral|cohere|rag|vector|llm|chatbot|ai-powered""), ""AI &amp; LLM"",
  REGEXMATCH(A379&amp;B379, ""(?i)twitter|instagram|facebook|linkedin|youtube|tiktok|threads|bluesky|pinterest|social vid"&amp;"eo|reels?|shorts?""), ""Social Media"",
  REGEXMATCH(A379&amp;B379, ""(?i)hubspot|pipedrive|stripe|shopify|woocommerce|sales|crm|invoice|order|leads?|recruitment|bamboohr|erpnext""), ""CRM &amp; Sales"",
  REGEXMATCH(A379&amp;B379, ""(?i)gmail|outlook|calendar|slack|"&amp;"discord|telegram|whatsapp|notion|trello|drive|sheets?|meeting|scheduler|appointment|mattermost""), ""Productivity &amp; Communication"",
  REGEXMATCH(A379&amp;B379, ""(?i)github|api|webhook|http|mysql|supabase|mongodb|redis|rss|pr|code review|incident|pagerduty|j"&amp;"ira""), ""Development &amp; Utilities"",
  TRUE, ""Others""
)"),"Development &amp; Utilities")</f>
        <v>Development &amp; Utilities</v>
      </c>
    </row>
    <row r="380" ht="15.75" customHeight="1">
      <c r="A380" s="14" t="s">
        <v>746</v>
      </c>
      <c r="B380" s="15" t="s">
        <v>747</v>
      </c>
      <c r="C380" s="16" t="s">
        <v>7</v>
      </c>
      <c r="D380" s="12" t="str">
        <f>IFERROR(__xludf.DUMMYFUNCTION("IFS(
  REGEXMATCH(A380&amp;B380, ""(?i)openai|gpt|gemini|anthropic|claude|mistral|cohere|rag|vector|llm|chatbot|ai-powered""), ""AI &amp; LLM"",
  REGEXMATCH(A380&amp;B380, ""(?i)twitter|instagram|facebook|linkedin|youtube|tiktok|threads|bluesky|pinterest|social vid"&amp;"eo|reels?|shorts?""), ""Social Media"",
  REGEXMATCH(A380&amp;B380, ""(?i)hubspot|pipedrive|stripe|shopify|woocommerce|sales|crm|invoice|order|leads?|recruitment|bamboohr|erpnext""), ""CRM &amp; Sales"",
  REGEXMATCH(A380&amp;B380, ""(?i)gmail|outlook|calendar|slack|"&amp;"discord|telegram|whatsapp|notion|trello|drive|sheets?|meeting|scheduler|appointment|mattermost""), ""Productivity &amp; Communication"",
  REGEXMATCH(A380&amp;B380, ""(?i)github|api|webhook|http|mysql|supabase|mongodb|redis|rss|pr|code review|incident|pagerduty|j"&amp;"ira""), ""Development &amp; Utilities"",
  TRUE, ""Others""
)"),"Development &amp; Utilities")</f>
        <v>Development &amp; Utilities</v>
      </c>
    </row>
    <row r="381" ht="15.75" customHeight="1">
      <c r="A381" s="14" t="s">
        <v>748</v>
      </c>
      <c r="B381" s="15" t="s">
        <v>749</v>
      </c>
      <c r="C381" s="16" t="s">
        <v>7</v>
      </c>
      <c r="D381" s="12" t="str">
        <f>IFERROR(__xludf.DUMMYFUNCTION("IFS(
  REGEXMATCH(A381&amp;B381, ""(?i)openai|gpt|gemini|anthropic|claude|mistral|cohere|rag|vector|llm|chatbot|ai-powered""), ""AI &amp; LLM"",
  REGEXMATCH(A381&amp;B381, ""(?i)twitter|instagram|facebook|linkedin|youtube|tiktok|threads|bluesky|pinterest|social vid"&amp;"eo|reels?|shorts?""), ""Social Media"",
  REGEXMATCH(A381&amp;B381, ""(?i)hubspot|pipedrive|stripe|shopify|woocommerce|sales|crm|invoice|order|leads?|recruitment|bamboohr|erpnext""), ""CRM &amp; Sales"",
  REGEXMATCH(A381&amp;B381, ""(?i)gmail|outlook|calendar|slack|"&amp;"discord|telegram|whatsapp|notion|trello|drive|sheets?|meeting|scheduler|appointment|mattermost""), ""Productivity &amp; Communication"",
  REGEXMATCH(A381&amp;B381, ""(?i)github|api|webhook|http|mysql|supabase|mongodb|redis|rss|pr|code review|incident|pagerduty|j"&amp;"ira""), ""Development &amp; Utilities"",
  TRUE, ""Others""
)"),"AI &amp; LLM")</f>
        <v>AI &amp; LLM</v>
      </c>
    </row>
    <row r="382" ht="15.75" customHeight="1">
      <c r="A382" s="14" t="s">
        <v>750</v>
      </c>
      <c r="B382" s="15" t="s">
        <v>751</v>
      </c>
      <c r="C382" s="16" t="s">
        <v>7</v>
      </c>
      <c r="D382" s="12" t="str">
        <f>IFERROR(__xludf.DUMMYFUNCTION("IFS(
  REGEXMATCH(A382&amp;B382, ""(?i)openai|gpt|gemini|anthropic|claude|mistral|cohere|rag|vector|llm|chatbot|ai-powered""), ""AI &amp; LLM"",
  REGEXMATCH(A382&amp;B382, ""(?i)twitter|instagram|facebook|linkedin|youtube|tiktok|threads|bluesky|pinterest|social vid"&amp;"eo|reels?|shorts?""), ""Social Media"",
  REGEXMATCH(A382&amp;B382, ""(?i)hubspot|pipedrive|stripe|shopify|woocommerce|sales|crm|invoice|order|leads?|recruitment|bamboohr|erpnext""), ""CRM &amp; Sales"",
  REGEXMATCH(A382&amp;B382, ""(?i)gmail|outlook|calendar|slack|"&amp;"discord|telegram|whatsapp|notion|trello|drive|sheets?|meeting|scheduler|appointment|mattermost""), ""Productivity &amp; Communication"",
  REGEXMATCH(A382&amp;B382, ""(?i)github|api|webhook|http|mysql|supabase|mongodb|redis|rss|pr|code review|incident|pagerduty|j"&amp;"ira""), ""Development &amp; Utilities"",
  TRUE, ""Others""
)"),"Productivity &amp; Communication")</f>
        <v>Productivity &amp; Communication</v>
      </c>
    </row>
    <row r="383" ht="15.75" customHeight="1">
      <c r="A383" s="14" t="s">
        <v>752</v>
      </c>
      <c r="B383" s="15" t="s">
        <v>753</v>
      </c>
      <c r="C383" s="16" t="s">
        <v>7</v>
      </c>
      <c r="D383" s="12" t="str">
        <f>IFERROR(__xludf.DUMMYFUNCTION("IFS(
  REGEXMATCH(A383&amp;B383, ""(?i)openai|gpt|gemini|anthropic|claude|mistral|cohere|rag|vector|llm|chatbot|ai-powered""), ""AI &amp; LLM"",
  REGEXMATCH(A383&amp;B383, ""(?i)twitter|instagram|facebook|linkedin|youtube|tiktok|threads|bluesky|pinterest|social vid"&amp;"eo|reels?|shorts?""), ""Social Media"",
  REGEXMATCH(A383&amp;B383, ""(?i)hubspot|pipedrive|stripe|shopify|woocommerce|sales|crm|invoice|order|leads?|recruitment|bamboohr|erpnext""), ""CRM &amp; Sales"",
  REGEXMATCH(A383&amp;B383, ""(?i)gmail|outlook|calendar|slack|"&amp;"discord|telegram|whatsapp|notion|trello|drive|sheets?|meeting|scheduler|appointment|mattermost""), ""Productivity &amp; Communication"",
  REGEXMATCH(A383&amp;B383, ""(?i)github|api|webhook|http|mysql|supabase|mongodb|redis|rss|pr|code review|incident|pagerduty|j"&amp;"ira""), ""Development &amp; Utilities"",
  TRUE, ""Others""
)"),"Development &amp; Utilities")</f>
        <v>Development &amp; Utilities</v>
      </c>
    </row>
    <row r="384" ht="15.75" customHeight="1">
      <c r="A384" s="14" t="s">
        <v>754</v>
      </c>
      <c r="B384" s="15" t="s">
        <v>755</v>
      </c>
      <c r="C384" s="16" t="s">
        <v>7</v>
      </c>
      <c r="D384" s="12" t="str">
        <f>IFERROR(__xludf.DUMMYFUNCTION("IFS(
  REGEXMATCH(A384&amp;B384, ""(?i)openai|gpt|gemini|anthropic|claude|mistral|cohere|rag|vector|llm|chatbot|ai-powered""), ""AI &amp; LLM"",
  REGEXMATCH(A384&amp;B384, ""(?i)twitter|instagram|facebook|linkedin|youtube|tiktok|threads|bluesky|pinterest|social vid"&amp;"eo|reels?|shorts?""), ""Social Media"",
  REGEXMATCH(A384&amp;B384, ""(?i)hubspot|pipedrive|stripe|shopify|woocommerce|sales|crm|invoice|order|leads?|recruitment|bamboohr|erpnext""), ""CRM &amp; Sales"",
  REGEXMATCH(A384&amp;B384, ""(?i)gmail|outlook|calendar|slack|"&amp;"discord|telegram|whatsapp|notion|trello|drive|sheets?|meeting|scheduler|appointment|mattermost""), ""Productivity &amp; Communication"",
  REGEXMATCH(A384&amp;B384, ""(?i)github|api|webhook|http|mysql|supabase|mongodb|redis|rss|pr|code review|incident|pagerduty|j"&amp;"ira""), ""Development &amp; Utilities"",
  TRUE, ""Others""
)"),"Productivity &amp; Communication")</f>
        <v>Productivity &amp; Communication</v>
      </c>
    </row>
    <row r="385" ht="15.75" customHeight="1">
      <c r="A385" s="14" t="s">
        <v>756</v>
      </c>
      <c r="B385" s="15" t="s">
        <v>757</v>
      </c>
      <c r="C385" s="16" t="s">
        <v>7</v>
      </c>
      <c r="D385" s="12" t="str">
        <f>IFERROR(__xludf.DUMMYFUNCTION("IFS(
  REGEXMATCH(A385&amp;B385, ""(?i)openai|gpt|gemini|anthropic|claude|mistral|cohere|rag|vector|llm|chatbot|ai-powered""), ""AI &amp; LLM"",
  REGEXMATCH(A385&amp;B385, ""(?i)twitter|instagram|facebook|linkedin|youtube|tiktok|threads|bluesky|pinterest|social vid"&amp;"eo|reels?|shorts?""), ""Social Media"",
  REGEXMATCH(A385&amp;B385, ""(?i)hubspot|pipedrive|stripe|shopify|woocommerce|sales|crm|invoice|order|leads?|recruitment|bamboohr|erpnext""), ""CRM &amp; Sales"",
  REGEXMATCH(A385&amp;B385, ""(?i)gmail|outlook|calendar|slack|"&amp;"discord|telegram|whatsapp|notion|trello|drive|sheets?|meeting|scheduler|appointment|mattermost""), ""Productivity &amp; Communication"",
  REGEXMATCH(A385&amp;B385, ""(?i)github|api|webhook|http|mysql|supabase|mongodb|redis|rss|pr|code review|incident|pagerduty|j"&amp;"ira""), ""Development &amp; Utilities"",
  TRUE, ""Others""
)"),"Development &amp; Utilities")</f>
        <v>Development &amp; Utilities</v>
      </c>
    </row>
    <row r="386" ht="15.75" customHeight="1">
      <c r="A386" s="14" t="s">
        <v>758</v>
      </c>
      <c r="B386" s="15" t="s">
        <v>759</v>
      </c>
      <c r="C386" s="16" t="s">
        <v>7</v>
      </c>
      <c r="D386" s="12" t="str">
        <f>IFERROR(__xludf.DUMMYFUNCTION("IFS(
  REGEXMATCH(A386&amp;B386, ""(?i)openai|gpt|gemini|anthropic|claude|mistral|cohere|rag|vector|llm|chatbot|ai-powered""), ""AI &amp; LLM"",
  REGEXMATCH(A386&amp;B386, ""(?i)twitter|instagram|facebook|linkedin|youtube|tiktok|threads|bluesky|pinterest|social vid"&amp;"eo|reels?|shorts?""), ""Social Media"",
  REGEXMATCH(A386&amp;B386, ""(?i)hubspot|pipedrive|stripe|shopify|woocommerce|sales|crm|invoice|order|leads?|recruitment|bamboohr|erpnext""), ""CRM &amp; Sales"",
  REGEXMATCH(A386&amp;B386, ""(?i)gmail|outlook|calendar|slack|"&amp;"discord|telegram|whatsapp|notion|trello|drive|sheets?|meeting|scheduler|appointment|mattermost""), ""Productivity &amp; Communication"",
  REGEXMATCH(A386&amp;B386, ""(?i)github|api|webhook|http|mysql|supabase|mongodb|redis|rss|pr|code review|incident|pagerduty|j"&amp;"ira""), ""Development &amp; Utilities"",
  TRUE, ""Others""
)"),"Development &amp; Utilities")</f>
        <v>Development &amp; Utilities</v>
      </c>
    </row>
    <row r="387" ht="15.75" customHeight="1">
      <c r="A387" s="14" t="s">
        <v>760</v>
      </c>
      <c r="B387" s="15" t="s">
        <v>761</v>
      </c>
      <c r="C387" s="16" t="s">
        <v>7</v>
      </c>
      <c r="D387" s="12" t="str">
        <f>IFERROR(__xludf.DUMMYFUNCTION("IFS(
  REGEXMATCH(A387&amp;B387, ""(?i)openai|gpt|gemini|anthropic|claude|mistral|cohere|rag|vector|llm|chatbot|ai-powered""), ""AI &amp; LLM"",
  REGEXMATCH(A387&amp;B387, ""(?i)twitter|instagram|facebook|linkedin|youtube|tiktok|threads|bluesky|pinterest|social vid"&amp;"eo|reels?|shorts?""), ""Social Media"",
  REGEXMATCH(A387&amp;B387, ""(?i)hubspot|pipedrive|stripe|shopify|woocommerce|sales|crm|invoice|order|leads?|recruitment|bamboohr|erpnext""), ""CRM &amp; Sales"",
  REGEXMATCH(A387&amp;B387, ""(?i)gmail|outlook|calendar|slack|"&amp;"discord|telegram|whatsapp|notion|trello|drive|sheets?|meeting|scheduler|appointment|mattermost""), ""Productivity &amp; Communication"",
  REGEXMATCH(A387&amp;B387, ""(?i)github|api|webhook|http|mysql|supabase|mongodb|redis|rss|pr|code review|incident|pagerduty|j"&amp;"ira""), ""Development &amp; Utilities"",
  TRUE, ""Others""
)"),"CRM &amp; Sales")</f>
        <v>CRM &amp; Sales</v>
      </c>
    </row>
    <row r="388" ht="15.75" customHeight="1">
      <c r="A388" s="14" t="s">
        <v>762</v>
      </c>
      <c r="B388" s="15" t="s">
        <v>763</v>
      </c>
      <c r="C388" s="16" t="s">
        <v>7</v>
      </c>
      <c r="D388" s="12" t="str">
        <f>IFERROR(__xludf.DUMMYFUNCTION("IFS(
  REGEXMATCH(A388&amp;B388, ""(?i)openai|gpt|gemini|anthropic|claude|mistral|cohere|rag|vector|llm|chatbot|ai-powered""), ""AI &amp; LLM"",
  REGEXMATCH(A388&amp;B388, ""(?i)twitter|instagram|facebook|linkedin|youtube|tiktok|threads|bluesky|pinterest|social vid"&amp;"eo|reels?|shorts?""), ""Social Media"",
  REGEXMATCH(A388&amp;B388, ""(?i)hubspot|pipedrive|stripe|shopify|woocommerce|sales|crm|invoice|order|leads?|recruitment|bamboohr|erpnext""), ""CRM &amp; Sales"",
  REGEXMATCH(A388&amp;B388, ""(?i)gmail|outlook|calendar|slack|"&amp;"discord|telegram|whatsapp|notion|trello|drive|sheets?|meeting|scheduler|appointment|mattermost""), ""Productivity &amp; Communication"",
  REGEXMATCH(A388&amp;B388, ""(?i)github|api|webhook|http|mysql|supabase|mongodb|redis|rss|pr|code review|incident|pagerduty|j"&amp;"ira""), ""Development &amp; Utilities"",
  TRUE, ""Others""
)"),"Productivity &amp; Communication")</f>
        <v>Productivity &amp; Communication</v>
      </c>
    </row>
    <row r="389" ht="15.75" customHeight="1">
      <c r="A389" s="14" t="s">
        <v>764</v>
      </c>
      <c r="B389" s="15" t="s">
        <v>765</v>
      </c>
      <c r="C389" s="16" t="s">
        <v>7</v>
      </c>
      <c r="D389" s="12" t="str">
        <f>IFERROR(__xludf.DUMMYFUNCTION("IFS(
  REGEXMATCH(A389&amp;B389, ""(?i)openai|gpt|gemini|anthropic|claude|mistral|cohere|rag|vector|llm|chatbot|ai-powered""), ""AI &amp; LLM"",
  REGEXMATCH(A389&amp;B389, ""(?i)twitter|instagram|facebook|linkedin|youtube|tiktok|threads|bluesky|pinterest|social vid"&amp;"eo|reels?|shorts?""), ""Social Media"",
  REGEXMATCH(A389&amp;B389, ""(?i)hubspot|pipedrive|stripe|shopify|woocommerce|sales|crm|invoice|order|leads?|recruitment|bamboohr|erpnext""), ""CRM &amp; Sales"",
  REGEXMATCH(A389&amp;B389, ""(?i)gmail|outlook|calendar|slack|"&amp;"discord|telegram|whatsapp|notion|trello|drive|sheets?|meeting|scheduler|appointment|mattermost""), ""Productivity &amp; Communication"",
  REGEXMATCH(A389&amp;B389, ""(?i)github|api|webhook|http|mysql|supabase|mongodb|redis|rss|pr|code review|incident|pagerduty|j"&amp;"ira""), ""Development &amp; Utilities"",
  TRUE, ""Others""
)"),"Productivity &amp; Communication")</f>
        <v>Productivity &amp; Communication</v>
      </c>
    </row>
    <row r="390" ht="15.75" customHeight="1">
      <c r="A390" s="14" t="s">
        <v>766</v>
      </c>
      <c r="B390" s="15" t="s">
        <v>767</v>
      </c>
      <c r="C390" s="16" t="s">
        <v>7</v>
      </c>
      <c r="D390" s="12" t="str">
        <f>IFERROR(__xludf.DUMMYFUNCTION("IFS(
  REGEXMATCH(A390&amp;B390, ""(?i)openai|gpt|gemini|anthropic|claude|mistral|cohere|rag|vector|llm|chatbot|ai-powered""), ""AI &amp; LLM"",
  REGEXMATCH(A390&amp;B390, ""(?i)twitter|instagram|facebook|linkedin|youtube|tiktok|threads|bluesky|pinterest|social vid"&amp;"eo|reels?|shorts?""), ""Social Media"",
  REGEXMATCH(A390&amp;B390, ""(?i)hubspot|pipedrive|stripe|shopify|woocommerce|sales|crm|invoice|order|leads?|recruitment|bamboohr|erpnext""), ""CRM &amp; Sales"",
  REGEXMATCH(A390&amp;B390, ""(?i)gmail|outlook|calendar|slack|"&amp;"discord|telegram|whatsapp|notion|trello|drive|sheets?|meeting|scheduler|appointment|mattermost""), ""Productivity &amp; Communication"",
  REGEXMATCH(A390&amp;B390, ""(?i)github|api|webhook|http|mysql|supabase|mongodb|redis|rss|pr|code review|incident|pagerduty|j"&amp;"ira""), ""Development &amp; Utilities"",
  TRUE, ""Others""
)"),"Productivity &amp; Communication")</f>
        <v>Productivity &amp; Communication</v>
      </c>
    </row>
    <row r="391" ht="15.75" customHeight="1">
      <c r="A391" s="14" t="s">
        <v>768</v>
      </c>
      <c r="B391" s="15" t="s">
        <v>769</v>
      </c>
      <c r="C391" s="16" t="s">
        <v>7</v>
      </c>
      <c r="D391" s="12" t="str">
        <f>IFERROR(__xludf.DUMMYFUNCTION("IFS(
  REGEXMATCH(A391&amp;B391, ""(?i)openai|gpt|gemini|anthropic|claude|mistral|cohere|rag|vector|llm|chatbot|ai-powered""), ""AI &amp; LLM"",
  REGEXMATCH(A391&amp;B391, ""(?i)twitter|instagram|facebook|linkedin|youtube|tiktok|threads|bluesky|pinterest|social vid"&amp;"eo|reels?|shorts?""), ""Social Media"",
  REGEXMATCH(A391&amp;B391, ""(?i)hubspot|pipedrive|stripe|shopify|woocommerce|sales|crm|invoice|order|leads?|recruitment|bamboohr|erpnext""), ""CRM &amp; Sales"",
  REGEXMATCH(A391&amp;B391, ""(?i)gmail|outlook|calendar|slack|"&amp;"discord|telegram|whatsapp|notion|trello|drive|sheets?|meeting|scheduler|appointment|mattermost""), ""Productivity &amp; Communication"",
  REGEXMATCH(A391&amp;B391, ""(?i)github|api|webhook|http|mysql|supabase|mongodb|redis|rss|pr|code review|incident|pagerduty|j"&amp;"ira""), ""Development &amp; Utilities"",
  TRUE, ""Others""
)"),"CRM &amp; Sales")</f>
        <v>CRM &amp; Sales</v>
      </c>
    </row>
    <row r="392" ht="15.75" customHeight="1">
      <c r="A392" s="14" t="s">
        <v>770</v>
      </c>
      <c r="B392" s="15" t="s">
        <v>771</v>
      </c>
      <c r="C392" s="16" t="s">
        <v>7</v>
      </c>
      <c r="D392" s="12" t="str">
        <f>IFERROR(__xludf.DUMMYFUNCTION("IFS(
  REGEXMATCH(A392&amp;B392, ""(?i)openai|gpt|gemini|anthropic|claude|mistral|cohere|rag|vector|llm|chatbot|ai-powered""), ""AI &amp; LLM"",
  REGEXMATCH(A392&amp;B392, ""(?i)twitter|instagram|facebook|linkedin|youtube|tiktok|threads|bluesky|pinterest|social vid"&amp;"eo|reels?|shorts?""), ""Social Media"",
  REGEXMATCH(A392&amp;B392, ""(?i)hubspot|pipedrive|stripe|shopify|woocommerce|sales|crm|invoice|order|leads?|recruitment|bamboohr|erpnext""), ""CRM &amp; Sales"",
  REGEXMATCH(A392&amp;B392, ""(?i)gmail|outlook|calendar|slack|"&amp;"discord|telegram|whatsapp|notion|trello|drive|sheets?|meeting|scheduler|appointment|mattermost""), ""Productivity &amp; Communication"",
  REGEXMATCH(A392&amp;B392, ""(?i)github|api|webhook|http|mysql|supabase|mongodb|redis|rss|pr|code review|incident|pagerduty|j"&amp;"ira""), ""Development &amp; Utilities"",
  TRUE, ""Others""
)"),"CRM &amp; Sales")</f>
        <v>CRM &amp; Sales</v>
      </c>
    </row>
    <row r="393" ht="15.75" customHeight="1">
      <c r="A393" s="14" t="s">
        <v>772</v>
      </c>
      <c r="B393" s="15" t="s">
        <v>773</v>
      </c>
      <c r="C393" s="16" t="s">
        <v>7</v>
      </c>
      <c r="D393" s="12" t="str">
        <f>IFERROR(__xludf.DUMMYFUNCTION("IFS(
  REGEXMATCH(A393&amp;B393, ""(?i)openai|gpt|gemini|anthropic|claude|mistral|cohere|rag|vector|llm|chatbot|ai-powered""), ""AI &amp; LLM"",
  REGEXMATCH(A393&amp;B393, ""(?i)twitter|instagram|facebook|linkedin|youtube|tiktok|threads|bluesky|pinterest|social vid"&amp;"eo|reels?|shorts?""), ""Social Media"",
  REGEXMATCH(A393&amp;B393, ""(?i)hubspot|pipedrive|stripe|shopify|woocommerce|sales|crm|invoice|order|leads?|recruitment|bamboohr|erpnext""), ""CRM &amp; Sales"",
  REGEXMATCH(A393&amp;B393, ""(?i)gmail|outlook|calendar|slack|"&amp;"discord|telegram|whatsapp|notion|trello|drive|sheets?|meeting|scheduler|appointment|mattermost""), ""Productivity &amp; Communication"",
  REGEXMATCH(A393&amp;B393, ""(?i)github|api|webhook|http|mysql|supabase|mongodb|redis|rss|pr|code review|incident|pagerduty|j"&amp;"ira""), ""Development &amp; Utilities"",
  TRUE, ""Others""
)"),"Development &amp; Utilities")</f>
        <v>Development &amp; Utilities</v>
      </c>
    </row>
    <row r="394" ht="15.75" customHeight="1">
      <c r="A394" s="14" t="s">
        <v>774</v>
      </c>
      <c r="B394" s="15" t="s">
        <v>775</v>
      </c>
      <c r="C394" s="16" t="s">
        <v>7</v>
      </c>
      <c r="D394" s="12" t="str">
        <f>IFERROR(__xludf.DUMMYFUNCTION("IFS(
  REGEXMATCH(A394&amp;B394, ""(?i)openai|gpt|gemini|anthropic|claude|mistral|cohere|rag|vector|llm|chatbot|ai-powered""), ""AI &amp; LLM"",
  REGEXMATCH(A394&amp;B394, ""(?i)twitter|instagram|facebook|linkedin|youtube|tiktok|threads|bluesky|pinterest|social vid"&amp;"eo|reels?|shorts?""), ""Social Media"",
  REGEXMATCH(A394&amp;B394, ""(?i)hubspot|pipedrive|stripe|shopify|woocommerce|sales|crm|invoice|order|leads?|recruitment|bamboohr|erpnext""), ""CRM &amp; Sales"",
  REGEXMATCH(A394&amp;B394, ""(?i)gmail|outlook|calendar|slack|"&amp;"discord|telegram|whatsapp|notion|trello|drive|sheets?|meeting|scheduler|appointment|mattermost""), ""Productivity &amp; Communication"",
  REGEXMATCH(A394&amp;B394, ""(?i)github|api|webhook|http|mysql|supabase|mongodb|redis|rss|pr|code review|incident|pagerduty|j"&amp;"ira""), ""Development &amp; Utilities"",
  TRUE, ""Others""
)"),"CRM &amp; Sales")</f>
        <v>CRM &amp; Sales</v>
      </c>
    </row>
    <row r="395" ht="15.75" customHeight="1">
      <c r="A395" s="14" t="s">
        <v>776</v>
      </c>
      <c r="B395" s="15" t="s">
        <v>777</v>
      </c>
      <c r="C395" s="16" t="s">
        <v>7</v>
      </c>
      <c r="D395" s="12" t="str">
        <f>IFERROR(__xludf.DUMMYFUNCTION("IFS(
  REGEXMATCH(A395&amp;B395, ""(?i)openai|gpt|gemini|anthropic|claude|mistral|cohere|rag|vector|llm|chatbot|ai-powered""), ""AI &amp; LLM"",
  REGEXMATCH(A395&amp;B395, ""(?i)twitter|instagram|facebook|linkedin|youtube|tiktok|threads|bluesky|pinterest|social vid"&amp;"eo|reels?|shorts?""), ""Social Media"",
  REGEXMATCH(A395&amp;B395, ""(?i)hubspot|pipedrive|stripe|shopify|woocommerce|sales|crm|invoice|order|leads?|recruitment|bamboohr|erpnext""), ""CRM &amp; Sales"",
  REGEXMATCH(A395&amp;B395, ""(?i)gmail|outlook|calendar|slack|"&amp;"discord|telegram|whatsapp|notion|trello|drive|sheets?|meeting|scheduler|appointment|mattermost""), ""Productivity &amp; Communication"",
  REGEXMATCH(A395&amp;B395, ""(?i)github|api|webhook|http|mysql|supabase|mongodb|redis|rss|pr|code review|incident|pagerduty|j"&amp;"ira""), ""Development &amp; Utilities"",
  TRUE, ""Others""
)"),"CRM &amp; Sales")</f>
        <v>CRM &amp; Sales</v>
      </c>
    </row>
    <row r="396" ht="15.75" customHeight="1">
      <c r="A396" s="14" t="s">
        <v>778</v>
      </c>
      <c r="B396" s="15" t="s">
        <v>779</v>
      </c>
      <c r="C396" s="16" t="s">
        <v>7</v>
      </c>
      <c r="D396" s="12" t="str">
        <f>IFERROR(__xludf.DUMMYFUNCTION("IFS(
  REGEXMATCH(A396&amp;B396, ""(?i)openai|gpt|gemini|anthropic|claude|mistral|cohere|rag|vector|llm|chatbot|ai-powered""), ""AI &amp; LLM"",
  REGEXMATCH(A396&amp;B396, ""(?i)twitter|instagram|facebook|linkedin|youtube|tiktok|threads|bluesky|pinterest|social vid"&amp;"eo|reels?|shorts?""), ""Social Media"",
  REGEXMATCH(A396&amp;B396, ""(?i)hubspot|pipedrive|stripe|shopify|woocommerce|sales|crm|invoice|order|leads?|recruitment|bamboohr|erpnext""), ""CRM &amp; Sales"",
  REGEXMATCH(A396&amp;B396, ""(?i)gmail|outlook|calendar|slack|"&amp;"discord|telegram|whatsapp|notion|trello|drive|sheets?|meeting|scheduler|appointment|mattermost""), ""Productivity &amp; Communication"",
  REGEXMATCH(A396&amp;B396, ""(?i)github|api|webhook|http|mysql|supabase|mongodb|redis|rss|pr|code review|incident|pagerduty|j"&amp;"ira""), ""Development &amp; Utilities"",
  TRUE, ""Others""
)"),"Development &amp; Utilities")</f>
        <v>Development &amp; Utilities</v>
      </c>
    </row>
    <row r="397" ht="15.75" customHeight="1">
      <c r="A397" s="14" t="s">
        <v>780</v>
      </c>
      <c r="B397" s="15" t="s">
        <v>781</v>
      </c>
      <c r="C397" s="16" t="s">
        <v>7</v>
      </c>
      <c r="D397" s="12" t="str">
        <f>IFERROR(__xludf.DUMMYFUNCTION("IFS(
  REGEXMATCH(A397&amp;B397, ""(?i)openai|gpt|gemini|anthropic|claude|mistral|cohere|rag|vector|llm|chatbot|ai-powered""), ""AI &amp; LLM"",
  REGEXMATCH(A397&amp;B397, ""(?i)twitter|instagram|facebook|linkedin|youtube|tiktok|threads|bluesky|pinterest|social vid"&amp;"eo|reels?|shorts?""), ""Social Media"",
  REGEXMATCH(A397&amp;B397, ""(?i)hubspot|pipedrive|stripe|shopify|woocommerce|sales|crm|invoice|order|leads?|recruitment|bamboohr|erpnext""), ""CRM &amp; Sales"",
  REGEXMATCH(A397&amp;B397, ""(?i)gmail|outlook|calendar|slack|"&amp;"discord|telegram|whatsapp|notion|trello|drive|sheets?|meeting|scheduler|appointment|mattermost""), ""Productivity &amp; Communication"",
  REGEXMATCH(A397&amp;B397, ""(?i)github|api|webhook|http|mysql|supabase|mongodb|redis|rss|pr|code review|incident|pagerduty|j"&amp;"ira""), ""Development &amp; Utilities"",
  TRUE, ""Others""
)"),"Development &amp; Utilities")</f>
        <v>Development &amp; Utilities</v>
      </c>
    </row>
    <row r="398" ht="15.75" customHeight="1">
      <c r="A398" s="14" t="s">
        <v>782</v>
      </c>
      <c r="B398" s="15" t="s">
        <v>783</v>
      </c>
      <c r="C398" s="16" t="s">
        <v>7</v>
      </c>
      <c r="D398" s="12" t="str">
        <f>IFERROR(__xludf.DUMMYFUNCTION("IFS(
  REGEXMATCH(A398&amp;B398, ""(?i)openai|gpt|gemini|anthropic|claude|mistral|cohere|rag|vector|llm|chatbot|ai-powered""), ""AI &amp; LLM"",
  REGEXMATCH(A398&amp;B398, ""(?i)twitter|instagram|facebook|linkedin|youtube|tiktok|threads|bluesky|pinterest|social vid"&amp;"eo|reels?|shorts?""), ""Social Media"",
  REGEXMATCH(A398&amp;B398, ""(?i)hubspot|pipedrive|stripe|shopify|woocommerce|sales|crm|invoice|order|leads?|recruitment|bamboohr|erpnext""), ""CRM &amp; Sales"",
  REGEXMATCH(A398&amp;B398, ""(?i)gmail|outlook|calendar|slack|"&amp;"discord|telegram|whatsapp|notion|trello|drive|sheets?|meeting|scheduler|appointment|mattermost""), ""Productivity &amp; Communication"",
  REGEXMATCH(A398&amp;B398, ""(?i)github|api|webhook|http|mysql|supabase|mongodb|redis|rss|pr|code review|incident|pagerduty|j"&amp;"ira""), ""Development &amp; Utilities"",
  TRUE, ""Others""
)"),"Productivity &amp; Communication")</f>
        <v>Productivity &amp; Communication</v>
      </c>
    </row>
    <row r="399" ht="15.75" customHeight="1">
      <c r="A399" s="14" t="s">
        <v>784</v>
      </c>
      <c r="B399" s="15" t="s">
        <v>785</v>
      </c>
      <c r="C399" s="16" t="s">
        <v>7</v>
      </c>
      <c r="D399" s="12" t="str">
        <f>IFERROR(__xludf.DUMMYFUNCTION("IFS(
  REGEXMATCH(A399&amp;B399, ""(?i)openai|gpt|gemini|anthropic|claude|mistral|cohere|rag|vector|llm|chatbot|ai-powered""), ""AI &amp; LLM"",
  REGEXMATCH(A399&amp;B399, ""(?i)twitter|instagram|facebook|linkedin|youtube|tiktok|threads|bluesky|pinterest|social vid"&amp;"eo|reels?|shorts?""), ""Social Media"",
  REGEXMATCH(A399&amp;B399, ""(?i)hubspot|pipedrive|stripe|shopify|woocommerce|sales|crm|invoice|order|leads?|recruitment|bamboohr|erpnext""), ""CRM &amp; Sales"",
  REGEXMATCH(A399&amp;B399, ""(?i)gmail|outlook|calendar|slack|"&amp;"discord|telegram|whatsapp|notion|trello|drive|sheets?|meeting|scheduler|appointment|mattermost""), ""Productivity &amp; Communication"",
  REGEXMATCH(A399&amp;B399, ""(?i)github|api|webhook|http|mysql|supabase|mongodb|redis|rss|pr|code review|incident|pagerduty|j"&amp;"ira""), ""Development &amp; Utilities"",
  TRUE, ""Others""
)"),"AI &amp; LLM")</f>
        <v>AI &amp; LLM</v>
      </c>
    </row>
    <row r="400" ht="15.75" customHeight="1">
      <c r="A400" s="14" t="s">
        <v>786</v>
      </c>
      <c r="B400" s="15" t="s">
        <v>787</v>
      </c>
      <c r="C400" s="16" t="s">
        <v>7</v>
      </c>
      <c r="D400" s="12" t="str">
        <f>IFERROR(__xludf.DUMMYFUNCTION("IFS(
  REGEXMATCH(A400&amp;B400, ""(?i)openai|gpt|gemini|anthropic|claude|mistral|cohere|rag|vector|llm|chatbot|ai-powered""), ""AI &amp; LLM"",
  REGEXMATCH(A400&amp;B400, ""(?i)twitter|instagram|facebook|linkedin|youtube|tiktok|threads|bluesky|pinterest|social vid"&amp;"eo|reels?|shorts?""), ""Social Media"",
  REGEXMATCH(A400&amp;B400, ""(?i)hubspot|pipedrive|stripe|shopify|woocommerce|sales|crm|invoice|order|leads?|recruitment|bamboohr|erpnext""), ""CRM &amp; Sales"",
  REGEXMATCH(A400&amp;B400, ""(?i)gmail|outlook|calendar|slack|"&amp;"discord|telegram|whatsapp|notion|trello|drive|sheets?|meeting|scheduler|appointment|mattermost""), ""Productivity &amp; Communication"",
  REGEXMATCH(A400&amp;B400, ""(?i)github|api|webhook|http|mysql|supabase|mongodb|redis|rss|pr|code review|incident|pagerduty|j"&amp;"ira""), ""Development &amp; Utilities"",
  TRUE, ""Others""
)"),"Development &amp; Utilities")</f>
        <v>Development &amp; Utilities</v>
      </c>
    </row>
    <row r="401" ht="15.75" customHeight="1">
      <c r="A401" s="14" t="s">
        <v>788</v>
      </c>
      <c r="B401" s="15" t="s">
        <v>789</v>
      </c>
      <c r="C401" s="16" t="s">
        <v>7</v>
      </c>
      <c r="D401" s="12" t="str">
        <f>IFERROR(__xludf.DUMMYFUNCTION("IFS(
  REGEXMATCH(A401&amp;B401, ""(?i)openai|gpt|gemini|anthropic|claude|mistral|cohere|rag|vector|llm|chatbot|ai-powered""), ""AI &amp; LLM"",
  REGEXMATCH(A401&amp;B401, ""(?i)twitter|instagram|facebook|linkedin|youtube|tiktok|threads|bluesky|pinterest|social vid"&amp;"eo|reels?|shorts?""), ""Social Media"",
  REGEXMATCH(A401&amp;B401, ""(?i)hubspot|pipedrive|stripe|shopify|woocommerce|sales|crm|invoice|order|leads?|recruitment|bamboohr|erpnext""), ""CRM &amp; Sales"",
  REGEXMATCH(A401&amp;B401, ""(?i)gmail|outlook|calendar|slack|"&amp;"discord|telegram|whatsapp|notion|trello|drive|sheets?|meeting|scheduler|appointment|mattermost""), ""Productivity &amp; Communication"",
  REGEXMATCH(A401&amp;B401, ""(?i)github|api|webhook|http|mysql|supabase|mongodb|redis|rss|pr|code review|incident|pagerduty|j"&amp;"ira""), ""Development &amp; Utilities"",
  TRUE, ""Others""
)"),"Productivity &amp; Communication")</f>
        <v>Productivity &amp; Communication</v>
      </c>
    </row>
    <row r="402" ht="15.75" customHeight="1">
      <c r="A402" s="14" t="s">
        <v>790</v>
      </c>
      <c r="B402" s="15" t="s">
        <v>791</v>
      </c>
      <c r="C402" s="16" t="s">
        <v>7</v>
      </c>
      <c r="D402" s="12" t="str">
        <f>IFERROR(__xludf.DUMMYFUNCTION("IFS(
  REGEXMATCH(A402&amp;B402, ""(?i)openai|gpt|gemini|anthropic|claude|mistral|cohere|rag|vector|llm|chatbot|ai-powered""), ""AI &amp; LLM"",
  REGEXMATCH(A402&amp;B402, ""(?i)twitter|instagram|facebook|linkedin|youtube|tiktok|threads|bluesky|pinterest|social vid"&amp;"eo|reels?|shorts?""), ""Social Media"",
  REGEXMATCH(A402&amp;B402, ""(?i)hubspot|pipedrive|stripe|shopify|woocommerce|sales|crm|invoice|order|leads?|recruitment|bamboohr|erpnext""), ""CRM &amp; Sales"",
  REGEXMATCH(A402&amp;B402, ""(?i)gmail|outlook|calendar|slack|"&amp;"discord|telegram|whatsapp|notion|trello|drive|sheets?|meeting|scheduler|appointment|mattermost""), ""Productivity &amp; Communication"",
  REGEXMATCH(A402&amp;B402, ""(?i)github|api|webhook|http|mysql|supabase|mongodb|redis|rss|pr|code review|incident|pagerduty|j"&amp;"ira""), ""Development &amp; Utilities"",
  TRUE, ""Others""
)"),"Productivity &amp; Communication")</f>
        <v>Productivity &amp; Communication</v>
      </c>
    </row>
    <row r="403" ht="15.75" customHeight="1">
      <c r="A403" s="14" t="s">
        <v>792</v>
      </c>
      <c r="B403" s="15" t="s">
        <v>793</v>
      </c>
      <c r="C403" s="16" t="s">
        <v>7</v>
      </c>
      <c r="D403" s="12" t="str">
        <f>IFERROR(__xludf.DUMMYFUNCTION("IFS(
  REGEXMATCH(A403&amp;B403, ""(?i)openai|gpt|gemini|anthropic|claude|mistral|cohere|rag|vector|llm|chatbot|ai-powered""), ""AI &amp; LLM"",
  REGEXMATCH(A403&amp;B403, ""(?i)twitter|instagram|facebook|linkedin|youtube|tiktok|threads|bluesky|pinterest|social vid"&amp;"eo|reels?|shorts?""), ""Social Media"",
  REGEXMATCH(A403&amp;B403, ""(?i)hubspot|pipedrive|stripe|shopify|woocommerce|sales|crm|invoice|order|leads?|recruitment|bamboohr|erpnext""), ""CRM &amp; Sales"",
  REGEXMATCH(A403&amp;B403, ""(?i)gmail|outlook|calendar|slack|"&amp;"discord|telegram|whatsapp|notion|trello|drive|sheets?|meeting|scheduler|appointment|mattermost""), ""Productivity &amp; Communication"",
  REGEXMATCH(A403&amp;B403, ""(?i)github|api|webhook|http|mysql|supabase|mongodb|redis|rss|pr|code review|incident|pagerduty|j"&amp;"ira""), ""Development &amp; Utilities"",
  TRUE, ""Others""
)"),"CRM &amp; Sales")</f>
        <v>CRM &amp; Sales</v>
      </c>
    </row>
    <row r="404" ht="15.75" customHeight="1">
      <c r="A404" s="14" t="s">
        <v>794</v>
      </c>
      <c r="B404" s="15" t="s">
        <v>795</v>
      </c>
      <c r="C404" s="16" t="s">
        <v>7</v>
      </c>
      <c r="D404" s="12" t="str">
        <f>IFERROR(__xludf.DUMMYFUNCTION("IFS(
  REGEXMATCH(A404&amp;B404, ""(?i)openai|gpt|gemini|anthropic|claude|mistral|cohere|rag|vector|llm|chatbot|ai-powered""), ""AI &amp; LLM"",
  REGEXMATCH(A404&amp;B404, ""(?i)twitter|instagram|facebook|linkedin|youtube|tiktok|threads|bluesky|pinterest|social vid"&amp;"eo|reels?|shorts?""), ""Social Media"",
  REGEXMATCH(A404&amp;B404, ""(?i)hubspot|pipedrive|stripe|shopify|woocommerce|sales|crm|invoice|order|leads?|recruitment|bamboohr|erpnext""), ""CRM &amp; Sales"",
  REGEXMATCH(A404&amp;B404, ""(?i)gmail|outlook|calendar|slack|"&amp;"discord|telegram|whatsapp|notion|trello|drive|sheets?|meeting|scheduler|appointment|mattermost""), ""Productivity &amp; Communication"",
  REGEXMATCH(A404&amp;B404, ""(?i)github|api|webhook|http|mysql|supabase|mongodb|redis|rss|pr|code review|incident|pagerduty|j"&amp;"ira""), ""Development &amp; Utilities"",
  TRUE, ""Others""
)"),"Productivity &amp; Communication")</f>
        <v>Productivity &amp; Communication</v>
      </c>
    </row>
    <row r="405" ht="15.75" customHeight="1">
      <c r="A405" s="14" t="s">
        <v>796</v>
      </c>
      <c r="B405" s="15" t="s">
        <v>797</v>
      </c>
      <c r="C405" s="16" t="s">
        <v>7</v>
      </c>
      <c r="D405" s="12" t="str">
        <f>IFERROR(__xludf.DUMMYFUNCTION("IFS(
  REGEXMATCH(A405&amp;B405, ""(?i)openai|gpt|gemini|anthropic|claude|mistral|cohere|rag|vector|llm|chatbot|ai-powered""), ""AI &amp; LLM"",
  REGEXMATCH(A405&amp;B405, ""(?i)twitter|instagram|facebook|linkedin|youtube|tiktok|threads|bluesky|pinterest|social vid"&amp;"eo|reels?|shorts?""), ""Social Media"",
  REGEXMATCH(A405&amp;B405, ""(?i)hubspot|pipedrive|stripe|shopify|woocommerce|sales|crm|invoice|order|leads?|recruitment|bamboohr|erpnext""), ""CRM &amp; Sales"",
  REGEXMATCH(A405&amp;B405, ""(?i)gmail|outlook|calendar|slack|"&amp;"discord|telegram|whatsapp|notion|trello|drive|sheets?|meeting|scheduler|appointment|mattermost""), ""Productivity &amp; Communication"",
  REGEXMATCH(A405&amp;B405, ""(?i)github|api|webhook|http|mysql|supabase|mongodb|redis|rss|pr|code review|incident|pagerduty|j"&amp;"ira""), ""Development &amp; Utilities"",
  TRUE, ""Others""
)"),"Productivity &amp; Communication")</f>
        <v>Productivity &amp; Communication</v>
      </c>
    </row>
    <row r="406" ht="15.75" customHeight="1">
      <c r="A406" s="14" t="s">
        <v>798</v>
      </c>
      <c r="B406" s="15" t="s">
        <v>799</v>
      </c>
      <c r="C406" s="16" t="s">
        <v>7</v>
      </c>
      <c r="D406" s="12" t="str">
        <f>IFERROR(__xludf.DUMMYFUNCTION("IFS(
  REGEXMATCH(A406&amp;B406, ""(?i)openai|gpt|gemini|anthropic|claude|mistral|cohere|rag|vector|llm|chatbot|ai-powered""), ""AI &amp; LLM"",
  REGEXMATCH(A406&amp;B406, ""(?i)twitter|instagram|facebook|linkedin|youtube|tiktok|threads|bluesky|pinterest|social vid"&amp;"eo|reels?|shorts?""), ""Social Media"",
  REGEXMATCH(A406&amp;B406, ""(?i)hubspot|pipedrive|stripe|shopify|woocommerce|sales|crm|invoice|order|leads?|recruitment|bamboohr|erpnext""), ""CRM &amp; Sales"",
  REGEXMATCH(A406&amp;B406, ""(?i)gmail|outlook|calendar|slack|"&amp;"discord|telegram|whatsapp|notion|trello|drive|sheets?|meeting|scheduler|appointment|mattermost""), ""Productivity &amp; Communication"",
  REGEXMATCH(A406&amp;B406, ""(?i)github|api|webhook|http|mysql|supabase|mongodb|redis|rss|pr|code review|incident|pagerduty|j"&amp;"ira""), ""Development &amp; Utilities"",
  TRUE, ""Others""
)"),"CRM &amp; Sales")</f>
        <v>CRM &amp; Sales</v>
      </c>
    </row>
    <row r="407" ht="15.75" customHeight="1">
      <c r="A407" s="14" t="s">
        <v>800</v>
      </c>
      <c r="B407" s="15" t="s">
        <v>801</v>
      </c>
      <c r="C407" s="16" t="s">
        <v>7</v>
      </c>
      <c r="D407" s="12" t="str">
        <f>IFERROR(__xludf.DUMMYFUNCTION("IFS(
  REGEXMATCH(A407&amp;B407, ""(?i)openai|gpt|gemini|anthropic|claude|mistral|cohere|rag|vector|llm|chatbot|ai-powered""), ""AI &amp; LLM"",
  REGEXMATCH(A407&amp;B407, ""(?i)twitter|instagram|facebook|linkedin|youtube|tiktok|threads|bluesky|pinterest|social vid"&amp;"eo|reels?|shorts?""), ""Social Media"",
  REGEXMATCH(A407&amp;B407, ""(?i)hubspot|pipedrive|stripe|shopify|woocommerce|sales|crm|invoice|order|leads?|recruitment|bamboohr|erpnext""), ""CRM &amp; Sales"",
  REGEXMATCH(A407&amp;B407, ""(?i)gmail|outlook|calendar|slack|"&amp;"discord|telegram|whatsapp|notion|trello|drive|sheets?|meeting|scheduler|appointment|mattermost""), ""Productivity &amp; Communication"",
  REGEXMATCH(A407&amp;B407, ""(?i)github|api|webhook|http|mysql|supabase|mongodb|redis|rss|pr|code review|incident|pagerduty|j"&amp;"ira""), ""Development &amp; Utilities"",
  TRUE, ""Others""
)"),"CRM &amp; Sales")</f>
        <v>CRM &amp; Sales</v>
      </c>
    </row>
    <row r="408" ht="15.75" customHeight="1">
      <c r="A408" s="14" t="s">
        <v>802</v>
      </c>
      <c r="B408" s="15" t="s">
        <v>803</v>
      </c>
      <c r="C408" s="16" t="s">
        <v>7</v>
      </c>
      <c r="D408" s="12" t="str">
        <f>IFERROR(__xludf.DUMMYFUNCTION("IFS(
  REGEXMATCH(A408&amp;B408, ""(?i)openai|gpt|gemini|anthropic|claude|mistral|cohere|rag|vector|llm|chatbot|ai-powered""), ""AI &amp; LLM"",
  REGEXMATCH(A408&amp;B408, ""(?i)twitter|instagram|facebook|linkedin|youtube|tiktok|threads|bluesky|pinterest|social vid"&amp;"eo|reels?|shorts?""), ""Social Media"",
  REGEXMATCH(A408&amp;B408, ""(?i)hubspot|pipedrive|stripe|shopify|woocommerce|sales|crm|invoice|order|leads?|recruitment|bamboohr|erpnext""), ""CRM &amp; Sales"",
  REGEXMATCH(A408&amp;B408, ""(?i)gmail|outlook|calendar|slack|"&amp;"discord|telegram|whatsapp|notion|trello|drive|sheets?|meeting|scheduler|appointment|mattermost""), ""Productivity &amp; Communication"",
  REGEXMATCH(A408&amp;B408, ""(?i)github|api|webhook|http|mysql|supabase|mongodb|redis|rss|pr|code review|incident|pagerduty|j"&amp;"ira""), ""Development &amp; Utilities"",
  TRUE, ""Others""
)"),"CRM &amp; Sales")</f>
        <v>CRM &amp; Sales</v>
      </c>
    </row>
    <row r="409" ht="15.75" customHeight="1">
      <c r="A409" s="14" t="s">
        <v>804</v>
      </c>
      <c r="B409" s="15" t="s">
        <v>805</v>
      </c>
      <c r="C409" s="16" t="s">
        <v>7</v>
      </c>
      <c r="D409" s="12" t="str">
        <f>IFERROR(__xludf.DUMMYFUNCTION("IFS(
  REGEXMATCH(A409&amp;B409, ""(?i)openai|gpt|gemini|anthropic|claude|mistral|cohere|rag|vector|llm|chatbot|ai-powered""), ""AI &amp; LLM"",
  REGEXMATCH(A409&amp;B409, ""(?i)twitter|instagram|facebook|linkedin|youtube|tiktok|threads|bluesky|pinterest|social vid"&amp;"eo|reels?|shorts?""), ""Social Media"",
  REGEXMATCH(A409&amp;B409, ""(?i)hubspot|pipedrive|stripe|shopify|woocommerce|sales|crm|invoice|order|leads?|recruitment|bamboohr|erpnext""), ""CRM &amp; Sales"",
  REGEXMATCH(A409&amp;B409, ""(?i)gmail|outlook|calendar|slack|"&amp;"discord|telegram|whatsapp|notion|trello|drive|sheets?|meeting|scheduler|appointment|mattermost""), ""Productivity &amp; Communication"",
  REGEXMATCH(A409&amp;B409, ""(?i)github|api|webhook|http|mysql|supabase|mongodb|redis|rss|pr|code review|incident|pagerduty|j"&amp;"ira""), ""Development &amp; Utilities"",
  TRUE, ""Others""
)"),"CRM &amp; Sales")</f>
        <v>CRM &amp; Sales</v>
      </c>
    </row>
    <row r="410" ht="15.75" customHeight="1">
      <c r="A410" s="14" t="s">
        <v>806</v>
      </c>
      <c r="B410" s="15" t="s">
        <v>807</v>
      </c>
      <c r="C410" s="16" t="s">
        <v>7</v>
      </c>
      <c r="D410" s="12" t="str">
        <f>IFERROR(__xludf.DUMMYFUNCTION("IFS(
  REGEXMATCH(A410&amp;B410, ""(?i)openai|gpt|gemini|anthropic|claude|mistral|cohere|rag|vector|llm|chatbot|ai-powered""), ""AI &amp; LLM"",
  REGEXMATCH(A410&amp;B410, ""(?i)twitter|instagram|facebook|linkedin|youtube|tiktok|threads|bluesky|pinterest|social vid"&amp;"eo|reels?|shorts?""), ""Social Media"",
  REGEXMATCH(A410&amp;B410, ""(?i)hubspot|pipedrive|stripe|shopify|woocommerce|sales|crm|invoice|order|leads?|recruitment|bamboohr|erpnext""), ""CRM &amp; Sales"",
  REGEXMATCH(A410&amp;B410, ""(?i)gmail|outlook|calendar|slack|"&amp;"discord|telegram|whatsapp|notion|trello|drive|sheets?|meeting|scheduler|appointment|mattermost""), ""Productivity &amp; Communication"",
  REGEXMATCH(A410&amp;B410, ""(?i)github|api|webhook|http|mysql|supabase|mongodb|redis|rss|pr|code review|incident|pagerduty|j"&amp;"ira""), ""Development &amp; Utilities"",
  TRUE, ""Others""
)"),"Productivity &amp; Communication")</f>
        <v>Productivity &amp; Communication</v>
      </c>
    </row>
    <row r="411" ht="15.75" customHeight="1">
      <c r="A411" s="14" t="s">
        <v>808</v>
      </c>
      <c r="B411" s="15" t="s">
        <v>809</v>
      </c>
      <c r="C411" s="16" t="s">
        <v>7</v>
      </c>
      <c r="D411" s="12" t="str">
        <f>IFERROR(__xludf.DUMMYFUNCTION("IFS(
  REGEXMATCH(A411&amp;B411, ""(?i)openai|gpt|gemini|anthropic|claude|mistral|cohere|rag|vector|llm|chatbot|ai-powered""), ""AI &amp; LLM"",
  REGEXMATCH(A411&amp;B411, ""(?i)twitter|instagram|facebook|linkedin|youtube|tiktok|threads|bluesky|pinterest|social vid"&amp;"eo|reels?|shorts?""), ""Social Media"",
  REGEXMATCH(A411&amp;B411, ""(?i)hubspot|pipedrive|stripe|shopify|woocommerce|sales|crm|invoice|order|leads?|recruitment|bamboohr|erpnext""), ""CRM &amp; Sales"",
  REGEXMATCH(A411&amp;B411, ""(?i)gmail|outlook|calendar|slack|"&amp;"discord|telegram|whatsapp|notion|trello|drive|sheets?|meeting|scheduler|appointment|mattermost""), ""Productivity &amp; Communication"",
  REGEXMATCH(A411&amp;B411, ""(?i)github|api|webhook|http|mysql|supabase|mongodb|redis|rss|pr|code review|incident|pagerduty|j"&amp;"ira""), ""Development &amp; Utilities"",
  TRUE, ""Others""
)"),"Productivity &amp; Communication")</f>
        <v>Productivity &amp; Communication</v>
      </c>
    </row>
    <row r="412" ht="15.75" customHeight="1">
      <c r="A412" s="14" t="s">
        <v>810</v>
      </c>
      <c r="B412" s="15" t="s">
        <v>811</v>
      </c>
      <c r="C412" s="16" t="s">
        <v>7</v>
      </c>
      <c r="D412" s="12" t="str">
        <f>IFERROR(__xludf.DUMMYFUNCTION("IFS(
  REGEXMATCH(A412&amp;B412, ""(?i)openai|gpt|gemini|anthropic|claude|mistral|cohere|rag|vector|llm|chatbot|ai-powered""), ""AI &amp; LLM"",
  REGEXMATCH(A412&amp;B412, ""(?i)twitter|instagram|facebook|linkedin|youtube|tiktok|threads|bluesky|pinterest|social vid"&amp;"eo|reels?|shorts?""), ""Social Media"",
  REGEXMATCH(A412&amp;B412, ""(?i)hubspot|pipedrive|stripe|shopify|woocommerce|sales|crm|invoice|order|leads?|recruitment|bamboohr|erpnext""), ""CRM &amp; Sales"",
  REGEXMATCH(A412&amp;B412, ""(?i)gmail|outlook|calendar|slack|"&amp;"discord|telegram|whatsapp|notion|trello|drive|sheets?|meeting|scheduler|appointment|mattermost""), ""Productivity &amp; Communication"",
  REGEXMATCH(A412&amp;B412, ""(?i)github|api|webhook|http|mysql|supabase|mongodb|redis|rss|pr|code review|incident|pagerduty|j"&amp;"ira""), ""Development &amp; Utilities"",
  TRUE, ""Others""
)"),"AI &amp; LLM")</f>
        <v>AI &amp; LLM</v>
      </c>
    </row>
    <row r="413" ht="15.75" customHeight="1">
      <c r="A413" s="14" t="s">
        <v>812</v>
      </c>
      <c r="B413" s="15" t="s">
        <v>813</v>
      </c>
      <c r="C413" s="16" t="s">
        <v>7</v>
      </c>
      <c r="D413" s="12" t="str">
        <f>IFERROR(__xludf.DUMMYFUNCTION("IFS(
  REGEXMATCH(A413&amp;B413, ""(?i)openai|gpt|gemini|anthropic|claude|mistral|cohere|rag|vector|llm|chatbot|ai-powered""), ""AI &amp; LLM"",
  REGEXMATCH(A413&amp;B413, ""(?i)twitter|instagram|facebook|linkedin|youtube|tiktok|threads|bluesky|pinterest|social vid"&amp;"eo|reels?|shorts?""), ""Social Media"",
  REGEXMATCH(A413&amp;B413, ""(?i)hubspot|pipedrive|stripe|shopify|woocommerce|sales|crm|invoice|order|leads?|recruitment|bamboohr|erpnext""), ""CRM &amp; Sales"",
  REGEXMATCH(A413&amp;B413, ""(?i)gmail|outlook|calendar|slack|"&amp;"discord|telegram|whatsapp|notion|trello|drive|sheets?|meeting|scheduler|appointment|mattermost""), ""Productivity &amp; Communication"",
  REGEXMATCH(A413&amp;B413, ""(?i)github|api|webhook|http|mysql|supabase|mongodb|redis|rss|pr|code review|incident|pagerduty|j"&amp;"ira""), ""Development &amp; Utilities"",
  TRUE, ""Others""
)"),"Productivity &amp; Communication")</f>
        <v>Productivity &amp; Communication</v>
      </c>
    </row>
    <row r="414" ht="15.75" customHeight="1">
      <c r="A414" s="14" t="s">
        <v>814</v>
      </c>
      <c r="B414" s="15" t="s">
        <v>815</v>
      </c>
      <c r="C414" s="16" t="s">
        <v>7</v>
      </c>
      <c r="D414" s="12" t="str">
        <f>IFERROR(__xludf.DUMMYFUNCTION("IFS(
  REGEXMATCH(A414&amp;B414, ""(?i)openai|gpt|gemini|anthropic|claude|mistral|cohere|rag|vector|llm|chatbot|ai-powered""), ""AI &amp; LLM"",
  REGEXMATCH(A414&amp;B414, ""(?i)twitter|instagram|facebook|linkedin|youtube|tiktok|threads|bluesky|pinterest|social vid"&amp;"eo|reels?|shorts?""), ""Social Media"",
  REGEXMATCH(A414&amp;B414, ""(?i)hubspot|pipedrive|stripe|shopify|woocommerce|sales|crm|invoice|order|leads?|recruitment|bamboohr|erpnext""), ""CRM &amp; Sales"",
  REGEXMATCH(A414&amp;B414, ""(?i)gmail|outlook|calendar|slack|"&amp;"discord|telegram|whatsapp|notion|trello|drive|sheets?|meeting|scheduler|appointment|mattermost""), ""Productivity &amp; Communication"",
  REGEXMATCH(A414&amp;B414, ""(?i)github|api|webhook|http|mysql|supabase|mongodb|redis|rss|pr|code review|incident|pagerduty|j"&amp;"ira""), ""Development &amp; Utilities"",
  TRUE, ""Others""
)"),"Productivity &amp; Communication")</f>
        <v>Productivity &amp; Communication</v>
      </c>
    </row>
    <row r="415" ht="15.75" customHeight="1">
      <c r="A415" s="14" t="s">
        <v>816</v>
      </c>
      <c r="B415" s="15" t="s">
        <v>817</v>
      </c>
      <c r="C415" s="16" t="s">
        <v>7</v>
      </c>
      <c r="D415" s="12" t="str">
        <f>IFERROR(__xludf.DUMMYFUNCTION("IFS(
  REGEXMATCH(A415&amp;B415, ""(?i)openai|gpt|gemini|anthropic|claude|mistral|cohere|rag|vector|llm|chatbot|ai-powered""), ""AI &amp; LLM"",
  REGEXMATCH(A415&amp;B415, ""(?i)twitter|instagram|facebook|linkedin|youtube|tiktok|threads|bluesky|pinterest|social vid"&amp;"eo|reels?|shorts?""), ""Social Media"",
  REGEXMATCH(A415&amp;B415, ""(?i)hubspot|pipedrive|stripe|shopify|woocommerce|sales|crm|invoice|order|leads?|recruitment|bamboohr|erpnext""), ""CRM &amp; Sales"",
  REGEXMATCH(A415&amp;B415, ""(?i)gmail|outlook|calendar|slack|"&amp;"discord|telegram|whatsapp|notion|trello|drive|sheets?|meeting|scheduler|appointment|mattermost""), ""Productivity &amp; Communication"",
  REGEXMATCH(A415&amp;B415, ""(?i)github|api|webhook|http|mysql|supabase|mongodb|redis|rss|pr|code review|incident|pagerduty|j"&amp;"ira""), ""Development &amp; Utilities"",
  TRUE, ""Others""
)"),"Productivity &amp; Communication")</f>
        <v>Productivity &amp; Communication</v>
      </c>
    </row>
    <row r="416" ht="15.75" customHeight="1">
      <c r="A416" s="14" t="s">
        <v>818</v>
      </c>
      <c r="B416" s="15" t="s">
        <v>819</v>
      </c>
      <c r="C416" s="16" t="s">
        <v>7</v>
      </c>
      <c r="D416" s="12" t="str">
        <f>IFERROR(__xludf.DUMMYFUNCTION("IFS(
  REGEXMATCH(A416&amp;B416, ""(?i)openai|gpt|gemini|anthropic|claude|mistral|cohere|rag|vector|llm|chatbot|ai-powered""), ""AI &amp; LLM"",
  REGEXMATCH(A416&amp;B416, ""(?i)twitter|instagram|facebook|linkedin|youtube|tiktok|threads|bluesky|pinterest|social vid"&amp;"eo|reels?|shorts?""), ""Social Media"",
  REGEXMATCH(A416&amp;B416, ""(?i)hubspot|pipedrive|stripe|shopify|woocommerce|sales|crm|invoice|order|leads?|recruitment|bamboohr|erpnext""), ""CRM &amp; Sales"",
  REGEXMATCH(A416&amp;B416, ""(?i)gmail|outlook|calendar|slack|"&amp;"discord|telegram|whatsapp|notion|trello|drive|sheets?|meeting|scheduler|appointment|mattermost""), ""Productivity &amp; Communication"",
  REGEXMATCH(A416&amp;B416, ""(?i)github|api|webhook|http|mysql|supabase|mongodb|redis|rss|pr|code review|incident|pagerduty|j"&amp;"ira""), ""Development &amp; Utilities"",
  TRUE, ""Others""
)"),"Productivity &amp; Communication")</f>
        <v>Productivity &amp; Communication</v>
      </c>
    </row>
    <row r="417" ht="15.75" customHeight="1">
      <c r="A417" s="14" t="s">
        <v>820</v>
      </c>
      <c r="B417" s="15" t="s">
        <v>821</v>
      </c>
      <c r="C417" s="16" t="s">
        <v>7</v>
      </c>
      <c r="D417" s="12" t="str">
        <f>IFERROR(__xludf.DUMMYFUNCTION("IFS(
  REGEXMATCH(A417&amp;B417, ""(?i)openai|gpt|gemini|anthropic|claude|mistral|cohere|rag|vector|llm|chatbot|ai-powered""), ""AI &amp; LLM"",
  REGEXMATCH(A417&amp;B417, ""(?i)twitter|instagram|facebook|linkedin|youtube|tiktok|threads|bluesky|pinterest|social vid"&amp;"eo|reels?|shorts?""), ""Social Media"",
  REGEXMATCH(A417&amp;B417, ""(?i)hubspot|pipedrive|stripe|shopify|woocommerce|sales|crm|invoice|order|leads?|recruitment|bamboohr|erpnext""), ""CRM &amp; Sales"",
  REGEXMATCH(A417&amp;B417, ""(?i)gmail|outlook|calendar|slack|"&amp;"discord|telegram|whatsapp|notion|trello|drive|sheets?|meeting|scheduler|appointment|mattermost""), ""Productivity &amp; Communication"",
  REGEXMATCH(A417&amp;B417, ""(?i)github|api|webhook|http|mysql|supabase|mongodb|redis|rss|pr|code review|incident|pagerduty|j"&amp;"ira""), ""Development &amp; Utilities"",
  TRUE, ""Others""
)"),"Development &amp; Utilities")</f>
        <v>Development &amp; Utilities</v>
      </c>
    </row>
    <row r="418" ht="15.75" customHeight="1">
      <c r="A418" s="14" t="s">
        <v>822</v>
      </c>
      <c r="B418" s="15" t="s">
        <v>823</v>
      </c>
      <c r="C418" s="16" t="s">
        <v>7</v>
      </c>
      <c r="D418" s="12" t="str">
        <f>IFERROR(__xludf.DUMMYFUNCTION("IFS(
  REGEXMATCH(A418&amp;B418, ""(?i)openai|gpt|gemini|anthropic|claude|mistral|cohere|rag|vector|llm|chatbot|ai-powered""), ""AI &amp; LLM"",
  REGEXMATCH(A418&amp;B418, ""(?i)twitter|instagram|facebook|linkedin|youtube|tiktok|threads|bluesky|pinterest|social vid"&amp;"eo|reels?|shorts?""), ""Social Media"",
  REGEXMATCH(A418&amp;B418, ""(?i)hubspot|pipedrive|stripe|shopify|woocommerce|sales|crm|invoice|order|leads?|recruitment|bamboohr|erpnext""), ""CRM &amp; Sales"",
  REGEXMATCH(A418&amp;B418, ""(?i)gmail|outlook|calendar|slack|"&amp;"discord|telegram|whatsapp|notion|trello|drive|sheets?|meeting|scheduler|appointment|mattermost""), ""Productivity &amp; Communication"",
  REGEXMATCH(A418&amp;B418, ""(?i)github|api|webhook|http|mysql|supabase|mongodb|redis|rss|pr|code review|incident|pagerduty|j"&amp;"ira""), ""Development &amp; Utilities"",
  TRUE, ""Others""
)"),"AI &amp; LLM")</f>
        <v>AI &amp; LLM</v>
      </c>
    </row>
    <row r="419" ht="15.75" customHeight="1">
      <c r="A419" s="14" t="s">
        <v>824</v>
      </c>
      <c r="B419" s="15" t="s">
        <v>825</v>
      </c>
      <c r="C419" s="16" t="s">
        <v>7</v>
      </c>
      <c r="D419" s="12" t="str">
        <f>IFERROR(__xludf.DUMMYFUNCTION("IFS(
  REGEXMATCH(A419&amp;B419, ""(?i)openai|gpt|gemini|anthropic|claude|mistral|cohere|rag|vector|llm|chatbot|ai-powered""), ""AI &amp; LLM"",
  REGEXMATCH(A419&amp;B419, ""(?i)twitter|instagram|facebook|linkedin|youtube|tiktok|threads|bluesky|pinterest|social vid"&amp;"eo|reels?|shorts?""), ""Social Media"",
  REGEXMATCH(A419&amp;B419, ""(?i)hubspot|pipedrive|stripe|shopify|woocommerce|sales|crm|invoice|order|leads?|recruitment|bamboohr|erpnext""), ""CRM &amp; Sales"",
  REGEXMATCH(A419&amp;B419, ""(?i)gmail|outlook|calendar|slack|"&amp;"discord|telegram|whatsapp|notion|trello|drive|sheets?|meeting|scheduler|appointment|mattermost""), ""Productivity &amp; Communication"",
  REGEXMATCH(A419&amp;B419, ""(?i)github|api|webhook|http|mysql|supabase|mongodb|redis|rss|pr|code review|incident|pagerduty|j"&amp;"ira""), ""Development &amp; Utilities"",
  TRUE, ""Others""
)"),"CRM &amp; Sales")</f>
        <v>CRM &amp; Sales</v>
      </c>
    </row>
    <row r="420" ht="15.75" customHeight="1">
      <c r="A420" s="14" t="s">
        <v>826</v>
      </c>
      <c r="B420" s="15" t="s">
        <v>827</v>
      </c>
      <c r="C420" s="16" t="s">
        <v>7</v>
      </c>
      <c r="D420" s="12" t="str">
        <f>IFERROR(__xludf.DUMMYFUNCTION("IFS(
  REGEXMATCH(A420&amp;B420, ""(?i)openai|gpt|gemini|anthropic|claude|mistral|cohere|rag|vector|llm|chatbot|ai-powered""), ""AI &amp; LLM"",
  REGEXMATCH(A420&amp;B420, ""(?i)twitter|instagram|facebook|linkedin|youtube|tiktok|threads|bluesky|pinterest|social vid"&amp;"eo|reels?|shorts?""), ""Social Media"",
  REGEXMATCH(A420&amp;B420, ""(?i)hubspot|pipedrive|stripe|shopify|woocommerce|sales|crm|invoice|order|leads?|recruitment|bamboohr|erpnext""), ""CRM &amp; Sales"",
  REGEXMATCH(A420&amp;B420, ""(?i)gmail|outlook|calendar|slack|"&amp;"discord|telegram|whatsapp|notion|trello|drive|sheets?|meeting|scheduler|appointment|mattermost""), ""Productivity &amp; Communication"",
  REGEXMATCH(A420&amp;B420, ""(?i)github|api|webhook|http|mysql|supabase|mongodb|redis|rss|pr|code review|incident|pagerduty|j"&amp;"ira""), ""Development &amp; Utilities"",
  TRUE, ""Others""
)"),"Productivity &amp; Communication")</f>
        <v>Productivity &amp; Communication</v>
      </c>
    </row>
    <row r="421" ht="15.75" customHeight="1">
      <c r="A421" s="14" t="s">
        <v>828</v>
      </c>
      <c r="B421" s="15" t="s">
        <v>829</v>
      </c>
      <c r="C421" s="16" t="s">
        <v>7</v>
      </c>
      <c r="D421" s="12" t="str">
        <f>IFERROR(__xludf.DUMMYFUNCTION("IFS(
  REGEXMATCH(A421&amp;B421, ""(?i)openai|gpt|gemini|anthropic|claude|mistral|cohere|rag|vector|llm|chatbot|ai-powered""), ""AI &amp; LLM"",
  REGEXMATCH(A421&amp;B421, ""(?i)twitter|instagram|facebook|linkedin|youtube|tiktok|threads|bluesky|pinterest|social vid"&amp;"eo|reels?|shorts?""), ""Social Media"",
  REGEXMATCH(A421&amp;B421, ""(?i)hubspot|pipedrive|stripe|shopify|woocommerce|sales|crm|invoice|order|leads?|recruitment|bamboohr|erpnext""), ""CRM &amp; Sales"",
  REGEXMATCH(A421&amp;B421, ""(?i)gmail|outlook|calendar|slack|"&amp;"discord|telegram|whatsapp|notion|trello|drive|sheets?|meeting|scheduler|appointment|mattermost""), ""Productivity &amp; Communication"",
  REGEXMATCH(A421&amp;B421, ""(?i)github|api|webhook|http|mysql|supabase|mongodb|redis|rss|pr|code review|incident|pagerduty|j"&amp;"ira""), ""Development &amp; Utilities"",
  TRUE, ""Others""
)"),"Productivity &amp; Communication")</f>
        <v>Productivity &amp; Communication</v>
      </c>
    </row>
    <row r="422" ht="15.75" customHeight="1">
      <c r="A422" s="14" t="s">
        <v>830</v>
      </c>
      <c r="B422" s="15" t="s">
        <v>831</v>
      </c>
      <c r="C422" s="16" t="s">
        <v>7</v>
      </c>
      <c r="D422" s="12" t="str">
        <f>IFERROR(__xludf.DUMMYFUNCTION("IFS(
  REGEXMATCH(A422&amp;B422, ""(?i)openai|gpt|gemini|anthropic|claude|mistral|cohere|rag|vector|llm|chatbot|ai-powered""), ""AI &amp; LLM"",
  REGEXMATCH(A422&amp;B422, ""(?i)twitter|instagram|facebook|linkedin|youtube|tiktok|threads|bluesky|pinterest|social vid"&amp;"eo|reels?|shorts?""), ""Social Media"",
  REGEXMATCH(A422&amp;B422, ""(?i)hubspot|pipedrive|stripe|shopify|woocommerce|sales|crm|invoice|order|leads?|recruitment|bamboohr|erpnext""), ""CRM &amp; Sales"",
  REGEXMATCH(A422&amp;B422, ""(?i)gmail|outlook|calendar|slack|"&amp;"discord|telegram|whatsapp|notion|trello|drive|sheets?|meeting|scheduler|appointment|mattermost""), ""Productivity &amp; Communication"",
  REGEXMATCH(A422&amp;B422, ""(?i)github|api|webhook|http|mysql|supabase|mongodb|redis|rss|pr|code review|incident|pagerduty|j"&amp;"ira""), ""Development &amp; Utilities"",
  TRUE, ""Others""
)"),"Social Media")</f>
        <v>Social Media</v>
      </c>
    </row>
    <row r="423" ht="15.75" customHeight="1">
      <c r="A423" s="14" t="s">
        <v>832</v>
      </c>
      <c r="B423" s="15" t="s">
        <v>833</v>
      </c>
      <c r="C423" s="16" t="s">
        <v>7</v>
      </c>
      <c r="D423" s="12" t="str">
        <f>IFERROR(__xludf.DUMMYFUNCTION("IFS(
  REGEXMATCH(A423&amp;B423, ""(?i)openai|gpt|gemini|anthropic|claude|mistral|cohere|rag|vector|llm|chatbot|ai-powered""), ""AI &amp; LLM"",
  REGEXMATCH(A423&amp;B423, ""(?i)twitter|instagram|facebook|linkedin|youtube|tiktok|threads|bluesky|pinterest|social vid"&amp;"eo|reels?|shorts?""), ""Social Media"",
  REGEXMATCH(A423&amp;B423, ""(?i)hubspot|pipedrive|stripe|shopify|woocommerce|sales|crm|invoice|order|leads?|recruitment|bamboohr|erpnext""), ""CRM &amp; Sales"",
  REGEXMATCH(A423&amp;B423, ""(?i)gmail|outlook|calendar|slack|"&amp;"discord|telegram|whatsapp|notion|trello|drive|sheets?|meeting|scheduler|appointment|mattermost""), ""Productivity &amp; Communication"",
  REGEXMATCH(A423&amp;B423, ""(?i)github|api|webhook|http|mysql|supabase|mongodb|redis|rss|pr|code review|incident|pagerduty|j"&amp;"ira""), ""Development &amp; Utilities"",
  TRUE, ""Others""
)"),"Development &amp; Utilities")</f>
        <v>Development &amp; Utilities</v>
      </c>
    </row>
    <row r="424" ht="15.75" customHeight="1">
      <c r="A424" s="14" t="s">
        <v>834</v>
      </c>
      <c r="B424" s="15" t="s">
        <v>835</v>
      </c>
      <c r="C424" s="16" t="s">
        <v>7</v>
      </c>
      <c r="D424" s="12" t="str">
        <f>IFERROR(__xludf.DUMMYFUNCTION("IFS(
  REGEXMATCH(A424&amp;B424, ""(?i)openai|gpt|gemini|anthropic|claude|mistral|cohere|rag|vector|llm|chatbot|ai-powered""), ""AI &amp; LLM"",
  REGEXMATCH(A424&amp;B424, ""(?i)twitter|instagram|facebook|linkedin|youtube|tiktok|threads|bluesky|pinterest|social vid"&amp;"eo|reels?|shorts?""), ""Social Media"",
  REGEXMATCH(A424&amp;B424, ""(?i)hubspot|pipedrive|stripe|shopify|woocommerce|sales|crm|invoice|order|leads?|recruitment|bamboohr|erpnext""), ""CRM &amp; Sales"",
  REGEXMATCH(A424&amp;B424, ""(?i)gmail|outlook|calendar|slack|"&amp;"discord|telegram|whatsapp|notion|trello|drive|sheets?|meeting|scheduler|appointment|mattermost""), ""Productivity &amp; Communication"",
  REGEXMATCH(A424&amp;B424, ""(?i)github|api|webhook|http|mysql|supabase|mongodb|redis|rss|pr|code review|incident|pagerduty|j"&amp;"ira""), ""Development &amp; Utilities"",
  TRUE, ""Others""
)"),"Others")</f>
        <v>Others</v>
      </c>
    </row>
    <row r="425" ht="15.75" customHeight="1">
      <c r="A425" s="14" t="s">
        <v>836</v>
      </c>
      <c r="B425" s="15" t="s">
        <v>837</v>
      </c>
      <c r="C425" s="16" t="s">
        <v>7</v>
      </c>
      <c r="D425" s="12" t="str">
        <f>IFERROR(__xludf.DUMMYFUNCTION("IFS(
  REGEXMATCH(A425&amp;B425, ""(?i)openai|gpt|gemini|anthropic|claude|mistral|cohere|rag|vector|llm|chatbot|ai-powered""), ""AI &amp; LLM"",
  REGEXMATCH(A425&amp;B425, ""(?i)twitter|instagram|facebook|linkedin|youtube|tiktok|threads|bluesky|pinterest|social vid"&amp;"eo|reels?|shorts?""), ""Social Media"",
  REGEXMATCH(A425&amp;B425, ""(?i)hubspot|pipedrive|stripe|shopify|woocommerce|sales|crm|invoice|order|leads?|recruitment|bamboohr|erpnext""), ""CRM &amp; Sales"",
  REGEXMATCH(A425&amp;B425, ""(?i)gmail|outlook|calendar|slack|"&amp;"discord|telegram|whatsapp|notion|trello|drive|sheets?|meeting|scheduler|appointment|mattermost""), ""Productivity &amp; Communication"",
  REGEXMATCH(A425&amp;B425, ""(?i)github|api|webhook|http|mysql|supabase|mongodb|redis|rss|pr|code review|incident|pagerduty|j"&amp;"ira""), ""Development &amp; Utilities"",
  TRUE, ""Others""
)"),"Productivity &amp; Communication")</f>
        <v>Productivity &amp; Communication</v>
      </c>
    </row>
    <row r="426" ht="15.75" customHeight="1">
      <c r="A426" s="14" t="s">
        <v>838</v>
      </c>
      <c r="B426" s="15" t="s">
        <v>839</v>
      </c>
      <c r="C426" s="16" t="s">
        <v>7</v>
      </c>
      <c r="D426" s="12" t="str">
        <f>IFERROR(__xludf.DUMMYFUNCTION("IFS(
  REGEXMATCH(A426&amp;B426, ""(?i)openai|gpt|gemini|anthropic|claude|mistral|cohere|rag|vector|llm|chatbot|ai-powered""), ""AI &amp; LLM"",
  REGEXMATCH(A426&amp;B426, ""(?i)twitter|instagram|facebook|linkedin|youtube|tiktok|threads|bluesky|pinterest|social vid"&amp;"eo|reels?|shorts?""), ""Social Media"",
  REGEXMATCH(A426&amp;B426, ""(?i)hubspot|pipedrive|stripe|shopify|woocommerce|sales|crm|invoice|order|leads?|recruitment|bamboohr|erpnext""), ""CRM &amp; Sales"",
  REGEXMATCH(A426&amp;B426, ""(?i)gmail|outlook|calendar|slack|"&amp;"discord|telegram|whatsapp|notion|trello|drive|sheets?|meeting|scheduler|appointment|mattermost""), ""Productivity &amp; Communication"",
  REGEXMATCH(A426&amp;B426, ""(?i)github|api|webhook|http|mysql|supabase|mongodb|redis|rss|pr|code review|incident|pagerduty|j"&amp;"ira""), ""Development &amp; Utilities"",
  TRUE, ""Others""
)"),"Productivity &amp; Communication")</f>
        <v>Productivity &amp; Communication</v>
      </c>
    </row>
    <row r="427" ht="15.75" customHeight="1">
      <c r="A427" s="14" t="s">
        <v>840</v>
      </c>
      <c r="B427" s="15" t="s">
        <v>841</v>
      </c>
      <c r="C427" s="16" t="s">
        <v>7</v>
      </c>
      <c r="D427" s="12" t="str">
        <f>IFERROR(__xludf.DUMMYFUNCTION("IFS(
  REGEXMATCH(A427&amp;B427, ""(?i)openai|gpt|gemini|anthropic|claude|mistral|cohere|rag|vector|llm|chatbot|ai-powered""), ""AI &amp; LLM"",
  REGEXMATCH(A427&amp;B427, ""(?i)twitter|instagram|facebook|linkedin|youtube|tiktok|threads|bluesky|pinterest|social vid"&amp;"eo|reels?|shorts?""), ""Social Media"",
  REGEXMATCH(A427&amp;B427, ""(?i)hubspot|pipedrive|stripe|shopify|woocommerce|sales|crm|invoice|order|leads?|recruitment|bamboohr|erpnext""), ""CRM &amp; Sales"",
  REGEXMATCH(A427&amp;B427, ""(?i)gmail|outlook|calendar|slack|"&amp;"discord|telegram|whatsapp|notion|trello|drive|sheets?|meeting|scheduler|appointment|mattermost""), ""Productivity &amp; Communication"",
  REGEXMATCH(A427&amp;B427, ""(?i)github|api|webhook|http|mysql|supabase|mongodb|redis|rss|pr|code review|incident|pagerduty|j"&amp;"ira""), ""Development &amp; Utilities"",
  TRUE, ""Others""
)"),"Development &amp; Utilities")</f>
        <v>Development &amp; Utilities</v>
      </c>
    </row>
    <row r="428" ht="15.75" customHeight="1">
      <c r="A428" s="14" t="s">
        <v>842</v>
      </c>
      <c r="B428" s="15" t="s">
        <v>843</v>
      </c>
      <c r="C428" s="16" t="s">
        <v>7</v>
      </c>
      <c r="D428" s="12" t="str">
        <f>IFERROR(__xludf.DUMMYFUNCTION("IFS(
  REGEXMATCH(A428&amp;B428, ""(?i)openai|gpt|gemini|anthropic|claude|mistral|cohere|rag|vector|llm|chatbot|ai-powered""), ""AI &amp; LLM"",
  REGEXMATCH(A428&amp;B428, ""(?i)twitter|instagram|facebook|linkedin|youtube|tiktok|threads|bluesky|pinterest|social vid"&amp;"eo|reels?|shorts?""), ""Social Media"",
  REGEXMATCH(A428&amp;B428, ""(?i)hubspot|pipedrive|stripe|shopify|woocommerce|sales|crm|invoice|order|leads?|recruitment|bamboohr|erpnext""), ""CRM &amp; Sales"",
  REGEXMATCH(A428&amp;B428, ""(?i)gmail|outlook|calendar|slack|"&amp;"discord|telegram|whatsapp|notion|trello|drive|sheets?|meeting|scheduler|appointment|mattermost""), ""Productivity &amp; Communication"",
  REGEXMATCH(A428&amp;B428, ""(?i)github|api|webhook|http|mysql|supabase|mongodb|redis|rss|pr|code review|incident|pagerduty|j"&amp;"ira""), ""Development &amp; Utilities"",
  TRUE, ""Others""
)"),"Development &amp; Utilities")</f>
        <v>Development &amp; Utilities</v>
      </c>
    </row>
    <row r="429" ht="15.75" customHeight="1">
      <c r="A429" s="14" t="s">
        <v>844</v>
      </c>
      <c r="B429" s="15" t="s">
        <v>845</v>
      </c>
      <c r="C429" s="16" t="s">
        <v>7</v>
      </c>
      <c r="D429" s="12" t="str">
        <f>IFERROR(__xludf.DUMMYFUNCTION("IFS(
  REGEXMATCH(A429&amp;B429, ""(?i)openai|gpt|gemini|anthropic|claude|mistral|cohere|rag|vector|llm|chatbot|ai-powered""), ""AI &amp; LLM"",
  REGEXMATCH(A429&amp;B429, ""(?i)twitter|instagram|facebook|linkedin|youtube|tiktok|threads|bluesky|pinterest|social vid"&amp;"eo|reels?|shorts?""), ""Social Media"",
  REGEXMATCH(A429&amp;B429, ""(?i)hubspot|pipedrive|stripe|shopify|woocommerce|sales|crm|invoice|order|leads?|recruitment|bamboohr|erpnext""), ""CRM &amp; Sales"",
  REGEXMATCH(A429&amp;B429, ""(?i)gmail|outlook|calendar|slack|"&amp;"discord|telegram|whatsapp|notion|trello|drive|sheets?|meeting|scheduler|appointment|mattermost""), ""Productivity &amp; Communication"",
  REGEXMATCH(A429&amp;B429, ""(?i)github|api|webhook|http|mysql|supabase|mongodb|redis|rss|pr|code review|incident|pagerduty|j"&amp;"ira""), ""Development &amp; Utilities"",
  TRUE, ""Others""
)"),"Productivity &amp; Communication")</f>
        <v>Productivity &amp; Communication</v>
      </c>
    </row>
    <row r="430" ht="15.75" customHeight="1">
      <c r="A430" s="14" t="s">
        <v>846</v>
      </c>
      <c r="B430" s="15" t="s">
        <v>847</v>
      </c>
      <c r="C430" s="16" t="s">
        <v>7</v>
      </c>
      <c r="D430" s="12" t="str">
        <f>IFERROR(__xludf.DUMMYFUNCTION("IFS(
  REGEXMATCH(A430&amp;B430, ""(?i)openai|gpt|gemini|anthropic|claude|mistral|cohere|rag|vector|llm|chatbot|ai-powered""), ""AI &amp; LLM"",
  REGEXMATCH(A430&amp;B430, ""(?i)twitter|instagram|facebook|linkedin|youtube|tiktok|threads|bluesky|pinterest|social vid"&amp;"eo|reels?|shorts?""), ""Social Media"",
  REGEXMATCH(A430&amp;B430, ""(?i)hubspot|pipedrive|stripe|shopify|woocommerce|sales|crm|invoice|order|leads?|recruitment|bamboohr|erpnext""), ""CRM &amp; Sales"",
  REGEXMATCH(A430&amp;B430, ""(?i)gmail|outlook|calendar|slack|"&amp;"discord|telegram|whatsapp|notion|trello|drive|sheets?|meeting|scheduler|appointment|mattermost""), ""Productivity &amp; Communication"",
  REGEXMATCH(A430&amp;B430, ""(?i)github|api|webhook|http|mysql|supabase|mongodb|redis|rss|pr|code review|incident|pagerduty|j"&amp;"ira""), ""Development &amp; Utilities"",
  TRUE, ""Others""
)"),"Productivity &amp; Communication")</f>
        <v>Productivity &amp; Communication</v>
      </c>
    </row>
    <row r="431" ht="15.75" customHeight="1">
      <c r="A431" s="14" t="s">
        <v>848</v>
      </c>
      <c r="B431" s="15" t="s">
        <v>849</v>
      </c>
      <c r="C431" s="16" t="s">
        <v>7</v>
      </c>
      <c r="D431" s="12" t="str">
        <f>IFERROR(__xludf.DUMMYFUNCTION("IFS(
  REGEXMATCH(A431&amp;B431, ""(?i)openai|gpt|gemini|anthropic|claude|mistral|cohere|rag|vector|llm|chatbot|ai-powered""), ""AI &amp; LLM"",
  REGEXMATCH(A431&amp;B431, ""(?i)twitter|instagram|facebook|linkedin|youtube|tiktok|threads|bluesky|pinterest|social vid"&amp;"eo|reels?|shorts?""), ""Social Media"",
  REGEXMATCH(A431&amp;B431, ""(?i)hubspot|pipedrive|stripe|shopify|woocommerce|sales|crm|invoice|order|leads?|recruitment|bamboohr|erpnext""), ""CRM &amp; Sales"",
  REGEXMATCH(A431&amp;B431, ""(?i)gmail|outlook|calendar|slack|"&amp;"discord|telegram|whatsapp|notion|trello|drive|sheets?|meeting|scheduler|appointment|mattermost""), ""Productivity &amp; Communication"",
  REGEXMATCH(A431&amp;B431, ""(?i)github|api|webhook|http|mysql|supabase|mongodb|redis|rss|pr|code review|incident|pagerduty|j"&amp;"ira""), ""Development &amp; Utilities"",
  TRUE, ""Others""
)"),"Productivity &amp; Communication")</f>
        <v>Productivity &amp; Communication</v>
      </c>
    </row>
    <row r="432" ht="15.75" customHeight="1">
      <c r="A432" s="14" t="s">
        <v>850</v>
      </c>
      <c r="B432" s="15" t="s">
        <v>851</v>
      </c>
      <c r="C432" s="16" t="s">
        <v>7</v>
      </c>
      <c r="D432" s="12" t="str">
        <f>IFERROR(__xludf.DUMMYFUNCTION("IFS(
  REGEXMATCH(A432&amp;B432, ""(?i)openai|gpt|gemini|anthropic|claude|mistral|cohere|rag|vector|llm|chatbot|ai-powered""), ""AI &amp; LLM"",
  REGEXMATCH(A432&amp;B432, ""(?i)twitter|instagram|facebook|linkedin|youtube|tiktok|threads|bluesky|pinterest|social vid"&amp;"eo|reels?|shorts?""), ""Social Media"",
  REGEXMATCH(A432&amp;B432, ""(?i)hubspot|pipedrive|stripe|shopify|woocommerce|sales|crm|invoice|order|leads?|recruitment|bamboohr|erpnext""), ""CRM &amp; Sales"",
  REGEXMATCH(A432&amp;B432, ""(?i)gmail|outlook|calendar|slack|"&amp;"discord|telegram|whatsapp|notion|trello|drive|sheets?|meeting|scheduler|appointment|mattermost""), ""Productivity &amp; Communication"",
  REGEXMATCH(A432&amp;B432, ""(?i)github|api|webhook|http|mysql|supabase|mongodb|redis|rss|pr|code review|incident|pagerduty|j"&amp;"ira""), ""Development &amp; Utilities"",
  TRUE, ""Others""
)"),"Productivity &amp; Communication")</f>
        <v>Productivity &amp; Communication</v>
      </c>
    </row>
    <row r="433" ht="15.75" customHeight="1">
      <c r="A433" s="14" t="s">
        <v>852</v>
      </c>
      <c r="B433" s="15" t="s">
        <v>853</v>
      </c>
      <c r="C433" s="16" t="s">
        <v>7</v>
      </c>
      <c r="D433" s="12" t="str">
        <f>IFERROR(__xludf.DUMMYFUNCTION("IFS(
  REGEXMATCH(A433&amp;B433, ""(?i)openai|gpt|gemini|anthropic|claude|mistral|cohere|rag|vector|llm|chatbot|ai-powered""), ""AI &amp; LLM"",
  REGEXMATCH(A433&amp;B433, ""(?i)twitter|instagram|facebook|linkedin|youtube|tiktok|threads|bluesky|pinterest|social vid"&amp;"eo|reels?|shorts?""), ""Social Media"",
  REGEXMATCH(A433&amp;B433, ""(?i)hubspot|pipedrive|stripe|shopify|woocommerce|sales|crm|invoice|order|leads?|recruitment|bamboohr|erpnext""), ""CRM &amp; Sales"",
  REGEXMATCH(A433&amp;B433, ""(?i)gmail|outlook|calendar|slack|"&amp;"discord|telegram|whatsapp|notion|trello|drive|sheets?|meeting|scheduler|appointment|mattermost""), ""Productivity &amp; Communication"",
  REGEXMATCH(A433&amp;B433, ""(?i)github|api|webhook|http|mysql|supabase|mongodb|redis|rss|pr|code review|incident|pagerduty|j"&amp;"ira""), ""Development &amp; Utilities"",
  TRUE, ""Others""
)"),"CRM &amp; Sales")</f>
        <v>CRM &amp; Sales</v>
      </c>
    </row>
    <row r="434" ht="15.75" customHeight="1">
      <c r="A434" s="14" t="s">
        <v>854</v>
      </c>
      <c r="B434" s="15" t="s">
        <v>855</v>
      </c>
      <c r="C434" s="16" t="s">
        <v>7</v>
      </c>
      <c r="D434" s="12" t="str">
        <f>IFERROR(__xludf.DUMMYFUNCTION("IFS(
  REGEXMATCH(A434&amp;B434, ""(?i)openai|gpt|gemini|anthropic|claude|mistral|cohere|rag|vector|llm|chatbot|ai-powered""), ""AI &amp; LLM"",
  REGEXMATCH(A434&amp;B434, ""(?i)twitter|instagram|facebook|linkedin|youtube|tiktok|threads|bluesky|pinterest|social vid"&amp;"eo|reels?|shorts?""), ""Social Media"",
  REGEXMATCH(A434&amp;B434, ""(?i)hubspot|pipedrive|stripe|shopify|woocommerce|sales|crm|invoice|order|leads?|recruitment|bamboohr|erpnext""), ""CRM &amp; Sales"",
  REGEXMATCH(A434&amp;B434, ""(?i)gmail|outlook|calendar|slack|"&amp;"discord|telegram|whatsapp|notion|trello|drive|sheets?|meeting|scheduler|appointment|mattermost""), ""Productivity &amp; Communication"",
  REGEXMATCH(A434&amp;B434, ""(?i)github|api|webhook|http|mysql|supabase|mongodb|redis|rss|pr|code review|incident|pagerduty|j"&amp;"ira""), ""Development &amp; Utilities"",
  TRUE, ""Others""
)"),"Productivity &amp; Communication")</f>
        <v>Productivity &amp; Communication</v>
      </c>
    </row>
    <row r="435" ht="15.75" customHeight="1">
      <c r="A435" s="14" t="s">
        <v>856</v>
      </c>
      <c r="B435" s="15" t="s">
        <v>857</v>
      </c>
      <c r="C435" s="16" t="s">
        <v>7</v>
      </c>
      <c r="D435" s="12" t="str">
        <f>IFERROR(__xludf.DUMMYFUNCTION("IFS(
  REGEXMATCH(A435&amp;B435, ""(?i)openai|gpt|gemini|anthropic|claude|mistral|cohere|rag|vector|llm|chatbot|ai-powered""), ""AI &amp; LLM"",
  REGEXMATCH(A435&amp;B435, ""(?i)twitter|instagram|facebook|linkedin|youtube|tiktok|threads|bluesky|pinterest|social vid"&amp;"eo|reels?|shorts?""), ""Social Media"",
  REGEXMATCH(A435&amp;B435, ""(?i)hubspot|pipedrive|stripe|shopify|woocommerce|sales|crm|invoice|order|leads?|recruitment|bamboohr|erpnext""), ""CRM &amp; Sales"",
  REGEXMATCH(A435&amp;B435, ""(?i)gmail|outlook|calendar|slack|"&amp;"discord|telegram|whatsapp|notion|trello|drive|sheets?|meeting|scheduler|appointment|mattermost""), ""Productivity &amp; Communication"",
  REGEXMATCH(A435&amp;B435, ""(?i)github|api|webhook|http|mysql|supabase|mongodb|redis|rss|pr|code review|incident|pagerduty|j"&amp;"ira""), ""Development &amp; Utilities"",
  TRUE, ""Others""
)"),"AI &amp; LLM")</f>
        <v>AI &amp; LLM</v>
      </c>
    </row>
    <row r="436" ht="15.75" customHeight="1">
      <c r="A436" s="14" t="s">
        <v>858</v>
      </c>
      <c r="B436" s="15" t="s">
        <v>859</v>
      </c>
      <c r="C436" s="16" t="s">
        <v>7</v>
      </c>
      <c r="D436" s="12" t="str">
        <f>IFERROR(__xludf.DUMMYFUNCTION("IFS(
  REGEXMATCH(A436&amp;B436, ""(?i)openai|gpt|gemini|anthropic|claude|mistral|cohere|rag|vector|llm|chatbot|ai-powered""), ""AI &amp; LLM"",
  REGEXMATCH(A436&amp;B436, ""(?i)twitter|instagram|facebook|linkedin|youtube|tiktok|threads|bluesky|pinterest|social vid"&amp;"eo|reels?|shorts?""), ""Social Media"",
  REGEXMATCH(A436&amp;B436, ""(?i)hubspot|pipedrive|stripe|shopify|woocommerce|sales|crm|invoice|order|leads?|recruitment|bamboohr|erpnext""), ""CRM &amp; Sales"",
  REGEXMATCH(A436&amp;B436, ""(?i)gmail|outlook|calendar|slack|"&amp;"discord|telegram|whatsapp|notion|trello|drive|sheets?|meeting|scheduler|appointment|mattermost""), ""Productivity &amp; Communication"",
  REGEXMATCH(A436&amp;B436, ""(?i)github|api|webhook|http|mysql|supabase|mongodb|redis|rss|pr|code review|incident|pagerduty|j"&amp;"ira""), ""Development &amp; Utilities"",
  TRUE, ""Others""
)"),"CRM &amp; Sales")</f>
        <v>CRM &amp; Sales</v>
      </c>
    </row>
    <row r="437" ht="15.75" customHeight="1">
      <c r="A437" s="14" t="s">
        <v>860</v>
      </c>
      <c r="B437" s="15" t="s">
        <v>861</v>
      </c>
      <c r="C437" s="16" t="s">
        <v>7</v>
      </c>
      <c r="D437" s="12" t="str">
        <f>IFERROR(__xludf.DUMMYFUNCTION("IFS(
  REGEXMATCH(A437&amp;B437, ""(?i)openai|gpt|gemini|anthropic|claude|mistral|cohere|rag|vector|llm|chatbot|ai-powered""), ""AI &amp; LLM"",
  REGEXMATCH(A437&amp;B437, ""(?i)twitter|instagram|facebook|linkedin|youtube|tiktok|threads|bluesky|pinterest|social vid"&amp;"eo|reels?|shorts?""), ""Social Media"",
  REGEXMATCH(A437&amp;B437, ""(?i)hubspot|pipedrive|stripe|shopify|woocommerce|sales|crm|invoice|order|leads?|recruitment|bamboohr|erpnext""), ""CRM &amp; Sales"",
  REGEXMATCH(A437&amp;B437, ""(?i)gmail|outlook|calendar|slack|"&amp;"discord|telegram|whatsapp|notion|trello|drive|sheets?|meeting|scheduler|appointment|mattermost""), ""Productivity &amp; Communication"",
  REGEXMATCH(A437&amp;B437, ""(?i)github|api|webhook|http|mysql|supabase|mongodb|redis|rss|pr|code review|incident|pagerduty|j"&amp;"ira""), ""Development &amp; Utilities"",
  TRUE, ""Others""
)"),"CRM &amp; Sales")</f>
        <v>CRM &amp; Sales</v>
      </c>
    </row>
    <row r="438" ht="15.75" customHeight="1">
      <c r="A438" s="14" t="s">
        <v>862</v>
      </c>
      <c r="B438" s="15" t="s">
        <v>863</v>
      </c>
      <c r="C438" s="16" t="s">
        <v>7</v>
      </c>
      <c r="D438" s="12" t="str">
        <f>IFERROR(__xludf.DUMMYFUNCTION("IFS(
  REGEXMATCH(A438&amp;B438, ""(?i)openai|gpt|gemini|anthropic|claude|mistral|cohere|rag|vector|llm|chatbot|ai-powered""), ""AI &amp; LLM"",
  REGEXMATCH(A438&amp;B438, ""(?i)twitter|instagram|facebook|linkedin|youtube|tiktok|threads|bluesky|pinterest|social vid"&amp;"eo|reels?|shorts?""), ""Social Media"",
  REGEXMATCH(A438&amp;B438, ""(?i)hubspot|pipedrive|stripe|shopify|woocommerce|sales|crm|invoice|order|leads?|recruitment|bamboohr|erpnext""), ""CRM &amp; Sales"",
  REGEXMATCH(A438&amp;B438, ""(?i)gmail|outlook|calendar|slack|"&amp;"discord|telegram|whatsapp|notion|trello|drive|sheets?|meeting|scheduler|appointment|mattermost""), ""Productivity &amp; Communication"",
  REGEXMATCH(A438&amp;B438, ""(?i)github|api|webhook|http|mysql|supabase|mongodb|redis|rss|pr|code review|incident|pagerduty|j"&amp;"ira""), ""Development &amp; Utilities"",
  TRUE, ""Others""
)"),"CRM &amp; Sales")</f>
        <v>CRM &amp; Sales</v>
      </c>
    </row>
    <row r="439" ht="15.75" customHeight="1">
      <c r="A439" s="14" t="s">
        <v>864</v>
      </c>
      <c r="B439" s="15" t="s">
        <v>865</v>
      </c>
      <c r="C439" s="16" t="s">
        <v>7</v>
      </c>
      <c r="D439" s="12" t="str">
        <f>IFERROR(__xludf.DUMMYFUNCTION("IFS(
  REGEXMATCH(A439&amp;B439, ""(?i)openai|gpt|gemini|anthropic|claude|mistral|cohere|rag|vector|llm|chatbot|ai-powered""), ""AI &amp; LLM"",
  REGEXMATCH(A439&amp;B439, ""(?i)twitter|instagram|facebook|linkedin|youtube|tiktok|threads|bluesky|pinterest|social vid"&amp;"eo|reels?|shorts?""), ""Social Media"",
  REGEXMATCH(A439&amp;B439, ""(?i)hubspot|pipedrive|stripe|shopify|woocommerce|sales|crm|invoice|order|leads?|recruitment|bamboohr|erpnext""), ""CRM &amp; Sales"",
  REGEXMATCH(A439&amp;B439, ""(?i)gmail|outlook|calendar|slack|"&amp;"discord|telegram|whatsapp|notion|trello|drive|sheets?|meeting|scheduler|appointment|mattermost""), ""Productivity &amp; Communication"",
  REGEXMATCH(A439&amp;B439, ""(?i)github|api|webhook|http|mysql|supabase|mongodb|redis|rss|pr|code review|incident|pagerduty|j"&amp;"ira""), ""Development &amp; Utilities"",
  TRUE, ""Others""
)"),"CRM &amp; Sales")</f>
        <v>CRM &amp; Sales</v>
      </c>
    </row>
    <row r="440" ht="15.75" customHeight="1">
      <c r="A440" s="14" t="s">
        <v>866</v>
      </c>
      <c r="B440" s="15" t="s">
        <v>867</v>
      </c>
      <c r="C440" s="16" t="s">
        <v>7</v>
      </c>
      <c r="D440" s="12" t="str">
        <f>IFERROR(__xludf.DUMMYFUNCTION("IFS(
  REGEXMATCH(A440&amp;B440, ""(?i)openai|gpt|gemini|anthropic|claude|mistral|cohere|rag|vector|llm|chatbot|ai-powered""), ""AI &amp; LLM"",
  REGEXMATCH(A440&amp;B440, ""(?i)twitter|instagram|facebook|linkedin|youtube|tiktok|threads|bluesky|pinterest|social vid"&amp;"eo|reels?|shorts?""), ""Social Media"",
  REGEXMATCH(A440&amp;B440, ""(?i)hubspot|pipedrive|stripe|shopify|woocommerce|sales|crm|invoice|order|leads?|recruitment|bamboohr|erpnext""), ""CRM &amp; Sales"",
  REGEXMATCH(A440&amp;B440, ""(?i)gmail|outlook|calendar|slack|"&amp;"discord|telegram|whatsapp|notion|trello|drive|sheets?|meeting|scheduler|appointment|mattermost""), ""Productivity &amp; Communication"",
  REGEXMATCH(A440&amp;B440, ""(?i)github|api|webhook|http|mysql|supabase|mongodb|redis|rss|pr|code review|incident|pagerduty|j"&amp;"ira""), ""Development &amp; Utilities"",
  TRUE, ""Others""
)"),"CRM &amp; Sales")</f>
        <v>CRM &amp; Sales</v>
      </c>
    </row>
    <row r="441" ht="15.75" customHeight="1">
      <c r="A441" s="14" t="s">
        <v>868</v>
      </c>
      <c r="B441" s="15" t="s">
        <v>869</v>
      </c>
      <c r="C441" s="16" t="s">
        <v>7</v>
      </c>
      <c r="D441" s="12" t="str">
        <f>IFERROR(__xludf.DUMMYFUNCTION("IFS(
  REGEXMATCH(A441&amp;B441, ""(?i)openai|gpt|gemini|anthropic|claude|mistral|cohere|rag|vector|llm|chatbot|ai-powered""), ""AI &amp; LLM"",
  REGEXMATCH(A441&amp;B441, ""(?i)twitter|instagram|facebook|linkedin|youtube|tiktok|threads|bluesky|pinterest|social vid"&amp;"eo|reels?|shorts?""), ""Social Media"",
  REGEXMATCH(A441&amp;B441, ""(?i)hubspot|pipedrive|stripe|shopify|woocommerce|sales|crm|invoice|order|leads?|recruitment|bamboohr|erpnext""), ""CRM &amp; Sales"",
  REGEXMATCH(A441&amp;B441, ""(?i)gmail|outlook|calendar|slack|"&amp;"discord|telegram|whatsapp|notion|trello|drive|sheets?|meeting|scheduler|appointment|mattermost""), ""Productivity &amp; Communication"",
  REGEXMATCH(A441&amp;B441, ""(?i)github|api|webhook|http|mysql|supabase|mongodb|redis|rss|pr|code review|incident|pagerduty|j"&amp;"ira""), ""Development &amp; Utilities"",
  TRUE, ""Others""
)"),"CRM &amp; Sales")</f>
        <v>CRM &amp; Sales</v>
      </c>
    </row>
    <row r="442" ht="15.75" customHeight="1">
      <c r="A442" s="14" t="s">
        <v>870</v>
      </c>
      <c r="B442" s="15" t="s">
        <v>871</v>
      </c>
      <c r="C442" s="16" t="s">
        <v>7</v>
      </c>
      <c r="D442" s="12" t="str">
        <f>IFERROR(__xludf.DUMMYFUNCTION("IFS(
  REGEXMATCH(A442&amp;B442, ""(?i)openai|gpt|gemini|anthropic|claude|mistral|cohere|rag|vector|llm|chatbot|ai-powered""), ""AI &amp; LLM"",
  REGEXMATCH(A442&amp;B442, ""(?i)twitter|instagram|facebook|linkedin|youtube|tiktok|threads|bluesky|pinterest|social vid"&amp;"eo|reels?|shorts?""), ""Social Media"",
  REGEXMATCH(A442&amp;B442, ""(?i)hubspot|pipedrive|stripe|shopify|woocommerce|sales|crm|invoice|order|leads?|recruitment|bamboohr|erpnext""), ""CRM &amp; Sales"",
  REGEXMATCH(A442&amp;B442, ""(?i)gmail|outlook|calendar|slack|"&amp;"discord|telegram|whatsapp|notion|trello|drive|sheets?|meeting|scheduler|appointment|mattermost""), ""Productivity &amp; Communication"",
  REGEXMATCH(A442&amp;B442, ""(?i)github|api|webhook|http|mysql|supabase|mongodb|redis|rss|pr|code review|incident|pagerduty|j"&amp;"ira""), ""Development &amp; Utilities"",
  TRUE, ""Others""
)"),"Development &amp; Utilities")</f>
        <v>Development &amp; Utilities</v>
      </c>
    </row>
    <row r="443" ht="15.75" customHeight="1">
      <c r="A443" s="14" t="s">
        <v>872</v>
      </c>
      <c r="B443" s="15" t="s">
        <v>873</v>
      </c>
      <c r="C443" s="16" t="s">
        <v>7</v>
      </c>
      <c r="D443" s="12" t="str">
        <f>IFERROR(__xludf.DUMMYFUNCTION("IFS(
  REGEXMATCH(A443&amp;B443, ""(?i)openai|gpt|gemini|anthropic|claude|mistral|cohere|rag|vector|llm|chatbot|ai-powered""), ""AI &amp; LLM"",
  REGEXMATCH(A443&amp;B443, ""(?i)twitter|instagram|facebook|linkedin|youtube|tiktok|threads|bluesky|pinterest|social vid"&amp;"eo|reels?|shorts?""), ""Social Media"",
  REGEXMATCH(A443&amp;B443, ""(?i)hubspot|pipedrive|stripe|shopify|woocommerce|sales|crm|invoice|order|leads?|recruitment|bamboohr|erpnext""), ""CRM &amp; Sales"",
  REGEXMATCH(A443&amp;B443, ""(?i)gmail|outlook|calendar|slack|"&amp;"discord|telegram|whatsapp|notion|trello|drive|sheets?|meeting|scheduler|appointment|mattermost""), ""Productivity &amp; Communication"",
  REGEXMATCH(A443&amp;B443, ""(?i)github|api|webhook|http|mysql|supabase|mongodb|redis|rss|pr|code review|incident|pagerduty|j"&amp;"ira""), ""Development &amp; Utilities"",
  TRUE, ""Others""
)"),"CRM &amp; Sales")</f>
        <v>CRM &amp; Sales</v>
      </c>
    </row>
    <row r="444" ht="15.75" customHeight="1">
      <c r="A444" s="14" t="s">
        <v>874</v>
      </c>
      <c r="B444" s="15" t="s">
        <v>875</v>
      </c>
      <c r="C444" s="16" t="s">
        <v>7</v>
      </c>
      <c r="D444" s="12" t="str">
        <f>IFERROR(__xludf.DUMMYFUNCTION("IFS(
  REGEXMATCH(A444&amp;B444, ""(?i)openai|gpt|gemini|anthropic|claude|mistral|cohere|rag|vector|llm|chatbot|ai-powered""), ""AI &amp; LLM"",
  REGEXMATCH(A444&amp;B444, ""(?i)twitter|instagram|facebook|linkedin|youtube|tiktok|threads|bluesky|pinterest|social vid"&amp;"eo|reels?|shorts?""), ""Social Media"",
  REGEXMATCH(A444&amp;B444, ""(?i)hubspot|pipedrive|stripe|shopify|woocommerce|sales|crm|invoice|order|leads?|recruitment|bamboohr|erpnext""), ""CRM &amp; Sales"",
  REGEXMATCH(A444&amp;B444, ""(?i)gmail|outlook|calendar|slack|"&amp;"discord|telegram|whatsapp|notion|trello|drive|sheets?|meeting|scheduler|appointment|mattermost""), ""Productivity &amp; Communication"",
  REGEXMATCH(A444&amp;B444, ""(?i)github|api|webhook|http|mysql|supabase|mongodb|redis|rss|pr|code review|incident|pagerduty|j"&amp;"ira""), ""Development &amp; Utilities"",
  TRUE, ""Others""
)"),"CRM &amp; Sales")</f>
        <v>CRM &amp; Sales</v>
      </c>
    </row>
    <row r="445" ht="15.75" customHeight="1">
      <c r="A445" s="14" t="s">
        <v>876</v>
      </c>
      <c r="B445" s="15" t="s">
        <v>877</v>
      </c>
      <c r="C445" s="16" t="s">
        <v>7</v>
      </c>
      <c r="D445" s="12" t="str">
        <f>IFERROR(__xludf.DUMMYFUNCTION("IFS(
  REGEXMATCH(A445&amp;B445, ""(?i)openai|gpt|gemini|anthropic|claude|mistral|cohere|rag|vector|llm|chatbot|ai-powered""), ""AI &amp; LLM"",
  REGEXMATCH(A445&amp;B445, ""(?i)twitter|instagram|facebook|linkedin|youtube|tiktok|threads|bluesky|pinterest|social vid"&amp;"eo|reels?|shorts?""), ""Social Media"",
  REGEXMATCH(A445&amp;B445, ""(?i)hubspot|pipedrive|stripe|shopify|woocommerce|sales|crm|invoice|order|leads?|recruitment|bamboohr|erpnext""), ""CRM &amp; Sales"",
  REGEXMATCH(A445&amp;B445, ""(?i)gmail|outlook|calendar|slack|"&amp;"discord|telegram|whatsapp|notion|trello|drive|sheets?|meeting|scheduler|appointment|mattermost""), ""Productivity &amp; Communication"",
  REGEXMATCH(A445&amp;B445, ""(?i)github|api|webhook|http|mysql|supabase|mongodb|redis|rss|pr|code review|incident|pagerduty|j"&amp;"ira""), ""Development &amp; Utilities"",
  TRUE, ""Others""
)"),"CRM &amp; Sales")</f>
        <v>CRM &amp; Sales</v>
      </c>
    </row>
    <row r="446" ht="15.75" customHeight="1">
      <c r="A446" s="14" t="s">
        <v>878</v>
      </c>
      <c r="B446" s="15" t="s">
        <v>879</v>
      </c>
      <c r="C446" s="16" t="s">
        <v>7</v>
      </c>
      <c r="D446" s="12" t="str">
        <f>IFERROR(__xludf.DUMMYFUNCTION("IFS(
  REGEXMATCH(A446&amp;B446, ""(?i)openai|gpt|gemini|anthropic|claude|mistral|cohere|rag|vector|llm|chatbot|ai-powered""), ""AI &amp; LLM"",
  REGEXMATCH(A446&amp;B446, ""(?i)twitter|instagram|facebook|linkedin|youtube|tiktok|threads|bluesky|pinterest|social vid"&amp;"eo|reels?|shorts?""), ""Social Media"",
  REGEXMATCH(A446&amp;B446, ""(?i)hubspot|pipedrive|stripe|shopify|woocommerce|sales|crm|invoice|order|leads?|recruitment|bamboohr|erpnext""), ""CRM &amp; Sales"",
  REGEXMATCH(A446&amp;B446, ""(?i)gmail|outlook|calendar|slack|"&amp;"discord|telegram|whatsapp|notion|trello|drive|sheets?|meeting|scheduler|appointment|mattermost""), ""Productivity &amp; Communication"",
  REGEXMATCH(A446&amp;B446, ""(?i)github|api|webhook|http|mysql|supabase|mongodb|redis|rss|pr|code review|incident|pagerduty|j"&amp;"ira""), ""Development &amp; Utilities"",
  TRUE, ""Others""
)"),"CRM &amp; Sales")</f>
        <v>CRM &amp; Sales</v>
      </c>
    </row>
    <row r="447" ht="15.75" customHeight="1">
      <c r="A447" s="14" t="s">
        <v>880</v>
      </c>
      <c r="B447" s="15" t="s">
        <v>881</v>
      </c>
      <c r="C447" s="16" t="s">
        <v>7</v>
      </c>
      <c r="D447" s="12" t="str">
        <f>IFERROR(__xludf.DUMMYFUNCTION("IFS(
  REGEXMATCH(A447&amp;B447, ""(?i)openai|gpt|gemini|anthropic|claude|mistral|cohere|rag|vector|llm|chatbot|ai-powered""), ""AI &amp; LLM"",
  REGEXMATCH(A447&amp;B447, ""(?i)twitter|instagram|facebook|linkedin|youtube|tiktok|threads|bluesky|pinterest|social vid"&amp;"eo|reels?|shorts?""), ""Social Media"",
  REGEXMATCH(A447&amp;B447, ""(?i)hubspot|pipedrive|stripe|shopify|woocommerce|sales|crm|invoice|order|leads?|recruitment|bamboohr|erpnext""), ""CRM &amp; Sales"",
  REGEXMATCH(A447&amp;B447, ""(?i)gmail|outlook|calendar|slack|"&amp;"discord|telegram|whatsapp|notion|trello|drive|sheets?|meeting|scheduler|appointment|mattermost""), ""Productivity &amp; Communication"",
  REGEXMATCH(A447&amp;B447, ""(?i)github|api|webhook|http|mysql|supabase|mongodb|redis|rss|pr|code review|incident|pagerduty|j"&amp;"ira""), ""Development &amp; Utilities"",
  TRUE, ""Others""
)"),"Development &amp; Utilities")</f>
        <v>Development &amp; Utilities</v>
      </c>
    </row>
    <row r="448" ht="15.75" customHeight="1">
      <c r="A448" s="14" t="s">
        <v>882</v>
      </c>
      <c r="B448" s="15" t="s">
        <v>883</v>
      </c>
      <c r="C448" s="16" t="s">
        <v>7</v>
      </c>
      <c r="D448" s="12" t="str">
        <f>IFERROR(__xludf.DUMMYFUNCTION("IFS(
  REGEXMATCH(A448&amp;B448, ""(?i)openai|gpt|gemini|anthropic|claude|mistral|cohere|rag|vector|llm|chatbot|ai-powered""), ""AI &amp; LLM"",
  REGEXMATCH(A448&amp;B448, ""(?i)twitter|instagram|facebook|linkedin|youtube|tiktok|threads|bluesky|pinterest|social vid"&amp;"eo|reels?|shorts?""), ""Social Media"",
  REGEXMATCH(A448&amp;B448, ""(?i)hubspot|pipedrive|stripe|shopify|woocommerce|sales|crm|invoice|order|leads?|recruitment|bamboohr|erpnext""), ""CRM &amp; Sales"",
  REGEXMATCH(A448&amp;B448, ""(?i)gmail|outlook|calendar|slack|"&amp;"discord|telegram|whatsapp|notion|trello|drive|sheets?|meeting|scheduler|appointment|mattermost""), ""Productivity &amp; Communication"",
  REGEXMATCH(A448&amp;B448, ""(?i)github|api|webhook|http|mysql|supabase|mongodb|redis|rss|pr|code review|incident|pagerduty|j"&amp;"ira""), ""Development &amp; Utilities"",
  TRUE, ""Others""
)"),"Productivity &amp; Communication")</f>
        <v>Productivity &amp; Communication</v>
      </c>
    </row>
    <row r="449" ht="15.75" customHeight="1">
      <c r="A449" s="14" t="s">
        <v>884</v>
      </c>
      <c r="B449" s="15" t="s">
        <v>885</v>
      </c>
      <c r="C449" s="16" t="s">
        <v>7</v>
      </c>
      <c r="D449" s="12" t="str">
        <f>IFERROR(__xludf.DUMMYFUNCTION("IFS(
  REGEXMATCH(A449&amp;B449, ""(?i)openai|gpt|gemini|anthropic|claude|mistral|cohere|rag|vector|llm|chatbot|ai-powered""), ""AI &amp; LLM"",
  REGEXMATCH(A449&amp;B449, ""(?i)twitter|instagram|facebook|linkedin|youtube|tiktok|threads|bluesky|pinterest|social vid"&amp;"eo|reels?|shorts?""), ""Social Media"",
  REGEXMATCH(A449&amp;B449, ""(?i)hubspot|pipedrive|stripe|shopify|woocommerce|sales|crm|invoice|order|leads?|recruitment|bamboohr|erpnext""), ""CRM &amp; Sales"",
  REGEXMATCH(A449&amp;B449, ""(?i)gmail|outlook|calendar|slack|"&amp;"discord|telegram|whatsapp|notion|trello|drive|sheets?|meeting|scheduler|appointment|mattermost""), ""Productivity &amp; Communication"",
  REGEXMATCH(A449&amp;B449, ""(?i)github|api|webhook|http|mysql|supabase|mongodb|redis|rss|pr|code review|incident|pagerduty|j"&amp;"ira""), ""Development &amp; Utilities"",
  TRUE, ""Others""
)"),"CRM &amp; Sales")</f>
        <v>CRM &amp; Sales</v>
      </c>
    </row>
    <row r="450" ht="15.75" customHeight="1">
      <c r="A450" s="14" t="s">
        <v>886</v>
      </c>
      <c r="B450" s="15" t="s">
        <v>887</v>
      </c>
      <c r="C450" s="16" t="s">
        <v>7</v>
      </c>
      <c r="D450" s="12" t="str">
        <f>IFERROR(__xludf.DUMMYFUNCTION("IFS(
  REGEXMATCH(A450&amp;B450, ""(?i)openai|gpt|gemini|anthropic|claude|mistral|cohere|rag|vector|llm|chatbot|ai-powered""), ""AI &amp; LLM"",
  REGEXMATCH(A450&amp;B450, ""(?i)twitter|instagram|facebook|linkedin|youtube|tiktok|threads|bluesky|pinterest|social vid"&amp;"eo|reels?|shorts?""), ""Social Media"",
  REGEXMATCH(A450&amp;B450, ""(?i)hubspot|pipedrive|stripe|shopify|woocommerce|sales|crm|invoice|order|leads?|recruitment|bamboohr|erpnext""), ""CRM &amp; Sales"",
  REGEXMATCH(A450&amp;B450, ""(?i)gmail|outlook|calendar|slack|"&amp;"discord|telegram|whatsapp|notion|trello|drive|sheets?|meeting|scheduler|appointment|mattermost""), ""Productivity &amp; Communication"",
  REGEXMATCH(A450&amp;B450, ""(?i)github|api|webhook|http|mysql|supabase|mongodb|redis|rss|pr|code review|incident|pagerduty|j"&amp;"ira""), ""Development &amp; Utilities"",
  TRUE, ""Others""
)"),"CRM &amp; Sales")</f>
        <v>CRM &amp; Sales</v>
      </c>
    </row>
    <row r="451" ht="15.75" customHeight="1">
      <c r="A451" s="14" t="s">
        <v>888</v>
      </c>
      <c r="B451" s="15" t="s">
        <v>889</v>
      </c>
      <c r="C451" s="16" t="s">
        <v>7</v>
      </c>
      <c r="D451" s="12" t="str">
        <f>IFERROR(__xludf.DUMMYFUNCTION("IFS(
  REGEXMATCH(A451&amp;B451, ""(?i)openai|gpt|gemini|anthropic|claude|mistral|cohere|rag|vector|llm|chatbot|ai-powered""), ""AI &amp; LLM"",
  REGEXMATCH(A451&amp;B451, ""(?i)twitter|instagram|facebook|linkedin|youtube|tiktok|threads|bluesky|pinterest|social vid"&amp;"eo|reels?|shorts?""), ""Social Media"",
  REGEXMATCH(A451&amp;B451, ""(?i)hubspot|pipedrive|stripe|shopify|woocommerce|sales|crm|invoice|order|leads?|recruitment|bamboohr|erpnext""), ""CRM &amp; Sales"",
  REGEXMATCH(A451&amp;B451, ""(?i)gmail|outlook|calendar|slack|"&amp;"discord|telegram|whatsapp|notion|trello|drive|sheets?|meeting|scheduler|appointment|mattermost""), ""Productivity &amp; Communication"",
  REGEXMATCH(A451&amp;B451, ""(?i)github|api|webhook|http|mysql|supabase|mongodb|redis|rss|pr|code review|incident|pagerduty|j"&amp;"ira""), ""Development &amp; Utilities"",
  TRUE, ""Others""
)"),"Social Media")</f>
        <v>Social Media</v>
      </c>
    </row>
    <row r="452" ht="15.75" customHeight="1">
      <c r="A452" s="14" t="s">
        <v>890</v>
      </c>
      <c r="B452" s="15" t="s">
        <v>891</v>
      </c>
      <c r="C452" s="16" t="s">
        <v>7</v>
      </c>
      <c r="D452" s="12" t="str">
        <f>IFERROR(__xludf.DUMMYFUNCTION("IFS(
  REGEXMATCH(A452&amp;B452, ""(?i)openai|gpt|gemini|anthropic|claude|mistral|cohere|rag|vector|llm|chatbot|ai-powered""), ""AI &amp; LLM"",
  REGEXMATCH(A452&amp;B452, ""(?i)twitter|instagram|facebook|linkedin|youtube|tiktok|threads|bluesky|pinterest|social vid"&amp;"eo|reels?|shorts?""), ""Social Media"",
  REGEXMATCH(A452&amp;B452, ""(?i)hubspot|pipedrive|stripe|shopify|woocommerce|sales|crm|invoice|order|leads?|recruitment|bamboohr|erpnext""), ""CRM &amp; Sales"",
  REGEXMATCH(A452&amp;B452, ""(?i)gmail|outlook|calendar|slack|"&amp;"discord|telegram|whatsapp|notion|trello|drive|sheets?|meeting|scheduler|appointment|mattermost""), ""Productivity &amp; Communication"",
  REGEXMATCH(A452&amp;B452, ""(?i)github|api|webhook|http|mysql|supabase|mongodb|redis|rss|pr|code review|incident|pagerduty|j"&amp;"ira""), ""Development &amp; Utilities"",
  TRUE, ""Others""
)"),"Development &amp; Utilities")</f>
        <v>Development &amp; Utilities</v>
      </c>
    </row>
    <row r="453" ht="15.75" customHeight="1">
      <c r="A453" s="14" t="s">
        <v>892</v>
      </c>
      <c r="B453" s="15" t="s">
        <v>893</v>
      </c>
      <c r="C453" s="16" t="s">
        <v>7</v>
      </c>
      <c r="D453" s="12" t="str">
        <f>IFERROR(__xludf.DUMMYFUNCTION("IFS(
  REGEXMATCH(A453&amp;B453, ""(?i)openai|gpt|gemini|anthropic|claude|mistral|cohere|rag|vector|llm|chatbot|ai-powered""), ""AI &amp; LLM"",
  REGEXMATCH(A453&amp;B453, ""(?i)twitter|instagram|facebook|linkedin|youtube|tiktok|threads|bluesky|pinterest|social vid"&amp;"eo|reels?|shorts?""), ""Social Media"",
  REGEXMATCH(A453&amp;B453, ""(?i)hubspot|pipedrive|stripe|shopify|woocommerce|sales|crm|invoice|order|leads?|recruitment|bamboohr|erpnext""), ""CRM &amp; Sales"",
  REGEXMATCH(A453&amp;B453, ""(?i)gmail|outlook|calendar|slack|"&amp;"discord|telegram|whatsapp|notion|trello|drive|sheets?|meeting|scheduler|appointment|mattermost""), ""Productivity &amp; Communication"",
  REGEXMATCH(A453&amp;B453, ""(?i)github|api|webhook|http|mysql|supabase|mongodb|redis|rss|pr|code review|incident|pagerduty|j"&amp;"ira""), ""Development &amp; Utilities"",
  TRUE, ""Others""
)"),"CRM &amp; Sales")</f>
        <v>CRM &amp; Sales</v>
      </c>
    </row>
    <row r="454" ht="15.75" customHeight="1">
      <c r="A454" s="14" t="s">
        <v>894</v>
      </c>
      <c r="B454" s="15" t="s">
        <v>895</v>
      </c>
      <c r="C454" s="16" t="s">
        <v>7</v>
      </c>
      <c r="D454" s="12" t="str">
        <f>IFERROR(__xludf.DUMMYFUNCTION("IFS(
  REGEXMATCH(A454&amp;B454, ""(?i)openai|gpt|gemini|anthropic|claude|mistral|cohere|rag|vector|llm|chatbot|ai-powered""), ""AI &amp; LLM"",
  REGEXMATCH(A454&amp;B454, ""(?i)twitter|instagram|facebook|linkedin|youtube|tiktok|threads|bluesky|pinterest|social vid"&amp;"eo|reels?|shorts?""), ""Social Media"",
  REGEXMATCH(A454&amp;B454, ""(?i)hubspot|pipedrive|stripe|shopify|woocommerce|sales|crm|invoice|order|leads?|recruitment|bamboohr|erpnext""), ""CRM &amp; Sales"",
  REGEXMATCH(A454&amp;B454, ""(?i)gmail|outlook|calendar|slack|"&amp;"discord|telegram|whatsapp|notion|trello|drive|sheets?|meeting|scheduler|appointment|mattermost""), ""Productivity &amp; Communication"",
  REGEXMATCH(A454&amp;B454, ""(?i)github|api|webhook|http|mysql|supabase|mongodb|redis|rss|pr|code review|incident|pagerduty|j"&amp;"ira""), ""Development &amp; Utilities"",
  TRUE, ""Others""
)"),"CRM &amp; Sales")</f>
        <v>CRM &amp; Sales</v>
      </c>
    </row>
    <row r="455" ht="15.75" customHeight="1">
      <c r="A455" s="14" t="s">
        <v>896</v>
      </c>
      <c r="B455" s="15" t="s">
        <v>897</v>
      </c>
      <c r="C455" s="16" t="s">
        <v>7</v>
      </c>
      <c r="D455" s="12" t="str">
        <f>IFERROR(__xludf.DUMMYFUNCTION("IFS(
  REGEXMATCH(A455&amp;B455, ""(?i)openai|gpt|gemini|anthropic|claude|mistral|cohere|rag|vector|llm|chatbot|ai-powered""), ""AI &amp; LLM"",
  REGEXMATCH(A455&amp;B455, ""(?i)twitter|instagram|facebook|linkedin|youtube|tiktok|threads|bluesky|pinterest|social vid"&amp;"eo|reels?|shorts?""), ""Social Media"",
  REGEXMATCH(A455&amp;B455, ""(?i)hubspot|pipedrive|stripe|shopify|woocommerce|sales|crm|invoice|order|leads?|recruitment|bamboohr|erpnext""), ""CRM &amp; Sales"",
  REGEXMATCH(A455&amp;B455, ""(?i)gmail|outlook|calendar|slack|"&amp;"discord|telegram|whatsapp|notion|trello|drive|sheets?|meeting|scheduler|appointment|mattermost""), ""Productivity &amp; Communication"",
  REGEXMATCH(A455&amp;B455, ""(?i)github|api|webhook|http|mysql|supabase|mongodb|redis|rss|pr|code review|incident|pagerduty|j"&amp;"ira""), ""Development &amp; Utilities"",
  TRUE, ""Others""
)"),"Development &amp; Utilities")</f>
        <v>Development &amp; Utilities</v>
      </c>
    </row>
    <row r="456" ht="15.75" customHeight="1">
      <c r="A456" s="14" t="s">
        <v>898</v>
      </c>
      <c r="B456" s="15" t="s">
        <v>899</v>
      </c>
      <c r="C456" s="16" t="s">
        <v>7</v>
      </c>
      <c r="D456" s="12" t="str">
        <f>IFERROR(__xludf.DUMMYFUNCTION("IFS(
  REGEXMATCH(A456&amp;B456, ""(?i)openai|gpt|gemini|anthropic|claude|mistral|cohere|rag|vector|llm|chatbot|ai-powered""), ""AI &amp; LLM"",
  REGEXMATCH(A456&amp;B456, ""(?i)twitter|instagram|facebook|linkedin|youtube|tiktok|threads|bluesky|pinterest|social vid"&amp;"eo|reels?|shorts?""), ""Social Media"",
  REGEXMATCH(A456&amp;B456, ""(?i)hubspot|pipedrive|stripe|shopify|woocommerce|sales|crm|invoice|order|leads?|recruitment|bamboohr|erpnext""), ""CRM &amp; Sales"",
  REGEXMATCH(A456&amp;B456, ""(?i)gmail|outlook|calendar|slack|"&amp;"discord|telegram|whatsapp|notion|trello|drive|sheets?|meeting|scheduler|appointment|mattermost""), ""Productivity &amp; Communication"",
  REGEXMATCH(A456&amp;B456, ""(?i)github|api|webhook|http|mysql|supabase|mongodb|redis|rss|pr|code review|incident|pagerduty|j"&amp;"ira""), ""Development &amp; Utilities"",
  TRUE, ""Others""
)"),"Development &amp; Utilities")</f>
        <v>Development &amp; Utilities</v>
      </c>
    </row>
    <row r="457" ht="15.75" customHeight="1">
      <c r="A457" s="14" t="s">
        <v>900</v>
      </c>
      <c r="B457" s="15" t="s">
        <v>901</v>
      </c>
      <c r="C457" s="16" t="s">
        <v>7</v>
      </c>
      <c r="D457" s="12" t="str">
        <f>IFERROR(__xludf.DUMMYFUNCTION("IFS(
  REGEXMATCH(A457&amp;B457, ""(?i)openai|gpt|gemini|anthropic|claude|mistral|cohere|rag|vector|llm|chatbot|ai-powered""), ""AI &amp; LLM"",
  REGEXMATCH(A457&amp;B457, ""(?i)twitter|instagram|facebook|linkedin|youtube|tiktok|threads|bluesky|pinterest|social vid"&amp;"eo|reels?|shorts?""), ""Social Media"",
  REGEXMATCH(A457&amp;B457, ""(?i)hubspot|pipedrive|stripe|shopify|woocommerce|sales|crm|invoice|order|leads?|recruitment|bamboohr|erpnext""), ""CRM &amp; Sales"",
  REGEXMATCH(A457&amp;B457, ""(?i)gmail|outlook|calendar|slack|"&amp;"discord|telegram|whatsapp|notion|trello|drive|sheets?|meeting|scheduler|appointment|mattermost""), ""Productivity &amp; Communication"",
  REGEXMATCH(A457&amp;B457, ""(?i)github|api|webhook|http|mysql|supabase|mongodb|redis|rss|pr|code review|incident|pagerduty|j"&amp;"ira""), ""Development &amp; Utilities"",
  TRUE, ""Others""
)"),"AI &amp; LLM")</f>
        <v>AI &amp; LLM</v>
      </c>
    </row>
    <row r="458" ht="15.75" customHeight="1">
      <c r="A458" s="14" t="s">
        <v>902</v>
      </c>
      <c r="B458" s="15" t="s">
        <v>903</v>
      </c>
      <c r="C458" s="16" t="s">
        <v>7</v>
      </c>
      <c r="D458" s="12" t="str">
        <f>IFERROR(__xludf.DUMMYFUNCTION("IFS(
  REGEXMATCH(A458&amp;B458, ""(?i)openai|gpt|gemini|anthropic|claude|mistral|cohere|rag|vector|llm|chatbot|ai-powered""), ""AI &amp; LLM"",
  REGEXMATCH(A458&amp;B458, ""(?i)twitter|instagram|facebook|linkedin|youtube|tiktok|threads|bluesky|pinterest|social vid"&amp;"eo|reels?|shorts?""), ""Social Media"",
  REGEXMATCH(A458&amp;B458, ""(?i)hubspot|pipedrive|stripe|shopify|woocommerce|sales|crm|invoice|order|leads?|recruitment|bamboohr|erpnext""), ""CRM &amp; Sales"",
  REGEXMATCH(A458&amp;B458, ""(?i)gmail|outlook|calendar|slack|"&amp;"discord|telegram|whatsapp|notion|trello|drive|sheets?|meeting|scheduler|appointment|mattermost""), ""Productivity &amp; Communication"",
  REGEXMATCH(A458&amp;B458, ""(?i)github|api|webhook|http|mysql|supabase|mongodb|redis|rss|pr|code review|incident|pagerduty|j"&amp;"ira""), ""Development &amp; Utilities"",
  TRUE, ""Others""
)"),"CRM &amp; Sales")</f>
        <v>CRM &amp; Sales</v>
      </c>
    </row>
    <row r="459" ht="15.75" customHeight="1">
      <c r="A459" s="14" t="s">
        <v>904</v>
      </c>
      <c r="B459" s="15" t="s">
        <v>905</v>
      </c>
      <c r="C459" s="16" t="s">
        <v>7</v>
      </c>
      <c r="D459" s="12" t="str">
        <f>IFERROR(__xludf.DUMMYFUNCTION("IFS(
  REGEXMATCH(A459&amp;B459, ""(?i)openai|gpt|gemini|anthropic|claude|mistral|cohere|rag|vector|llm|chatbot|ai-powered""), ""AI &amp; LLM"",
  REGEXMATCH(A459&amp;B459, ""(?i)twitter|instagram|facebook|linkedin|youtube|tiktok|threads|bluesky|pinterest|social vid"&amp;"eo|reels?|shorts?""), ""Social Media"",
  REGEXMATCH(A459&amp;B459, ""(?i)hubspot|pipedrive|stripe|shopify|woocommerce|sales|crm|invoice|order|leads?|recruitment|bamboohr|erpnext""), ""CRM &amp; Sales"",
  REGEXMATCH(A459&amp;B459, ""(?i)gmail|outlook|calendar|slack|"&amp;"discord|telegram|whatsapp|notion|trello|drive|sheets?|meeting|scheduler|appointment|mattermost""), ""Productivity &amp; Communication"",
  REGEXMATCH(A459&amp;B459, ""(?i)github|api|webhook|http|mysql|supabase|mongodb|redis|rss|pr|code review|incident|pagerduty|j"&amp;"ira""), ""Development &amp; Utilities"",
  TRUE, ""Others""
)"),"CRM &amp; Sales")</f>
        <v>CRM &amp; Sales</v>
      </c>
    </row>
    <row r="460" ht="15.75" customHeight="1">
      <c r="A460" s="14" t="s">
        <v>906</v>
      </c>
      <c r="B460" s="15" t="s">
        <v>907</v>
      </c>
      <c r="C460" s="16" t="s">
        <v>7</v>
      </c>
      <c r="D460" s="12" t="str">
        <f>IFERROR(__xludf.DUMMYFUNCTION("IFS(
  REGEXMATCH(A460&amp;B460, ""(?i)openai|gpt|gemini|anthropic|claude|mistral|cohere|rag|vector|llm|chatbot|ai-powered""), ""AI &amp; LLM"",
  REGEXMATCH(A460&amp;B460, ""(?i)twitter|instagram|facebook|linkedin|youtube|tiktok|threads|bluesky|pinterest|social vid"&amp;"eo|reels?|shorts?""), ""Social Media"",
  REGEXMATCH(A460&amp;B460, ""(?i)hubspot|pipedrive|stripe|shopify|woocommerce|sales|crm|invoice|order|leads?|recruitment|bamboohr|erpnext""), ""CRM &amp; Sales"",
  REGEXMATCH(A460&amp;B460, ""(?i)gmail|outlook|calendar|slack|"&amp;"discord|telegram|whatsapp|notion|trello|drive|sheets?|meeting|scheduler|appointment|mattermost""), ""Productivity &amp; Communication"",
  REGEXMATCH(A460&amp;B460, ""(?i)github|api|webhook|http|mysql|supabase|mongodb|redis|rss|pr|code review|incident|pagerduty|j"&amp;"ira""), ""Development &amp; Utilities"",
  TRUE, ""Others""
)"),"AI &amp; LLM")</f>
        <v>AI &amp; LLM</v>
      </c>
    </row>
    <row r="461" ht="15.75" customHeight="1">
      <c r="A461" s="14" t="s">
        <v>908</v>
      </c>
      <c r="B461" s="15" t="s">
        <v>909</v>
      </c>
      <c r="C461" s="16" t="s">
        <v>7</v>
      </c>
      <c r="D461" s="12" t="str">
        <f>IFERROR(__xludf.DUMMYFUNCTION("IFS(
  REGEXMATCH(A461&amp;B461, ""(?i)openai|gpt|gemini|anthropic|claude|mistral|cohere|rag|vector|llm|chatbot|ai-powered""), ""AI &amp; LLM"",
  REGEXMATCH(A461&amp;B461, ""(?i)twitter|instagram|facebook|linkedin|youtube|tiktok|threads|bluesky|pinterest|social vid"&amp;"eo|reels?|shorts?""), ""Social Media"",
  REGEXMATCH(A461&amp;B461, ""(?i)hubspot|pipedrive|stripe|shopify|woocommerce|sales|crm|invoice|order|leads?|recruitment|bamboohr|erpnext""), ""CRM &amp; Sales"",
  REGEXMATCH(A461&amp;B461, ""(?i)gmail|outlook|calendar|slack|"&amp;"discord|telegram|whatsapp|notion|trello|drive|sheets?|meeting|scheduler|appointment|mattermost""), ""Productivity &amp; Communication"",
  REGEXMATCH(A461&amp;B461, ""(?i)github|api|webhook|http|mysql|supabase|mongodb|redis|rss|pr|code review|incident|pagerduty|j"&amp;"ira""), ""Development &amp; Utilities"",
  TRUE, ""Others""
)"),"Development &amp; Utilities")</f>
        <v>Development &amp; Utilities</v>
      </c>
    </row>
    <row r="462" ht="15.75" customHeight="1">
      <c r="A462" s="14" t="s">
        <v>910</v>
      </c>
      <c r="B462" s="15" t="s">
        <v>911</v>
      </c>
      <c r="C462" s="16" t="s">
        <v>7</v>
      </c>
      <c r="D462" s="12" t="str">
        <f>IFERROR(__xludf.DUMMYFUNCTION("IFS(
  REGEXMATCH(A462&amp;B462, ""(?i)openai|gpt|gemini|anthropic|claude|mistral|cohere|rag|vector|llm|chatbot|ai-powered""), ""AI &amp; LLM"",
  REGEXMATCH(A462&amp;B462, ""(?i)twitter|instagram|facebook|linkedin|youtube|tiktok|threads|bluesky|pinterest|social vid"&amp;"eo|reels?|shorts?""), ""Social Media"",
  REGEXMATCH(A462&amp;B462, ""(?i)hubspot|pipedrive|stripe|shopify|woocommerce|sales|crm|invoice|order|leads?|recruitment|bamboohr|erpnext""), ""CRM &amp; Sales"",
  REGEXMATCH(A462&amp;B462, ""(?i)gmail|outlook|calendar|slack|"&amp;"discord|telegram|whatsapp|notion|trello|drive|sheets?|meeting|scheduler|appointment|mattermost""), ""Productivity &amp; Communication"",
  REGEXMATCH(A462&amp;B462, ""(?i)github|api|webhook|http|mysql|supabase|mongodb|redis|rss|pr|code review|incident|pagerduty|j"&amp;"ira""), ""Development &amp; Utilities"",
  TRUE, ""Others""
)"),"CRM &amp; Sales")</f>
        <v>CRM &amp; Sales</v>
      </c>
    </row>
    <row r="463" ht="15.75" customHeight="1">
      <c r="A463" s="14" t="s">
        <v>912</v>
      </c>
      <c r="B463" s="15" t="s">
        <v>913</v>
      </c>
      <c r="C463" s="16" t="s">
        <v>7</v>
      </c>
      <c r="D463" s="12" t="str">
        <f>IFERROR(__xludf.DUMMYFUNCTION("IFS(
  REGEXMATCH(A463&amp;B463, ""(?i)openai|gpt|gemini|anthropic|claude|mistral|cohere|rag|vector|llm|chatbot|ai-powered""), ""AI &amp; LLM"",
  REGEXMATCH(A463&amp;B463, ""(?i)twitter|instagram|facebook|linkedin|youtube|tiktok|threads|bluesky|pinterest|social vid"&amp;"eo|reels?|shorts?""), ""Social Media"",
  REGEXMATCH(A463&amp;B463, ""(?i)hubspot|pipedrive|stripe|shopify|woocommerce|sales|crm|invoice|order|leads?|recruitment|bamboohr|erpnext""), ""CRM &amp; Sales"",
  REGEXMATCH(A463&amp;B463, ""(?i)gmail|outlook|calendar|slack|"&amp;"discord|telegram|whatsapp|notion|trello|drive|sheets?|meeting|scheduler|appointment|mattermost""), ""Productivity &amp; Communication"",
  REGEXMATCH(A463&amp;B463, ""(?i)github|api|webhook|http|mysql|supabase|mongodb|redis|rss|pr|code review|incident|pagerduty|j"&amp;"ira""), ""Development &amp; Utilities"",
  TRUE, ""Others""
)"),"CRM &amp; Sales")</f>
        <v>CRM &amp; Sales</v>
      </c>
    </row>
    <row r="464" ht="15.75" customHeight="1">
      <c r="A464" s="14" t="s">
        <v>914</v>
      </c>
      <c r="B464" s="15" t="s">
        <v>915</v>
      </c>
      <c r="C464" s="16" t="s">
        <v>7</v>
      </c>
      <c r="D464" s="12" t="str">
        <f>IFERROR(__xludf.DUMMYFUNCTION("IFS(
  REGEXMATCH(A464&amp;B464, ""(?i)openai|gpt|gemini|anthropic|claude|mistral|cohere|rag|vector|llm|chatbot|ai-powered""), ""AI &amp; LLM"",
  REGEXMATCH(A464&amp;B464, ""(?i)twitter|instagram|facebook|linkedin|youtube|tiktok|threads|bluesky|pinterest|social vid"&amp;"eo|reels?|shorts?""), ""Social Media"",
  REGEXMATCH(A464&amp;B464, ""(?i)hubspot|pipedrive|stripe|shopify|woocommerce|sales|crm|invoice|order|leads?|recruitment|bamboohr|erpnext""), ""CRM &amp; Sales"",
  REGEXMATCH(A464&amp;B464, ""(?i)gmail|outlook|calendar|slack|"&amp;"discord|telegram|whatsapp|notion|trello|drive|sheets?|meeting|scheduler|appointment|mattermost""), ""Productivity &amp; Communication"",
  REGEXMATCH(A464&amp;B464, ""(?i)github|api|webhook|http|mysql|supabase|mongodb|redis|rss|pr|code review|incident|pagerduty|j"&amp;"ira""), ""Development &amp; Utilities"",
  TRUE, ""Others""
)"),"Productivity &amp; Communication")</f>
        <v>Productivity &amp; Communication</v>
      </c>
    </row>
    <row r="465" ht="15.75" customHeight="1">
      <c r="A465" s="14" t="s">
        <v>916</v>
      </c>
      <c r="B465" s="15" t="s">
        <v>917</v>
      </c>
      <c r="C465" s="16" t="s">
        <v>7</v>
      </c>
      <c r="D465" s="12" t="str">
        <f>IFERROR(__xludf.DUMMYFUNCTION("IFS(
  REGEXMATCH(A465&amp;B465, ""(?i)openai|gpt|gemini|anthropic|claude|mistral|cohere|rag|vector|llm|chatbot|ai-powered""), ""AI &amp; LLM"",
  REGEXMATCH(A465&amp;B465, ""(?i)twitter|instagram|facebook|linkedin|youtube|tiktok|threads|bluesky|pinterest|social vid"&amp;"eo|reels?|shorts?""), ""Social Media"",
  REGEXMATCH(A465&amp;B465, ""(?i)hubspot|pipedrive|stripe|shopify|woocommerce|sales|crm|invoice|order|leads?|recruitment|bamboohr|erpnext""), ""CRM &amp; Sales"",
  REGEXMATCH(A465&amp;B465, ""(?i)gmail|outlook|calendar|slack|"&amp;"discord|telegram|whatsapp|notion|trello|drive|sheets?|meeting|scheduler|appointment|mattermost""), ""Productivity &amp; Communication"",
  REGEXMATCH(A465&amp;B465, ""(?i)github|api|webhook|http|mysql|supabase|mongodb|redis|rss|pr|code review|incident|pagerduty|j"&amp;"ira""), ""Development &amp; Utilities"",
  TRUE, ""Others""
)"),"Productivity &amp; Communication")</f>
        <v>Productivity &amp; Communication</v>
      </c>
    </row>
    <row r="466" ht="15.75" customHeight="1">
      <c r="A466" s="14" t="s">
        <v>918</v>
      </c>
      <c r="B466" s="15" t="s">
        <v>919</v>
      </c>
      <c r="C466" s="16" t="s">
        <v>7</v>
      </c>
      <c r="D466" s="12" t="str">
        <f>IFERROR(__xludf.DUMMYFUNCTION("IFS(
  REGEXMATCH(A466&amp;B466, ""(?i)openai|gpt|gemini|anthropic|claude|mistral|cohere|rag|vector|llm|chatbot|ai-powered""), ""AI &amp; LLM"",
  REGEXMATCH(A466&amp;B466, ""(?i)twitter|instagram|facebook|linkedin|youtube|tiktok|threads|bluesky|pinterest|social vid"&amp;"eo|reels?|shorts?""), ""Social Media"",
  REGEXMATCH(A466&amp;B466, ""(?i)hubspot|pipedrive|stripe|shopify|woocommerce|sales|crm|invoice|order|leads?|recruitment|bamboohr|erpnext""), ""CRM &amp; Sales"",
  REGEXMATCH(A466&amp;B466, ""(?i)gmail|outlook|calendar|slack|"&amp;"discord|telegram|whatsapp|notion|trello|drive|sheets?|meeting|scheduler|appointment|mattermost""), ""Productivity &amp; Communication"",
  REGEXMATCH(A466&amp;B466, ""(?i)github|api|webhook|http|mysql|supabase|mongodb|redis|rss|pr|code review|incident|pagerduty|j"&amp;"ira""), ""Development &amp; Utilities"",
  TRUE, ""Others""
)"),"Productivity &amp; Communication")</f>
        <v>Productivity &amp; Communication</v>
      </c>
    </row>
    <row r="467" ht="15.75" customHeight="1">
      <c r="A467" s="14" t="s">
        <v>920</v>
      </c>
      <c r="B467" s="15" t="s">
        <v>921</v>
      </c>
      <c r="C467" s="16" t="s">
        <v>7</v>
      </c>
      <c r="D467" s="12" t="str">
        <f>IFERROR(__xludf.DUMMYFUNCTION("IFS(
  REGEXMATCH(A467&amp;B467, ""(?i)openai|gpt|gemini|anthropic|claude|mistral|cohere|rag|vector|llm|chatbot|ai-powered""), ""AI &amp; LLM"",
  REGEXMATCH(A467&amp;B467, ""(?i)twitter|instagram|facebook|linkedin|youtube|tiktok|threads|bluesky|pinterest|social vid"&amp;"eo|reels?|shorts?""), ""Social Media"",
  REGEXMATCH(A467&amp;B467, ""(?i)hubspot|pipedrive|stripe|shopify|woocommerce|sales|crm|invoice|order|leads?|recruitment|bamboohr|erpnext""), ""CRM &amp; Sales"",
  REGEXMATCH(A467&amp;B467, ""(?i)gmail|outlook|calendar|slack|"&amp;"discord|telegram|whatsapp|notion|trello|drive|sheets?|meeting|scheduler|appointment|mattermost""), ""Productivity &amp; Communication"",
  REGEXMATCH(A467&amp;B467, ""(?i)github|api|webhook|http|mysql|supabase|mongodb|redis|rss|pr|code review|incident|pagerduty|j"&amp;"ira""), ""Development &amp; Utilities"",
  TRUE, ""Others""
)"),"Productivity &amp; Communication")</f>
        <v>Productivity &amp; Communication</v>
      </c>
    </row>
    <row r="468" ht="15.75" customHeight="1">
      <c r="A468" s="14" t="s">
        <v>922</v>
      </c>
      <c r="B468" s="15" t="s">
        <v>923</v>
      </c>
      <c r="C468" s="16" t="s">
        <v>7</v>
      </c>
      <c r="D468" s="12" t="str">
        <f>IFERROR(__xludf.DUMMYFUNCTION("IFS(
  REGEXMATCH(A468&amp;B468, ""(?i)openai|gpt|gemini|anthropic|claude|mistral|cohere|rag|vector|llm|chatbot|ai-powered""), ""AI &amp; LLM"",
  REGEXMATCH(A468&amp;B468, ""(?i)twitter|instagram|facebook|linkedin|youtube|tiktok|threads|bluesky|pinterest|social vid"&amp;"eo|reels?|shorts?""), ""Social Media"",
  REGEXMATCH(A468&amp;B468, ""(?i)hubspot|pipedrive|stripe|shopify|woocommerce|sales|crm|invoice|order|leads?|recruitment|bamboohr|erpnext""), ""CRM &amp; Sales"",
  REGEXMATCH(A468&amp;B468, ""(?i)gmail|outlook|calendar|slack|"&amp;"discord|telegram|whatsapp|notion|trello|drive|sheets?|meeting|scheduler|appointment|mattermost""), ""Productivity &amp; Communication"",
  REGEXMATCH(A468&amp;B468, ""(?i)github|api|webhook|http|mysql|supabase|mongodb|redis|rss|pr|code review|incident|pagerduty|j"&amp;"ira""), ""Development &amp; Utilities"",
  TRUE, ""Others""
)"),"Productivity &amp; Communication")</f>
        <v>Productivity &amp; Communication</v>
      </c>
    </row>
    <row r="469" ht="15.75" customHeight="1">
      <c r="A469" s="14" t="s">
        <v>924</v>
      </c>
      <c r="B469" s="15" t="s">
        <v>925</v>
      </c>
      <c r="C469" s="16" t="s">
        <v>7</v>
      </c>
      <c r="D469" s="12" t="str">
        <f>IFERROR(__xludf.DUMMYFUNCTION("IFS(
  REGEXMATCH(A469&amp;B469, ""(?i)openai|gpt|gemini|anthropic|claude|mistral|cohere|rag|vector|llm|chatbot|ai-powered""), ""AI &amp; LLM"",
  REGEXMATCH(A469&amp;B469, ""(?i)twitter|instagram|facebook|linkedin|youtube|tiktok|threads|bluesky|pinterest|social vid"&amp;"eo|reels?|shorts?""), ""Social Media"",
  REGEXMATCH(A469&amp;B469, ""(?i)hubspot|pipedrive|stripe|shopify|woocommerce|sales|crm|invoice|order|leads?|recruitment|bamboohr|erpnext""), ""CRM &amp; Sales"",
  REGEXMATCH(A469&amp;B469, ""(?i)gmail|outlook|calendar|slack|"&amp;"discord|telegram|whatsapp|notion|trello|drive|sheets?|meeting|scheduler|appointment|mattermost""), ""Productivity &amp; Communication"",
  REGEXMATCH(A469&amp;B469, ""(?i)github|api|webhook|http|mysql|supabase|mongodb|redis|rss|pr|code review|incident|pagerduty|j"&amp;"ira""), ""Development &amp; Utilities"",
  TRUE, ""Others""
)"),"Productivity &amp; Communication")</f>
        <v>Productivity &amp; Communication</v>
      </c>
    </row>
    <row r="470" ht="15.75" customHeight="1">
      <c r="A470" s="14" t="s">
        <v>926</v>
      </c>
      <c r="B470" s="15" t="s">
        <v>927</v>
      </c>
      <c r="C470" s="16" t="s">
        <v>7</v>
      </c>
      <c r="D470" s="12" t="str">
        <f>IFERROR(__xludf.DUMMYFUNCTION("IFS(
  REGEXMATCH(A470&amp;B470, ""(?i)openai|gpt|gemini|anthropic|claude|mistral|cohere|rag|vector|llm|chatbot|ai-powered""), ""AI &amp; LLM"",
  REGEXMATCH(A470&amp;B470, ""(?i)twitter|instagram|facebook|linkedin|youtube|tiktok|threads|bluesky|pinterest|social vid"&amp;"eo|reels?|shorts?""), ""Social Media"",
  REGEXMATCH(A470&amp;B470, ""(?i)hubspot|pipedrive|stripe|shopify|woocommerce|sales|crm|invoice|order|leads?|recruitment|bamboohr|erpnext""), ""CRM &amp; Sales"",
  REGEXMATCH(A470&amp;B470, ""(?i)gmail|outlook|calendar|slack|"&amp;"discord|telegram|whatsapp|notion|trello|drive|sheets?|meeting|scheduler|appointment|mattermost""), ""Productivity &amp; Communication"",
  REGEXMATCH(A470&amp;B470, ""(?i)github|api|webhook|http|mysql|supabase|mongodb|redis|rss|pr|code review|incident|pagerduty|j"&amp;"ira""), ""Development &amp; Utilities"",
  TRUE, ""Others""
)"),"Productivity &amp; Communication")</f>
        <v>Productivity &amp; Communication</v>
      </c>
    </row>
    <row r="471" ht="15.75" customHeight="1">
      <c r="A471" s="14" t="s">
        <v>928</v>
      </c>
      <c r="B471" s="15" t="s">
        <v>929</v>
      </c>
      <c r="C471" s="16" t="s">
        <v>7</v>
      </c>
      <c r="D471" s="12" t="str">
        <f>IFERROR(__xludf.DUMMYFUNCTION("IFS(
  REGEXMATCH(A471&amp;B471, ""(?i)openai|gpt|gemini|anthropic|claude|mistral|cohere|rag|vector|llm|chatbot|ai-powered""), ""AI &amp; LLM"",
  REGEXMATCH(A471&amp;B471, ""(?i)twitter|instagram|facebook|linkedin|youtube|tiktok|threads|bluesky|pinterest|social vid"&amp;"eo|reels?|shorts?""), ""Social Media"",
  REGEXMATCH(A471&amp;B471, ""(?i)hubspot|pipedrive|stripe|shopify|woocommerce|sales|crm|invoice|order|leads?|recruitment|bamboohr|erpnext""), ""CRM &amp; Sales"",
  REGEXMATCH(A471&amp;B471, ""(?i)gmail|outlook|calendar|slack|"&amp;"discord|telegram|whatsapp|notion|trello|drive|sheets?|meeting|scheduler|appointment|mattermost""), ""Productivity &amp; Communication"",
  REGEXMATCH(A471&amp;B471, ""(?i)github|api|webhook|http|mysql|supabase|mongodb|redis|rss|pr|code review|incident|pagerduty|j"&amp;"ira""), ""Development &amp; Utilities"",
  TRUE, ""Others""
)"),"AI &amp; LLM")</f>
        <v>AI &amp; LLM</v>
      </c>
    </row>
    <row r="472" ht="15.75" customHeight="1">
      <c r="A472" s="14" t="s">
        <v>930</v>
      </c>
      <c r="B472" s="15" t="s">
        <v>931</v>
      </c>
      <c r="C472" s="16" t="s">
        <v>7</v>
      </c>
      <c r="D472" s="12" t="str">
        <f>IFERROR(__xludf.DUMMYFUNCTION("IFS(
  REGEXMATCH(A472&amp;B472, ""(?i)openai|gpt|gemini|anthropic|claude|mistral|cohere|rag|vector|llm|chatbot|ai-powered""), ""AI &amp; LLM"",
  REGEXMATCH(A472&amp;B472, ""(?i)twitter|instagram|facebook|linkedin|youtube|tiktok|threads|bluesky|pinterest|social vid"&amp;"eo|reels?|shorts?""), ""Social Media"",
  REGEXMATCH(A472&amp;B472, ""(?i)hubspot|pipedrive|stripe|shopify|woocommerce|sales|crm|invoice|order|leads?|recruitment|bamboohr|erpnext""), ""CRM &amp; Sales"",
  REGEXMATCH(A472&amp;B472, ""(?i)gmail|outlook|calendar|slack|"&amp;"discord|telegram|whatsapp|notion|trello|drive|sheets?|meeting|scheduler|appointment|mattermost""), ""Productivity &amp; Communication"",
  REGEXMATCH(A472&amp;B472, ""(?i)github|api|webhook|http|mysql|supabase|mongodb|redis|rss|pr|code review|incident|pagerduty|j"&amp;"ira""), ""Development &amp; Utilities"",
  TRUE, ""Others""
)"),"AI &amp; LLM")</f>
        <v>AI &amp; LLM</v>
      </c>
    </row>
    <row r="473" ht="15.75" customHeight="1">
      <c r="A473" s="14" t="s">
        <v>932</v>
      </c>
      <c r="B473" s="15" t="s">
        <v>933</v>
      </c>
      <c r="C473" s="16" t="s">
        <v>7</v>
      </c>
      <c r="D473" s="12" t="str">
        <f>IFERROR(__xludf.DUMMYFUNCTION("IFS(
  REGEXMATCH(A473&amp;B473, ""(?i)openai|gpt|gemini|anthropic|claude|mistral|cohere|rag|vector|llm|chatbot|ai-powered""), ""AI &amp; LLM"",
  REGEXMATCH(A473&amp;B473, ""(?i)twitter|instagram|facebook|linkedin|youtube|tiktok|threads|bluesky|pinterest|social vid"&amp;"eo|reels?|shorts?""), ""Social Media"",
  REGEXMATCH(A473&amp;B473, ""(?i)hubspot|pipedrive|stripe|shopify|woocommerce|sales|crm|invoice|order|leads?|recruitment|bamboohr|erpnext""), ""CRM &amp; Sales"",
  REGEXMATCH(A473&amp;B473, ""(?i)gmail|outlook|calendar|slack|"&amp;"discord|telegram|whatsapp|notion|trello|drive|sheets?|meeting|scheduler|appointment|mattermost""), ""Productivity &amp; Communication"",
  REGEXMATCH(A473&amp;B473, ""(?i)github|api|webhook|http|mysql|supabase|mongodb|redis|rss|pr|code review|incident|pagerduty|j"&amp;"ira""), ""Development &amp; Utilities"",
  TRUE, ""Others""
)"),"AI &amp; LLM")</f>
        <v>AI &amp; LLM</v>
      </c>
    </row>
    <row r="474" ht="15.75" customHeight="1">
      <c r="A474" s="14" t="s">
        <v>934</v>
      </c>
      <c r="B474" s="15" t="s">
        <v>935</v>
      </c>
      <c r="C474" s="16" t="s">
        <v>7</v>
      </c>
      <c r="D474" s="12" t="str">
        <f>IFERROR(__xludf.DUMMYFUNCTION("IFS(
  REGEXMATCH(A474&amp;B474, ""(?i)openai|gpt|gemini|anthropic|claude|mistral|cohere|rag|vector|llm|chatbot|ai-powered""), ""AI &amp; LLM"",
  REGEXMATCH(A474&amp;B474, ""(?i)twitter|instagram|facebook|linkedin|youtube|tiktok|threads|bluesky|pinterest|social vid"&amp;"eo|reels?|shorts?""), ""Social Media"",
  REGEXMATCH(A474&amp;B474, ""(?i)hubspot|pipedrive|stripe|shopify|woocommerce|sales|crm|invoice|order|leads?|recruitment|bamboohr|erpnext""), ""CRM &amp; Sales"",
  REGEXMATCH(A474&amp;B474, ""(?i)gmail|outlook|calendar|slack|"&amp;"discord|telegram|whatsapp|notion|trello|drive|sheets?|meeting|scheduler|appointment|mattermost""), ""Productivity &amp; Communication"",
  REGEXMATCH(A474&amp;B474, ""(?i)github|api|webhook|http|mysql|supabase|mongodb|redis|rss|pr|code review|incident|pagerduty|j"&amp;"ira""), ""Development &amp; Utilities"",
  TRUE, ""Others""
)"),"AI &amp; LLM")</f>
        <v>AI &amp; LLM</v>
      </c>
    </row>
    <row r="475" ht="15.75" customHeight="1">
      <c r="A475" s="14" t="s">
        <v>936</v>
      </c>
      <c r="B475" s="15" t="s">
        <v>937</v>
      </c>
      <c r="C475" s="16" t="s">
        <v>7</v>
      </c>
      <c r="D475" s="12" t="str">
        <f>IFERROR(__xludf.DUMMYFUNCTION("IFS(
  REGEXMATCH(A475&amp;B475, ""(?i)openai|gpt|gemini|anthropic|claude|mistral|cohere|rag|vector|llm|chatbot|ai-powered""), ""AI &amp; LLM"",
  REGEXMATCH(A475&amp;B475, ""(?i)twitter|instagram|facebook|linkedin|youtube|tiktok|threads|bluesky|pinterest|social vid"&amp;"eo|reels?|shorts?""), ""Social Media"",
  REGEXMATCH(A475&amp;B475, ""(?i)hubspot|pipedrive|stripe|shopify|woocommerce|sales|crm|invoice|order|leads?|recruitment|bamboohr|erpnext""), ""CRM &amp; Sales"",
  REGEXMATCH(A475&amp;B475, ""(?i)gmail|outlook|calendar|slack|"&amp;"discord|telegram|whatsapp|notion|trello|drive|sheets?|meeting|scheduler|appointment|mattermost""), ""Productivity &amp; Communication"",
  REGEXMATCH(A475&amp;B475, ""(?i)github|api|webhook|http|mysql|supabase|mongodb|redis|rss|pr|code review|incident|pagerduty|j"&amp;"ira""), ""Development &amp; Utilities"",
  TRUE, ""Others""
)"),"AI &amp; LLM")</f>
        <v>AI &amp; LLM</v>
      </c>
    </row>
    <row r="476" ht="15.75" customHeight="1">
      <c r="A476" s="14" t="s">
        <v>938</v>
      </c>
      <c r="B476" s="15" t="s">
        <v>939</v>
      </c>
      <c r="C476" s="16" t="s">
        <v>7</v>
      </c>
      <c r="D476" s="12" t="str">
        <f>IFERROR(__xludf.DUMMYFUNCTION("IFS(
  REGEXMATCH(A476&amp;B476, ""(?i)openai|gpt|gemini|anthropic|claude|mistral|cohere|rag|vector|llm|chatbot|ai-powered""), ""AI &amp; LLM"",
  REGEXMATCH(A476&amp;B476, ""(?i)twitter|instagram|facebook|linkedin|youtube|tiktok|threads|bluesky|pinterest|social vid"&amp;"eo|reels?|shorts?""), ""Social Media"",
  REGEXMATCH(A476&amp;B476, ""(?i)hubspot|pipedrive|stripe|shopify|woocommerce|sales|crm|invoice|order|leads?|recruitment|bamboohr|erpnext""), ""CRM &amp; Sales"",
  REGEXMATCH(A476&amp;B476, ""(?i)gmail|outlook|calendar|slack|"&amp;"discord|telegram|whatsapp|notion|trello|drive|sheets?|meeting|scheduler|appointment|mattermost""), ""Productivity &amp; Communication"",
  REGEXMATCH(A476&amp;B476, ""(?i)github|api|webhook|http|mysql|supabase|mongodb|redis|rss|pr|code review|incident|pagerduty|j"&amp;"ira""), ""Development &amp; Utilities"",
  TRUE, ""Others""
)"),"AI &amp; LLM")</f>
        <v>AI &amp; LLM</v>
      </c>
    </row>
    <row r="477" ht="15.75" customHeight="1">
      <c r="A477" s="14" t="s">
        <v>940</v>
      </c>
      <c r="B477" s="15" t="s">
        <v>941</v>
      </c>
      <c r="C477" s="16" t="s">
        <v>7</v>
      </c>
      <c r="D477" s="12" t="str">
        <f>IFERROR(__xludf.DUMMYFUNCTION("IFS(
  REGEXMATCH(A477&amp;B477, ""(?i)openai|gpt|gemini|anthropic|claude|mistral|cohere|rag|vector|llm|chatbot|ai-powered""), ""AI &amp; LLM"",
  REGEXMATCH(A477&amp;B477, ""(?i)twitter|instagram|facebook|linkedin|youtube|tiktok|threads|bluesky|pinterest|social vid"&amp;"eo|reels?|shorts?""), ""Social Media"",
  REGEXMATCH(A477&amp;B477, ""(?i)hubspot|pipedrive|stripe|shopify|woocommerce|sales|crm|invoice|order|leads?|recruitment|bamboohr|erpnext""), ""CRM &amp; Sales"",
  REGEXMATCH(A477&amp;B477, ""(?i)gmail|outlook|calendar|slack|"&amp;"discord|telegram|whatsapp|notion|trello|drive|sheets?|meeting|scheduler|appointment|mattermost""), ""Productivity &amp; Communication"",
  REGEXMATCH(A477&amp;B477, ""(?i)github|api|webhook|http|mysql|supabase|mongodb|redis|rss|pr|code review|incident|pagerduty|j"&amp;"ira""), ""Development &amp; Utilities"",
  TRUE, ""Others""
)"),"Others")</f>
        <v>Others</v>
      </c>
    </row>
    <row r="478" ht="15.75" customHeight="1">
      <c r="A478" s="14" t="s">
        <v>942</v>
      </c>
      <c r="B478" s="15" t="s">
        <v>943</v>
      </c>
      <c r="C478" s="16" t="s">
        <v>7</v>
      </c>
      <c r="D478" s="12" t="str">
        <f>IFERROR(__xludf.DUMMYFUNCTION("IFS(
  REGEXMATCH(A478&amp;B478, ""(?i)openai|gpt|gemini|anthropic|claude|mistral|cohere|rag|vector|llm|chatbot|ai-powered""), ""AI &amp; LLM"",
  REGEXMATCH(A478&amp;B478, ""(?i)twitter|instagram|facebook|linkedin|youtube|tiktok|threads|bluesky|pinterest|social vid"&amp;"eo|reels?|shorts?""), ""Social Media"",
  REGEXMATCH(A478&amp;B478, ""(?i)hubspot|pipedrive|stripe|shopify|woocommerce|sales|crm|invoice|order|leads?|recruitment|bamboohr|erpnext""), ""CRM &amp; Sales"",
  REGEXMATCH(A478&amp;B478, ""(?i)gmail|outlook|calendar|slack|"&amp;"discord|telegram|whatsapp|notion|trello|drive|sheets?|meeting|scheduler|appointment|mattermost""), ""Productivity &amp; Communication"",
  REGEXMATCH(A478&amp;B478, ""(?i)github|api|webhook|http|mysql|supabase|mongodb|redis|rss|pr|code review|incident|pagerduty|j"&amp;"ira""), ""Development &amp; Utilities"",
  TRUE, ""Others""
)"),"Development &amp; Utilities")</f>
        <v>Development &amp; Utilities</v>
      </c>
    </row>
    <row r="479" ht="15.75" customHeight="1">
      <c r="A479" s="14" t="s">
        <v>944</v>
      </c>
      <c r="B479" s="15" t="s">
        <v>945</v>
      </c>
      <c r="C479" s="16" t="s">
        <v>7</v>
      </c>
      <c r="D479" s="12" t="str">
        <f>IFERROR(__xludf.DUMMYFUNCTION("IFS(
  REGEXMATCH(A479&amp;B479, ""(?i)openai|gpt|gemini|anthropic|claude|mistral|cohere|rag|vector|llm|chatbot|ai-powered""), ""AI &amp; LLM"",
  REGEXMATCH(A479&amp;B479, ""(?i)twitter|instagram|facebook|linkedin|youtube|tiktok|threads|bluesky|pinterest|social vid"&amp;"eo|reels?|shorts?""), ""Social Media"",
  REGEXMATCH(A479&amp;B479, ""(?i)hubspot|pipedrive|stripe|shopify|woocommerce|sales|crm|invoice|order|leads?|recruitment|bamboohr|erpnext""), ""CRM &amp; Sales"",
  REGEXMATCH(A479&amp;B479, ""(?i)gmail|outlook|calendar|slack|"&amp;"discord|telegram|whatsapp|notion|trello|drive|sheets?|meeting|scheduler|appointment|mattermost""), ""Productivity &amp; Communication"",
  REGEXMATCH(A479&amp;B479, ""(?i)github|api|webhook|http|mysql|supabase|mongodb|redis|rss|pr|code review|incident|pagerduty|j"&amp;"ira""), ""Development &amp; Utilities"",
  TRUE, ""Others""
)"),"Productivity &amp; Communication")</f>
        <v>Productivity &amp; Communication</v>
      </c>
    </row>
    <row r="480" ht="15.75" customHeight="1">
      <c r="A480" s="14" t="s">
        <v>946</v>
      </c>
      <c r="B480" s="15" t="s">
        <v>947</v>
      </c>
      <c r="C480" s="16" t="s">
        <v>7</v>
      </c>
      <c r="D480" s="12" t="str">
        <f>IFERROR(__xludf.DUMMYFUNCTION("IFS(
  REGEXMATCH(A480&amp;B480, ""(?i)openai|gpt|gemini|anthropic|claude|mistral|cohere|rag|vector|llm|chatbot|ai-powered""), ""AI &amp; LLM"",
  REGEXMATCH(A480&amp;B480, ""(?i)twitter|instagram|facebook|linkedin|youtube|tiktok|threads|bluesky|pinterest|social vid"&amp;"eo|reels?|shorts?""), ""Social Media"",
  REGEXMATCH(A480&amp;B480, ""(?i)hubspot|pipedrive|stripe|shopify|woocommerce|sales|crm|invoice|order|leads?|recruitment|bamboohr|erpnext""), ""CRM &amp; Sales"",
  REGEXMATCH(A480&amp;B480, ""(?i)gmail|outlook|calendar|slack|"&amp;"discord|telegram|whatsapp|notion|trello|drive|sheets?|meeting|scheduler|appointment|mattermost""), ""Productivity &amp; Communication"",
  REGEXMATCH(A480&amp;B480, ""(?i)github|api|webhook|http|mysql|supabase|mongodb|redis|rss|pr|code review|incident|pagerduty|j"&amp;"ira""), ""Development &amp; Utilities"",
  TRUE, ""Others""
)"),"Productivity &amp; Communication")</f>
        <v>Productivity &amp; Communication</v>
      </c>
    </row>
    <row r="481" ht="15.75" customHeight="1">
      <c r="A481" s="14" t="s">
        <v>948</v>
      </c>
      <c r="B481" s="15" t="s">
        <v>949</v>
      </c>
      <c r="C481" s="16" t="s">
        <v>7</v>
      </c>
      <c r="D481" s="12" t="str">
        <f>IFERROR(__xludf.DUMMYFUNCTION("IFS(
  REGEXMATCH(A481&amp;B481, ""(?i)openai|gpt|gemini|anthropic|claude|mistral|cohere|rag|vector|llm|chatbot|ai-powered""), ""AI &amp; LLM"",
  REGEXMATCH(A481&amp;B481, ""(?i)twitter|instagram|facebook|linkedin|youtube|tiktok|threads|bluesky|pinterest|social vid"&amp;"eo|reels?|shorts?""), ""Social Media"",
  REGEXMATCH(A481&amp;B481, ""(?i)hubspot|pipedrive|stripe|shopify|woocommerce|sales|crm|invoice|order|leads?|recruitment|bamboohr|erpnext""), ""CRM &amp; Sales"",
  REGEXMATCH(A481&amp;B481, ""(?i)gmail|outlook|calendar|slack|"&amp;"discord|telegram|whatsapp|notion|trello|drive|sheets?|meeting|scheduler|appointment|mattermost""), ""Productivity &amp; Communication"",
  REGEXMATCH(A481&amp;B481, ""(?i)github|api|webhook|http|mysql|supabase|mongodb|redis|rss|pr|code review|incident|pagerduty|j"&amp;"ira""), ""Development &amp; Utilities"",
  TRUE, ""Others""
)"),"Development &amp; Utilities")</f>
        <v>Development &amp; Utilities</v>
      </c>
    </row>
    <row r="482" ht="15.75" customHeight="1">
      <c r="A482" s="14" t="s">
        <v>950</v>
      </c>
      <c r="B482" s="15" t="s">
        <v>951</v>
      </c>
      <c r="C482" s="16" t="s">
        <v>7</v>
      </c>
      <c r="D482" s="12" t="str">
        <f>IFERROR(__xludf.DUMMYFUNCTION("IFS(
  REGEXMATCH(A482&amp;B482, ""(?i)openai|gpt|gemini|anthropic|claude|mistral|cohere|rag|vector|llm|chatbot|ai-powered""), ""AI &amp; LLM"",
  REGEXMATCH(A482&amp;B482, ""(?i)twitter|instagram|facebook|linkedin|youtube|tiktok|threads|bluesky|pinterest|social vid"&amp;"eo|reels?|shorts?""), ""Social Media"",
  REGEXMATCH(A482&amp;B482, ""(?i)hubspot|pipedrive|stripe|shopify|woocommerce|sales|crm|invoice|order|leads?|recruitment|bamboohr|erpnext""), ""CRM &amp; Sales"",
  REGEXMATCH(A482&amp;B482, ""(?i)gmail|outlook|calendar|slack|"&amp;"discord|telegram|whatsapp|notion|trello|drive|sheets?|meeting|scheduler|appointment|mattermost""), ""Productivity &amp; Communication"",
  REGEXMATCH(A482&amp;B482, ""(?i)github|api|webhook|http|mysql|supabase|mongodb|redis|rss|pr|code review|incident|pagerduty|j"&amp;"ira""), ""Development &amp; Utilities"",
  TRUE, ""Others""
)"),"CRM &amp; Sales")</f>
        <v>CRM &amp; Sales</v>
      </c>
    </row>
    <row r="483" ht="15.75" customHeight="1">
      <c r="A483" s="14" t="s">
        <v>952</v>
      </c>
      <c r="B483" s="15" t="s">
        <v>953</v>
      </c>
      <c r="C483" s="16" t="s">
        <v>7</v>
      </c>
      <c r="D483" s="12" t="str">
        <f>IFERROR(__xludf.DUMMYFUNCTION("IFS(
  REGEXMATCH(A483&amp;B483, ""(?i)openai|gpt|gemini|anthropic|claude|mistral|cohere|rag|vector|llm|chatbot|ai-powered""), ""AI &amp; LLM"",
  REGEXMATCH(A483&amp;B483, ""(?i)twitter|instagram|facebook|linkedin|youtube|tiktok|threads|bluesky|pinterest|social vid"&amp;"eo|reels?|shorts?""), ""Social Media"",
  REGEXMATCH(A483&amp;B483, ""(?i)hubspot|pipedrive|stripe|shopify|woocommerce|sales|crm|invoice|order|leads?|recruitment|bamboohr|erpnext""), ""CRM &amp; Sales"",
  REGEXMATCH(A483&amp;B483, ""(?i)gmail|outlook|calendar|slack|"&amp;"discord|telegram|whatsapp|notion|trello|drive|sheets?|meeting|scheduler|appointment|mattermost""), ""Productivity &amp; Communication"",
  REGEXMATCH(A483&amp;B483, ""(?i)github|api|webhook|http|mysql|supabase|mongodb|redis|rss|pr|code review|incident|pagerduty|j"&amp;"ira""), ""Development &amp; Utilities"",
  TRUE, ""Others""
)"),"Social Media")</f>
        <v>Social Media</v>
      </c>
    </row>
    <row r="484" ht="15.75" customHeight="1">
      <c r="A484" s="14" t="s">
        <v>954</v>
      </c>
      <c r="B484" s="15" t="s">
        <v>955</v>
      </c>
      <c r="C484" s="16" t="s">
        <v>7</v>
      </c>
      <c r="D484" s="12" t="str">
        <f>IFERROR(__xludf.DUMMYFUNCTION("IFS(
  REGEXMATCH(A484&amp;B484, ""(?i)openai|gpt|gemini|anthropic|claude|mistral|cohere|rag|vector|llm|chatbot|ai-powered""), ""AI &amp; LLM"",
  REGEXMATCH(A484&amp;B484, ""(?i)twitter|instagram|facebook|linkedin|youtube|tiktok|threads|bluesky|pinterest|social vid"&amp;"eo|reels?|shorts?""), ""Social Media"",
  REGEXMATCH(A484&amp;B484, ""(?i)hubspot|pipedrive|stripe|shopify|woocommerce|sales|crm|invoice|order|leads?|recruitment|bamboohr|erpnext""), ""CRM &amp; Sales"",
  REGEXMATCH(A484&amp;B484, ""(?i)gmail|outlook|calendar|slack|"&amp;"discord|telegram|whatsapp|notion|trello|drive|sheets?|meeting|scheduler|appointment|mattermost""), ""Productivity &amp; Communication"",
  REGEXMATCH(A484&amp;B484, ""(?i)github|api|webhook|http|mysql|supabase|mongodb|redis|rss|pr|code review|incident|pagerduty|j"&amp;"ira""), ""Development &amp; Utilities"",
  TRUE, ""Others""
)"),"Social Media")</f>
        <v>Social Media</v>
      </c>
    </row>
    <row r="485" ht="15.75" customHeight="1">
      <c r="A485" s="14" t="s">
        <v>956</v>
      </c>
      <c r="B485" s="15" t="s">
        <v>957</v>
      </c>
      <c r="C485" s="16" t="s">
        <v>7</v>
      </c>
      <c r="D485" s="12" t="str">
        <f>IFERROR(__xludf.DUMMYFUNCTION("IFS(
  REGEXMATCH(A485&amp;B485, ""(?i)openai|gpt|gemini|anthropic|claude|mistral|cohere|rag|vector|llm|chatbot|ai-powered""), ""AI &amp; LLM"",
  REGEXMATCH(A485&amp;B485, ""(?i)twitter|instagram|facebook|linkedin|youtube|tiktok|threads|bluesky|pinterest|social vid"&amp;"eo|reels?|shorts?""), ""Social Media"",
  REGEXMATCH(A485&amp;B485, ""(?i)hubspot|pipedrive|stripe|shopify|woocommerce|sales|crm|invoice|order|leads?|recruitment|bamboohr|erpnext""), ""CRM &amp; Sales"",
  REGEXMATCH(A485&amp;B485, ""(?i)gmail|outlook|calendar|slack|"&amp;"discord|telegram|whatsapp|notion|trello|drive|sheets?|meeting|scheduler|appointment|mattermost""), ""Productivity &amp; Communication"",
  REGEXMATCH(A485&amp;B485, ""(?i)github|api|webhook|http|mysql|supabase|mongodb|redis|rss|pr|code review|incident|pagerduty|j"&amp;"ira""), ""Development &amp; Utilities"",
  TRUE, ""Others""
)"),"Productivity &amp; Communication")</f>
        <v>Productivity &amp; Communication</v>
      </c>
    </row>
    <row r="486" ht="15.75" customHeight="1">
      <c r="A486" s="14" t="s">
        <v>958</v>
      </c>
      <c r="B486" s="15" t="s">
        <v>959</v>
      </c>
      <c r="C486" s="16" t="s">
        <v>7</v>
      </c>
      <c r="D486" s="12" t="str">
        <f>IFERROR(__xludf.DUMMYFUNCTION("IFS(
  REGEXMATCH(A486&amp;B486, ""(?i)openai|gpt|gemini|anthropic|claude|mistral|cohere|rag|vector|llm|chatbot|ai-powered""), ""AI &amp; LLM"",
  REGEXMATCH(A486&amp;B486, ""(?i)twitter|instagram|facebook|linkedin|youtube|tiktok|threads|bluesky|pinterest|social vid"&amp;"eo|reels?|shorts?""), ""Social Media"",
  REGEXMATCH(A486&amp;B486, ""(?i)hubspot|pipedrive|stripe|shopify|woocommerce|sales|crm|invoice|order|leads?|recruitment|bamboohr|erpnext""), ""CRM &amp; Sales"",
  REGEXMATCH(A486&amp;B486, ""(?i)gmail|outlook|calendar|slack|"&amp;"discord|telegram|whatsapp|notion|trello|drive|sheets?|meeting|scheduler|appointment|mattermost""), ""Productivity &amp; Communication"",
  REGEXMATCH(A486&amp;B486, ""(?i)github|api|webhook|http|mysql|supabase|mongodb|redis|rss|pr|code review|incident|pagerduty|j"&amp;"ira""), ""Development &amp; Utilities"",
  TRUE, ""Others""
)"),"AI &amp; LLM")</f>
        <v>AI &amp; LLM</v>
      </c>
    </row>
    <row r="487" ht="15.75" customHeight="1">
      <c r="A487" s="14" t="s">
        <v>960</v>
      </c>
      <c r="B487" s="15" t="s">
        <v>961</v>
      </c>
      <c r="C487" s="16" t="s">
        <v>7</v>
      </c>
      <c r="D487" s="12" t="str">
        <f>IFERROR(__xludf.DUMMYFUNCTION("IFS(
  REGEXMATCH(A487&amp;B487, ""(?i)openai|gpt|gemini|anthropic|claude|mistral|cohere|rag|vector|llm|chatbot|ai-powered""), ""AI &amp; LLM"",
  REGEXMATCH(A487&amp;B487, ""(?i)twitter|instagram|facebook|linkedin|youtube|tiktok|threads|bluesky|pinterest|social vid"&amp;"eo|reels?|shorts?""), ""Social Media"",
  REGEXMATCH(A487&amp;B487, ""(?i)hubspot|pipedrive|stripe|shopify|woocommerce|sales|crm|invoice|order|leads?|recruitment|bamboohr|erpnext""), ""CRM &amp; Sales"",
  REGEXMATCH(A487&amp;B487, ""(?i)gmail|outlook|calendar|slack|"&amp;"discord|telegram|whatsapp|notion|trello|drive|sheets?|meeting|scheduler|appointment|mattermost""), ""Productivity &amp; Communication"",
  REGEXMATCH(A487&amp;B487, ""(?i)github|api|webhook|http|mysql|supabase|mongodb|redis|rss|pr|code review|incident|pagerduty|j"&amp;"ira""), ""Development &amp; Utilities"",
  TRUE, ""Others""
)"),"Productivity &amp; Communication")</f>
        <v>Productivity &amp; Communication</v>
      </c>
    </row>
    <row r="488" ht="15.75" customHeight="1">
      <c r="A488" s="14" t="s">
        <v>962</v>
      </c>
      <c r="B488" s="15" t="s">
        <v>963</v>
      </c>
      <c r="C488" s="16" t="s">
        <v>7</v>
      </c>
      <c r="D488" s="12" t="str">
        <f>IFERROR(__xludf.DUMMYFUNCTION("IFS(
  REGEXMATCH(A488&amp;B488, ""(?i)openai|gpt|gemini|anthropic|claude|mistral|cohere|rag|vector|llm|chatbot|ai-powered""), ""AI &amp; LLM"",
  REGEXMATCH(A488&amp;B488, ""(?i)twitter|instagram|facebook|linkedin|youtube|tiktok|threads|bluesky|pinterest|social vid"&amp;"eo|reels?|shorts?""), ""Social Media"",
  REGEXMATCH(A488&amp;B488, ""(?i)hubspot|pipedrive|stripe|shopify|woocommerce|sales|crm|invoice|order|leads?|recruitment|bamboohr|erpnext""), ""CRM &amp; Sales"",
  REGEXMATCH(A488&amp;B488, ""(?i)gmail|outlook|calendar|slack|"&amp;"discord|telegram|whatsapp|notion|trello|drive|sheets?|meeting|scheduler|appointment|mattermost""), ""Productivity &amp; Communication"",
  REGEXMATCH(A488&amp;B488, ""(?i)github|api|webhook|http|mysql|supabase|mongodb|redis|rss|pr|code review|incident|pagerduty|j"&amp;"ira""), ""Development &amp; Utilities"",
  TRUE, ""Others""
)"),"Productivity &amp; Communication")</f>
        <v>Productivity &amp; Communication</v>
      </c>
    </row>
    <row r="489" ht="15.75" customHeight="1">
      <c r="A489" s="14" t="s">
        <v>964</v>
      </c>
      <c r="B489" s="15" t="s">
        <v>965</v>
      </c>
      <c r="C489" s="16" t="s">
        <v>7</v>
      </c>
      <c r="D489" s="12" t="str">
        <f>IFERROR(__xludf.DUMMYFUNCTION("IFS(
  REGEXMATCH(A489&amp;B489, ""(?i)openai|gpt|gemini|anthropic|claude|mistral|cohere|rag|vector|llm|chatbot|ai-powered""), ""AI &amp; LLM"",
  REGEXMATCH(A489&amp;B489, ""(?i)twitter|instagram|facebook|linkedin|youtube|tiktok|threads|bluesky|pinterest|social vid"&amp;"eo|reels?|shorts?""), ""Social Media"",
  REGEXMATCH(A489&amp;B489, ""(?i)hubspot|pipedrive|stripe|shopify|woocommerce|sales|crm|invoice|order|leads?|recruitment|bamboohr|erpnext""), ""CRM &amp; Sales"",
  REGEXMATCH(A489&amp;B489, ""(?i)gmail|outlook|calendar|slack|"&amp;"discord|telegram|whatsapp|notion|trello|drive|sheets?|meeting|scheduler|appointment|mattermost""), ""Productivity &amp; Communication"",
  REGEXMATCH(A489&amp;B489, ""(?i)github|api|webhook|http|mysql|supabase|mongodb|redis|rss|pr|code review|incident|pagerduty|j"&amp;"ira""), ""Development &amp; Utilities"",
  TRUE, ""Others""
)"),"Development &amp; Utilities")</f>
        <v>Development &amp; Utilities</v>
      </c>
    </row>
    <row r="490" ht="15.75" customHeight="1">
      <c r="A490" s="14" t="s">
        <v>966</v>
      </c>
      <c r="B490" s="15" t="s">
        <v>967</v>
      </c>
      <c r="C490" s="16" t="s">
        <v>7</v>
      </c>
      <c r="D490" s="12" t="str">
        <f>IFERROR(__xludf.DUMMYFUNCTION("IFS(
  REGEXMATCH(A490&amp;B490, ""(?i)openai|gpt|gemini|anthropic|claude|mistral|cohere|rag|vector|llm|chatbot|ai-powered""), ""AI &amp; LLM"",
  REGEXMATCH(A490&amp;B490, ""(?i)twitter|instagram|facebook|linkedin|youtube|tiktok|threads|bluesky|pinterest|social vid"&amp;"eo|reels?|shorts?""), ""Social Media"",
  REGEXMATCH(A490&amp;B490, ""(?i)hubspot|pipedrive|stripe|shopify|woocommerce|sales|crm|invoice|order|leads?|recruitment|bamboohr|erpnext""), ""CRM &amp; Sales"",
  REGEXMATCH(A490&amp;B490, ""(?i)gmail|outlook|calendar|slack|"&amp;"discord|telegram|whatsapp|notion|trello|drive|sheets?|meeting|scheduler|appointment|mattermost""), ""Productivity &amp; Communication"",
  REGEXMATCH(A490&amp;B490, ""(?i)github|api|webhook|http|mysql|supabase|mongodb|redis|rss|pr|code review|incident|pagerduty|j"&amp;"ira""), ""Development &amp; Utilities"",
  TRUE, ""Others""
)"),"Development &amp; Utilities")</f>
        <v>Development &amp; Utilities</v>
      </c>
    </row>
    <row r="491" ht="15.75" customHeight="1">
      <c r="A491" s="14" t="s">
        <v>968</v>
      </c>
      <c r="B491" s="15" t="s">
        <v>969</v>
      </c>
      <c r="C491" s="16" t="s">
        <v>7</v>
      </c>
      <c r="D491" s="12" t="str">
        <f>IFERROR(__xludf.DUMMYFUNCTION("IFS(
  REGEXMATCH(A491&amp;B491, ""(?i)openai|gpt|gemini|anthropic|claude|mistral|cohere|rag|vector|llm|chatbot|ai-powered""), ""AI &amp; LLM"",
  REGEXMATCH(A491&amp;B491, ""(?i)twitter|instagram|facebook|linkedin|youtube|tiktok|threads|bluesky|pinterest|social vid"&amp;"eo|reels?|shorts?""), ""Social Media"",
  REGEXMATCH(A491&amp;B491, ""(?i)hubspot|pipedrive|stripe|shopify|woocommerce|sales|crm|invoice|order|leads?|recruitment|bamboohr|erpnext""), ""CRM &amp; Sales"",
  REGEXMATCH(A491&amp;B491, ""(?i)gmail|outlook|calendar|slack|"&amp;"discord|telegram|whatsapp|notion|trello|drive|sheets?|meeting|scheduler|appointment|mattermost""), ""Productivity &amp; Communication"",
  REGEXMATCH(A491&amp;B491, ""(?i)github|api|webhook|http|mysql|supabase|mongodb|redis|rss|pr|code review|incident|pagerduty|j"&amp;"ira""), ""Development &amp; Utilities"",
  TRUE, ""Others""
)"),"Development &amp; Utilities")</f>
        <v>Development &amp; Utilities</v>
      </c>
    </row>
    <row r="492" ht="15.75" customHeight="1">
      <c r="A492" s="14" t="s">
        <v>970</v>
      </c>
      <c r="B492" s="15" t="s">
        <v>971</v>
      </c>
      <c r="C492" s="16" t="s">
        <v>7</v>
      </c>
      <c r="D492" s="12" t="str">
        <f>IFERROR(__xludf.DUMMYFUNCTION("IFS(
  REGEXMATCH(A492&amp;B492, ""(?i)openai|gpt|gemini|anthropic|claude|mistral|cohere|rag|vector|llm|chatbot|ai-powered""), ""AI &amp; LLM"",
  REGEXMATCH(A492&amp;B492, ""(?i)twitter|instagram|facebook|linkedin|youtube|tiktok|threads|bluesky|pinterest|social vid"&amp;"eo|reels?|shorts?""), ""Social Media"",
  REGEXMATCH(A492&amp;B492, ""(?i)hubspot|pipedrive|stripe|shopify|woocommerce|sales|crm|invoice|order|leads?|recruitment|bamboohr|erpnext""), ""CRM &amp; Sales"",
  REGEXMATCH(A492&amp;B492, ""(?i)gmail|outlook|calendar|slack|"&amp;"discord|telegram|whatsapp|notion|trello|drive|sheets?|meeting|scheduler|appointment|mattermost""), ""Productivity &amp; Communication"",
  REGEXMATCH(A492&amp;B492, ""(?i)github|api|webhook|http|mysql|supabase|mongodb|redis|rss|pr|code review|incident|pagerduty|j"&amp;"ira""), ""Development &amp; Utilities"",
  TRUE, ""Others""
)"),"AI &amp; LLM")</f>
        <v>AI &amp; LLM</v>
      </c>
    </row>
    <row r="493" ht="15.75" customHeight="1">
      <c r="A493" s="14" t="s">
        <v>972</v>
      </c>
      <c r="B493" s="15" t="s">
        <v>973</v>
      </c>
      <c r="C493" s="16" t="s">
        <v>7</v>
      </c>
      <c r="D493" s="12" t="str">
        <f>IFERROR(__xludf.DUMMYFUNCTION("IFS(
  REGEXMATCH(A493&amp;B493, ""(?i)openai|gpt|gemini|anthropic|claude|mistral|cohere|rag|vector|llm|chatbot|ai-powered""), ""AI &amp; LLM"",
  REGEXMATCH(A493&amp;B493, ""(?i)twitter|instagram|facebook|linkedin|youtube|tiktok|threads|bluesky|pinterest|social vid"&amp;"eo|reels?|shorts?""), ""Social Media"",
  REGEXMATCH(A493&amp;B493, ""(?i)hubspot|pipedrive|stripe|shopify|woocommerce|sales|crm|invoice|order|leads?|recruitment|bamboohr|erpnext""), ""CRM &amp; Sales"",
  REGEXMATCH(A493&amp;B493, ""(?i)gmail|outlook|calendar|slack|"&amp;"discord|telegram|whatsapp|notion|trello|drive|sheets?|meeting|scheduler|appointment|mattermost""), ""Productivity &amp; Communication"",
  REGEXMATCH(A493&amp;B493, ""(?i)github|api|webhook|http|mysql|supabase|mongodb|redis|rss|pr|code review|incident|pagerduty|j"&amp;"ira""), ""Development &amp; Utilities"",
  TRUE, ""Others""
)"),"Development &amp; Utilities")</f>
        <v>Development &amp; Utilities</v>
      </c>
    </row>
    <row r="494" ht="15.75" customHeight="1">
      <c r="A494" s="14" t="s">
        <v>974</v>
      </c>
      <c r="B494" s="15" t="s">
        <v>975</v>
      </c>
      <c r="C494" s="16" t="s">
        <v>7</v>
      </c>
      <c r="D494" s="12" t="str">
        <f>IFERROR(__xludf.DUMMYFUNCTION("IFS(
  REGEXMATCH(A494&amp;B494, ""(?i)openai|gpt|gemini|anthropic|claude|mistral|cohere|rag|vector|llm|chatbot|ai-powered""), ""AI &amp; LLM"",
  REGEXMATCH(A494&amp;B494, ""(?i)twitter|instagram|facebook|linkedin|youtube|tiktok|threads|bluesky|pinterest|social vid"&amp;"eo|reels?|shorts?""), ""Social Media"",
  REGEXMATCH(A494&amp;B494, ""(?i)hubspot|pipedrive|stripe|shopify|woocommerce|sales|crm|invoice|order|leads?|recruitment|bamboohr|erpnext""), ""CRM &amp; Sales"",
  REGEXMATCH(A494&amp;B494, ""(?i)gmail|outlook|calendar|slack|"&amp;"discord|telegram|whatsapp|notion|trello|drive|sheets?|meeting|scheduler|appointment|mattermost""), ""Productivity &amp; Communication"",
  REGEXMATCH(A494&amp;B494, ""(?i)github|api|webhook|http|mysql|supabase|mongodb|redis|rss|pr|code review|incident|pagerduty|j"&amp;"ira""), ""Development &amp; Utilities"",
  TRUE, ""Others""
)"),"Productivity &amp; Communication")</f>
        <v>Productivity &amp; Communication</v>
      </c>
    </row>
    <row r="495" ht="15.75" customHeight="1">
      <c r="A495" s="14" t="s">
        <v>976</v>
      </c>
      <c r="B495" s="15" t="s">
        <v>977</v>
      </c>
      <c r="C495" s="16" t="s">
        <v>7</v>
      </c>
      <c r="D495" s="12" t="str">
        <f>IFERROR(__xludf.DUMMYFUNCTION("IFS(
  REGEXMATCH(A495&amp;B495, ""(?i)openai|gpt|gemini|anthropic|claude|mistral|cohere|rag|vector|llm|chatbot|ai-powered""), ""AI &amp; LLM"",
  REGEXMATCH(A495&amp;B495, ""(?i)twitter|instagram|facebook|linkedin|youtube|tiktok|threads|bluesky|pinterest|social vid"&amp;"eo|reels?|shorts?""), ""Social Media"",
  REGEXMATCH(A495&amp;B495, ""(?i)hubspot|pipedrive|stripe|shopify|woocommerce|sales|crm|invoice|order|leads?|recruitment|bamboohr|erpnext""), ""CRM &amp; Sales"",
  REGEXMATCH(A495&amp;B495, ""(?i)gmail|outlook|calendar|slack|"&amp;"discord|telegram|whatsapp|notion|trello|drive|sheets?|meeting|scheduler|appointment|mattermost""), ""Productivity &amp; Communication"",
  REGEXMATCH(A495&amp;B495, ""(?i)github|api|webhook|http|mysql|supabase|mongodb|redis|rss|pr|code review|incident|pagerduty|j"&amp;"ira""), ""Development &amp; Utilities"",
  TRUE, ""Others""
)"),"CRM &amp; Sales")</f>
        <v>CRM &amp; Sales</v>
      </c>
    </row>
    <row r="496" ht="15.75" customHeight="1">
      <c r="A496" s="14" t="s">
        <v>978</v>
      </c>
      <c r="B496" s="15" t="s">
        <v>979</v>
      </c>
      <c r="C496" s="16" t="s">
        <v>7</v>
      </c>
      <c r="D496" s="12" t="str">
        <f>IFERROR(__xludf.DUMMYFUNCTION("IFS(
  REGEXMATCH(A496&amp;B496, ""(?i)openai|gpt|gemini|anthropic|claude|mistral|cohere|rag|vector|llm|chatbot|ai-powered""), ""AI &amp; LLM"",
  REGEXMATCH(A496&amp;B496, ""(?i)twitter|instagram|facebook|linkedin|youtube|tiktok|threads|bluesky|pinterest|social vid"&amp;"eo|reels?|shorts?""), ""Social Media"",
  REGEXMATCH(A496&amp;B496, ""(?i)hubspot|pipedrive|stripe|shopify|woocommerce|sales|crm|invoice|order|leads?|recruitment|bamboohr|erpnext""), ""CRM &amp; Sales"",
  REGEXMATCH(A496&amp;B496, ""(?i)gmail|outlook|calendar|slack|"&amp;"discord|telegram|whatsapp|notion|trello|drive|sheets?|meeting|scheduler|appointment|mattermost""), ""Productivity &amp; Communication"",
  REGEXMATCH(A496&amp;B496, ""(?i)github|api|webhook|http|mysql|supabase|mongodb|redis|rss|pr|code review|incident|pagerduty|j"&amp;"ira""), ""Development &amp; Utilities"",
  TRUE, ""Others""
)"),"CRM &amp; Sales")</f>
        <v>CRM &amp; Sales</v>
      </c>
    </row>
    <row r="497" ht="15.75" customHeight="1">
      <c r="A497" s="14" t="s">
        <v>980</v>
      </c>
      <c r="B497" s="15" t="s">
        <v>981</v>
      </c>
      <c r="C497" s="16" t="s">
        <v>7</v>
      </c>
      <c r="D497" s="12" t="str">
        <f>IFERROR(__xludf.DUMMYFUNCTION("IFS(
  REGEXMATCH(A497&amp;B497, ""(?i)openai|gpt|gemini|anthropic|claude|mistral|cohere|rag|vector|llm|chatbot|ai-powered""), ""AI &amp; LLM"",
  REGEXMATCH(A497&amp;B497, ""(?i)twitter|instagram|facebook|linkedin|youtube|tiktok|threads|bluesky|pinterest|social vid"&amp;"eo|reels?|shorts?""), ""Social Media"",
  REGEXMATCH(A497&amp;B497, ""(?i)hubspot|pipedrive|stripe|shopify|woocommerce|sales|crm|invoice|order|leads?|recruitment|bamboohr|erpnext""), ""CRM &amp; Sales"",
  REGEXMATCH(A497&amp;B497, ""(?i)gmail|outlook|calendar|slack|"&amp;"discord|telegram|whatsapp|notion|trello|drive|sheets?|meeting|scheduler|appointment|mattermost""), ""Productivity &amp; Communication"",
  REGEXMATCH(A497&amp;B497, ""(?i)github|api|webhook|http|mysql|supabase|mongodb|redis|rss|pr|code review|incident|pagerduty|j"&amp;"ira""), ""Development &amp; Utilities"",
  TRUE, ""Others""
)"),"AI &amp; LLM")</f>
        <v>AI &amp; LLM</v>
      </c>
    </row>
    <row r="498" ht="15.75" customHeight="1">
      <c r="A498" s="14" t="s">
        <v>982</v>
      </c>
      <c r="B498" s="15" t="s">
        <v>983</v>
      </c>
      <c r="C498" s="16" t="s">
        <v>7</v>
      </c>
      <c r="D498" s="12" t="str">
        <f>IFERROR(__xludf.DUMMYFUNCTION("IFS(
  REGEXMATCH(A498&amp;B498, ""(?i)openai|gpt|gemini|anthropic|claude|mistral|cohere|rag|vector|llm|chatbot|ai-powered""), ""AI &amp; LLM"",
  REGEXMATCH(A498&amp;B498, ""(?i)twitter|instagram|facebook|linkedin|youtube|tiktok|threads|bluesky|pinterest|social vid"&amp;"eo|reels?|shorts?""), ""Social Media"",
  REGEXMATCH(A498&amp;B498, ""(?i)hubspot|pipedrive|stripe|shopify|woocommerce|sales|crm|invoice|order|leads?|recruitment|bamboohr|erpnext""), ""CRM &amp; Sales"",
  REGEXMATCH(A498&amp;B498, ""(?i)gmail|outlook|calendar|slack|"&amp;"discord|telegram|whatsapp|notion|trello|drive|sheets?|meeting|scheduler|appointment|mattermost""), ""Productivity &amp; Communication"",
  REGEXMATCH(A498&amp;B498, ""(?i)github|api|webhook|http|mysql|supabase|mongodb|redis|rss|pr|code review|incident|pagerduty|j"&amp;"ira""), ""Development &amp; Utilities"",
  TRUE, ""Others""
)"),"CRM &amp; Sales")</f>
        <v>CRM &amp; Sales</v>
      </c>
    </row>
    <row r="499" ht="15.75" customHeight="1">
      <c r="A499" s="14" t="s">
        <v>984</v>
      </c>
      <c r="B499" s="15" t="s">
        <v>985</v>
      </c>
      <c r="C499" s="16" t="s">
        <v>7</v>
      </c>
      <c r="D499" s="12" t="str">
        <f>IFERROR(__xludf.DUMMYFUNCTION("IFS(
  REGEXMATCH(A499&amp;B499, ""(?i)openai|gpt|gemini|anthropic|claude|mistral|cohere|rag|vector|llm|chatbot|ai-powered""), ""AI &amp; LLM"",
  REGEXMATCH(A499&amp;B499, ""(?i)twitter|instagram|facebook|linkedin|youtube|tiktok|threads|bluesky|pinterest|social vid"&amp;"eo|reels?|shorts?""), ""Social Media"",
  REGEXMATCH(A499&amp;B499, ""(?i)hubspot|pipedrive|stripe|shopify|woocommerce|sales|crm|invoice|order|leads?|recruitment|bamboohr|erpnext""), ""CRM &amp; Sales"",
  REGEXMATCH(A499&amp;B499, ""(?i)gmail|outlook|calendar|slack|"&amp;"discord|telegram|whatsapp|notion|trello|drive|sheets?|meeting|scheduler|appointment|mattermost""), ""Productivity &amp; Communication"",
  REGEXMATCH(A499&amp;B499, ""(?i)github|api|webhook|http|mysql|supabase|mongodb|redis|rss|pr|code review|incident|pagerduty|j"&amp;"ira""), ""Development &amp; Utilities"",
  TRUE, ""Others""
)"),"CRM &amp; Sales")</f>
        <v>CRM &amp; Sales</v>
      </c>
    </row>
    <row r="500" ht="15.75" customHeight="1">
      <c r="A500" s="14" t="s">
        <v>986</v>
      </c>
      <c r="B500" s="15" t="s">
        <v>987</v>
      </c>
      <c r="C500" s="16" t="s">
        <v>7</v>
      </c>
      <c r="D500" s="12" t="str">
        <f>IFERROR(__xludf.DUMMYFUNCTION("IFS(
  REGEXMATCH(A500&amp;B500, ""(?i)openai|gpt|gemini|anthropic|claude|mistral|cohere|rag|vector|llm|chatbot|ai-powered""), ""AI &amp; LLM"",
  REGEXMATCH(A500&amp;B500, ""(?i)twitter|instagram|facebook|linkedin|youtube|tiktok|threads|bluesky|pinterest|social vid"&amp;"eo|reels?|shorts?""), ""Social Media"",
  REGEXMATCH(A500&amp;B500, ""(?i)hubspot|pipedrive|stripe|shopify|woocommerce|sales|crm|invoice|order|leads?|recruitment|bamboohr|erpnext""), ""CRM &amp; Sales"",
  REGEXMATCH(A500&amp;B500, ""(?i)gmail|outlook|calendar|slack|"&amp;"discord|telegram|whatsapp|notion|trello|drive|sheets?|meeting|scheduler|appointment|mattermost""), ""Productivity &amp; Communication"",
  REGEXMATCH(A500&amp;B500, ""(?i)github|api|webhook|http|mysql|supabase|mongodb|redis|rss|pr|code review|incident|pagerduty|j"&amp;"ira""), ""Development &amp; Utilities"",
  TRUE, ""Others""
)"),"CRM &amp; Sales")</f>
        <v>CRM &amp; Sales</v>
      </c>
    </row>
    <row r="501" ht="15.75" customHeight="1">
      <c r="A501" s="14" t="s">
        <v>988</v>
      </c>
      <c r="B501" s="15" t="s">
        <v>989</v>
      </c>
      <c r="C501" s="16" t="s">
        <v>7</v>
      </c>
      <c r="D501" s="12" t="str">
        <f>IFERROR(__xludf.DUMMYFUNCTION("IFS(
  REGEXMATCH(A501&amp;B501, ""(?i)openai|gpt|gemini|anthropic|claude|mistral|cohere|rag|vector|llm|chatbot|ai-powered""), ""AI &amp; LLM"",
  REGEXMATCH(A501&amp;B501, ""(?i)twitter|instagram|facebook|linkedin|youtube|tiktok|threads|bluesky|pinterest|social vid"&amp;"eo|reels?|shorts?""), ""Social Media"",
  REGEXMATCH(A501&amp;B501, ""(?i)hubspot|pipedrive|stripe|shopify|woocommerce|sales|crm|invoice|order|leads?|recruitment|bamboohr|erpnext""), ""CRM &amp; Sales"",
  REGEXMATCH(A501&amp;B501, ""(?i)gmail|outlook|calendar|slack|"&amp;"discord|telegram|whatsapp|notion|trello|drive|sheets?|meeting|scheduler|appointment|mattermost""), ""Productivity &amp; Communication"",
  REGEXMATCH(A501&amp;B501, ""(?i)github|api|webhook|http|mysql|supabase|mongodb|redis|rss|pr|code review|incident|pagerduty|j"&amp;"ira""), ""Development &amp; Utilities"",
  TRUE, ""Others""
)"),"Development &amp; Utilities")</f>
        <v>Development &amp; Utilities</v>
      </c>
    </row>
    <row r="502" ht="15.75" customHeight="1">
      <c r="A502" s="14" t="s">
        <v>990</v>
      </c>
      <c r="B502" s="15" t="s">
        <v>991</v>
      </c>
      <c r="C502" s="16" t="s">
        <v>7</v>
      </c>
      <c r="D502" s="12" t="str">
        <f>IFERROR(__xludf.DUMMYFUNCTION("IFS(
  REGEXMATCH(A502&amp;B502, ""(?i)openai|gpt|gemini|anthropic|claude|mistral|cohere|rag|vector|llm|chatbot|ai-powered""), ""AI &amp; LLM"",
  REGEXMATCH(A502&amp;B502, ""(?i)twitter|instagram|facebook|linkedin|youtube|tiktok|threads|bluesky|pinterest|social vid"&amp;"eo|reels?|shorts?""), ""Social Media"",
  REGEXMATCH(A502&amp;B502, ""(?i)hubspot|pipedrive|stripe|shopify|woocommerce|sales|crm|invoice|order|leads?|recruitment|bamboohr|erpnext""), ""CRM &amp; Sales"",
  REGEXMATCH(A502&amp;B502, ""(?i)gmail|outlook|calendar|slack|"&amp;"discord|telegram|whatsapp|notion|trello|drive|sheets?|meeting|scheduler|appointment|mattermost""), ""Productivity &amp; Communication"",
  REGEXMATCH(A502&amp;B502, ""(?i)github|api|webhook|http|mysql|supabase|mongodb|redis|rss|pr|code review|incident|pagerduty|j"&amp;"ira""), ""Development &amp; Utilities"",
  TRUE, ""Others""
)"),"CRM &amp; Sales")</f>
        <v>CRM &amp; Sales</v>
      </c>
    </row>
    <row r="503" ht="15.75" customHeight="1">
      <c r="A503" s="14" t="s">
        <v>992</v>
      </c>
      <c r="B503" s="15" t="s">
        <v>993</v>
      </c>
      <c r="C503" s="16" t="s">
        <v>7</v>
      </c>
      <c r="D503" s="12" t="str">
        <f>IFERROR(__xludf.DUMMYFUNCTION("IFS(
  REGEXMATCH(A503&amp;B503, ""(?i)openai|gpt|gemini|anthropic|claude|mistral|cohere|rag|vector|llm|chatbot|ai-powered""), ""AI &amp; LLM"",
  REGEXMATCH(A503&amp;B503, ""(?i)twitter|instagram|facebook|linkedin|youtube|tiktok|threads|bluesky|pinterest|social vid"&amp;"eo|reels?|shorts?""), ""Social Media"",
  REGEXMATCH(A503&amp;B503, ""(?i)hubspot|pipedrive|stripe|shopify|woocommerce|sales|crm|invoice|order|leads?|recruitment|bamboohr|erpnext""), ""CRM &amp; Sales"",
  REGEXMATCH(A503&amp;B503, ""(?i)gmail|outlook|calendar|slack|"&amp;"discord|telegram|whatsapp|notion|trello|drive|sheets?|meeting|scheduler|appointment|mattermost""), ""Productivity &amp; Communication"",
  REGEXMATCH(A503&amp;B503, ""(?i)github|api|webhook|http|mysql|supabase|mongodb|redis|rss|pr|code review|incident|pagerduty|j"&amp;"ira""), ""Development &amp; Utilities"",
  TRUE, ""Others""
)"),"Development &amp; Utilities")</f>
        <v>Development &amp; Utilities</v>
      </c>
    </row>
    <row r="504" ht="15.75" customHeight="1">
      <c r="A504" s="14" t="s">
        <v>994</v>
      </c>
      <c r="B504" s="15" t="s">
        <v>995</v>
      </c>
      <c r="C504" s="16" t="s">
        <v>7</v>
      </c>
      <c r="D504" s="12" t="str">
        <f>IFERROR(__xludf.DUMMYFUNCTION("IFS(
  REGEXMATCH(A504&amp;B504, ""(?i)openai|gpt|gemini|anthropic|claude|mistral|cohere|rag|vector|llm|chatbot|ai-powered""), ""AI &amp; LLM"",
  REGEXMATCH(A504&amp;B504, ""(?i)twitter|instagram|facebook|linkedin|youtube|tiktok|threads|bluesky|pinterest|social vid"&amp;"eo|reels?|shorts?""), ""Social Media"",
  REGEXMATCH(A504&amp;B504, ""(?i)hubspot|pipedrive|stripe|shopify|woocommerce|sales|crm|invoice|order|leads?|recruitment|bamboohr|erpnext""), ""CRM &amp; Sales"",
  REGEXMATCH(A504&amp;B504, ""(?i)gmail|outlook|calendar|slack|"&amp;"discord|telegram|whatsapp|notion|trello|drive|sheets?|meeting|scheduler|appointment|mattermost""), ""Productivity &amp; Communication"",
  REGEXMATCH(A504&amp;B504, ""(?i)github|api|webhook|http|mysql|supabase|mongodb|redis|rss|pr|code review|incident|pagerduty|j"&amp;"ira""), ""Development &amp; Utilities"",
  TRUE, ""Others""
)"),"AI &amp; LLM")</f>
        <v>AI &amp; LLM</v>
      </c>
    </row>
    <row r="505" ht="15.75" customHeight="1">
      <c r="A505" s="14" t="s">
        <v>996</v>
      </c>
      <c r="B505" s="15" t="s">
        <v>997</v>
      </c>
      <c r="C505" s="16" t="s">
        <v>7</v>
      </c>
      <c r="D505" s="12" t="str">
        <f>IFERROR(__xludf.DUMMYFUNCTION("IFS(
  REGEXMATCH(A505&amp;B505, ""(?i)openai|gpt|gemini|anthropic|claude|mistral|cohere|rag|vector|llm|chatbot|ai-powered""), ""AI &amp; LLM"",
  REGEXMATCH(A505&amp;B505, ""(?i)twitter|instagram|facebook|linkedin|youtube|tiktok|threads|bluesky|pinterest|social vid"&amp;"eo|reels?|shorts?""), ""Social Media"",
  REGEXMATCH(A505&amp;B505, ""(?i)hubspot|pipedrive|stripe|shopify|woocommerce|sales|crm|invoice|order|leads?|recruitment|bamboohr|erpnext""), ""CRM &amp; Sales"",
  REGEXMATCH(A505&amp;B505, ""(?i)gmail|outlook|calendar|slack|"&amp;"discord|telegram|whatsapp|notion|trello|drive|sheets?|meeting|scheduler|appointment|mattermost""), ""Productivity &amp; Communication"",
  REGEXMATCH(A505&amp;B505, ""(?i)github|api|webhook|http|mysql|supabase|mongodb|redis|rss|pr|code review|incident|pagerduty|j"&amp;"ira""), ""Development &amp; Utilities"",
  TRUE, ""Others""
)"),"Productivity &amp; Communication")</f>
        <v>Productivity &amp; Communication</v>
      </c>
    </row>
    <row r="506" ht="15.75" customHeight="1">
      <c r="A506" s="14" t="s">
        <v>998</v>
      </c>
      <c r="B506" s="15" t="s">
        <v>999</v>
      </c>
      <c r="C506" s="16" t="s">
        <v>7</v>
      </c>
      <c r="D506" s="12" t="str">
        <f>IFERROR(__xludf.DUMMYFUNCTION("IFS(
  REGEXMATCH(A506&amp;B506, ""(?i)openai|gpt|gemini|anthropic|claude|mistral|cohere|rag|vector|llm|chatbot|ai-powered""), ""AI &amp; LLM"",
  REGEXMATCH(A506&amp;B506, ""(?i)twitter|instagram|facebook|linkedin|youtube|tiktok|threads|bluesky|pinterest|social vid"&amp;"eo|reels?|shorts?""), ""Social Media"",
  REGEXMATCH(A506&amp;B506, ""(?i)hubspot|pipedrive|stripe|shopify|woocommerce|sales|crm|invoice|order|leads?|recruitment|bamboohr|erpnext""), ""CRM &amp; Sales"",
  REGEXMATCH(A506&amp;B506, ""(?i)gmail|outlook|calendar|slack|"&amp;"discord|telegram|whatsapp|notion|trello|drive|sheets?|meeting|scheduler|appointment|mattermost""), ""Productivity &amp; Communication"",
  REGEXMATCH(A506&amp;B506, ""(?i)github|api|webhook|http|mysql|supabase|mongodb|redis|rss|pr|code review|incident|pagerduty|j"&amp;"ira""), ""Development &amp; Utilities"",
  TRUE, ""Others""
)"),"AI &amp; LLM")</f>
        <v>AI &amp; LLM</v>
      </c>
    </row>
    <row r="507" ht="15.75" customHeight="1">
      <c r="A507" s="14" t="s">
        <v>1000</v>
      </c>
      <c r="B507" s="15" t="s">
        <v>1001</v>
      </c>
      <c r="C507" s="16" t="s">
        <v>7</v>
      </c>
      <c r="D507" s="12" t="str">
        <f>IFERROR(__xludf.DUMMYFUNCTION("IFS(
  REGEXMATCH(A507&amp;B507, ""(?i)openai|gpt|gemini|anthropic|claude|mistral|cohere|rag|vector|llm|chatbot|ai-powered""), ""AI &amp; LLM"",
  REGEXMATCH(A507&amp;B507, ""(?i)twitter|instagram|facebook|linkedin|youtube|tiktok|threads|bluesky|pinterest|social vid"&amp;"eo|reels?|shorts?""), ""Social Media"",
  REGEXMATCH(A507&amp;B507, ""(?i)hubspot|pipedrive|stripe|shopify|woocommerce|sales|crm|invoice|order|leads?|recruitment|bamboohr|erpnext""), ""CRM &amp; Sales"",
  REGEXMATCH(A507&amp;B507, ""(?i)gmail|outlook|calendar|slack|"&amp;"discord|telegram|whatsapp|notion|trello|drive|sheets?|meeting|scheduler|appointment|mattermost""), ""Productivity &amp; Communication"",
  REGEXMATCH(A507&amp;B507, ""(?i)github|api|webhook|http|mysql|supabase|mongodb|redis|rss|pr|code review|incident|pagerduty|j"&amp;"ira""), ""Development &amp; Utilities"",
  TRUE, ""Others""
)"),"Productivity &amp; Communication")</f>
        <v>Productivity &amp; Communication</v>
      </c>
    </row>
    <row r="508" ht="15.75" customHeight="1">
      <c r="A508" s="14" t="s">
        <v>1002</v>
      </c>
      <c r="B508" s="15" t="s">
        <v>1003</v>
      </c>
      <c r="C508" s="16" t="s">
        <v>7</v>
      </c>
      <c r="D508" s="12" t="str">
        <f>IFERROR(__xludf.DUMMYFUNCTION("IFS(
  REGEXMATCH(A508&amp;B508, ""(?i)openai|gpt|gemini|anthropic|claude|mistral|cohere|rag|vector|llm|chatbot|ai-powered""), ""AI &amp; LLM"",
  REGEXMATCH(A508&amp;B508, ""(?i)twitter|instagram|facebook|linkedin|youtube|tiktok|threads|bluesky|pinterest|social vid"&amp;"eo|reels?|shorts?""), ""Social Media"",
  REGEXMATCH(A508&amp;B508, ""(?i)hubspot|pipedrive|stripe|shopify|woocommerce|sales|crm|invoice|order|leads?|recruitment|bamboohr|erpnext""), ""CRM &amp; Sales"",
  REGEXMATCH(A508&amp;B508, ""(?i)gmail|outlook|calendar|slack|"&amp;"discord|telegram|whatsapp|notion|trello|drive|sheets?|meeting|scheduler|appointment|mattermost""), ""Productivity &amp; Communication"",
  REGEXMATCH(A508&amp;B508, ""(?i)github|api|webhook|http|mysql|supabase|mongodb|redis|rss|pr|code review|incident|pagerduty|j"&amp;"ira""), ""Development &amp; Utilities"",
  TRUE, ""Others""
)"),"Productivity &amp; Communication")</f>
        <v>Productivity &amp; Communication</v>
      </c>
    </row>
    <row r="509" ht="15.75" customHeight="1">
      <c r="A509" s="14" t="s">
        <v>1004</v>
      </c>
      <c r="B509" s="15" t="s">
        <v>1005</v>
      </c>
      <c r="C509" s="16" t="s">
        <v>7</v>
      </c>
      <c r="D509" s="12" t="str">
        <f>IFERROR(__xludf.DUMMYFUNCTION("IFS(
  REGEXMATCH(A509&amp;B509, ""(?i)openai|gpt|gemini|anthropic|claude|mistral|cohere|rag|vector|llm|chatbot|ai-powered""), ""AI &amp; LLM"",
  REGEXMATCH(A509&amp;B509, ""(?i)twitter|instagram|facebook|linkedin|youtube|tiktok|threads|bluesky|pinterest|social vid"&amp;"eo|reels?|shorts?""), ""Social Media"",
  REGEXMATCH(A509&amp;B509, ""(?i)hubspot|pipedrive|stripe|shopify|woocommerce|sales|crm|invoice|order|leads?|recruitment|bamboohr|erpnext""), ""CRM &amp; Sales"",
  REGEXMATCH(A509&amp;B509, ""(?i)gmail|outlook|calendar|slack|"&amp;"discord|telegram|whatsapp|notion|trello|drive|sheets?|meeting|scheduler|appointment|mattermost""), ""Productivity &amp; Communication"",
  REGEXMATCH(A509&amp;B509, ""(?i)github|api|webhook|http|mysql|supabase|mongodb|redis|rss|pr|code review|incident|pagerduty|j"&amp;"ira""), ""Development &amp; Utilities"",
  TRUE, ""Others""
)"),"Development &amp; Utilities")</f>
        <v>Development &amp; Utilities</v>
      </c>
    </row>
    <row r="510" ht="15.75" customHeight="1">
      <c r="A510" s="14" t="s">
        <v>1006</v>
      </c>
      <c r="B510" s="15" t="s">
        <v>1007</v>
      </c>
      <c r="C510" s="16" t="s">
        <v>7</v>
      </c>
      <c r="D510" s="12" t="str">
        <f>IFERROR(__xludf.DUMMYFUNCTION("IFS(
  REGEXMATCH(A510&amp;B510, ""(?i)openai|gpt|gemini|anthropic|claude|mistral|cohere|rag|vector|llm|chatbot|ai-powered""), ""AI &amp; LLM"",
  REGEXMATCH(A510&amp;B510, ""(?i)twitter|instagram|facebook|linkedin|youtube|tiktok|threads|bluesky|pinterest|social vid"&amp;"eo|reels?|shorts?""), ""Social Media"",
  REGEXMATCH(A510&amp;B510, ""(?i)hubspot|pipedrive|stripe|shopify|woocommerce|sales|crm|invoice|order|leads?|recruitment|bamboohr|erpnext""), ""CRM &amp; Sales"",
  REGEXMATCH(A510&amp;B510, ""(?i)gmail|outlook|calendar|slack|"&amp;"discord|telegram|whatsapp|notion|trello|drive|sheets?|meeting|scheduler|appointment|mattermost""), ""Productivity &amp; Communication"",
  REGEXMATCH(A510&amp;B510, ""(?i)github|api|webhook|http|mysql|supabase|mongodb|redis|rss|pr|code review|incident|pagerduty|j"&amp;"ira""), ""Development &amp; Utilities"",
  TRUE, ""Others""
)"),"Productivity &amp; Communication")</f>
        <v>Productivity &amp; Communication</v>
      </c>
    </row>
    <row r="511" ht="15.75" customHeight="1">
      <c r="A511" s="14" t="s">
        <v>1008</v>
      </c>
      <c r="B511" s="15" t="s">
        <v>1009</v>
      </c>
      <c r="C511" s="16" t="s">
        <v>7</v>
      </c>
      <c r="D511" s="12" t="str">
        <f>IFERROR(__xludf.DUMMYFUNCTION("IFS(
  REGEXMATCH(A511&amp;B511, ""(?i)openai|gpt|gemini|anthropic|claude|mistral|cohere|rag|vector|llm|chatbot|ai-powered""), ""AI &amp; LLM"",
  REGEXMATCH(A511&amp;B511, ""(?i)twitter|instagram|facebook|linkedin|youtube|tiktok|threads|bluesky|pinterest|social vid"&amp;"eo|reels?|shorts?""), ""Social Media"",
  REGEXMATCH(A511&amp;B511, ""(?i)hubspot|pipedrive|stripe|shopify|woocommerce|sales|crm|invoice|order|leads?|recruitment|bamboohr|erpnext""), ""CRM &amp; Sales"",
  REGEXMATCH(A511&amp;B511, ""(?i)gmail|outlook|calendar|slack|"&amp;"discord|telegram|whatsapp|notion|trello|drive|sheets?|meeting|scheduler|appointment|mattermost""), ""Productivity &amp; Communication"",
  REGEXMATCH(A511&amp;B511, ""(?i)github|api|webhook|http|mysql|supabase|mongodb|redis|rss|pr|code review|incident|pagerduty|j"&amp;"ira""), ""Development &amp; Utilities"",
  TRUE, ""Others""
)"),"Development &amp; Utilities")</f>
        <v>Development &amp; Utilities</v>
      </c>
    </row>
    <row r="512" ht="15.75" customHeight="1">
      <c r="A512" s="14" t="s">
        <v>1010</v>
      </c>
      <c r="B512" s="15" t="s">
        <v>1011</v>
      </c>
      <c r="C512" s="16" t="s">
        <v>7</v>
      </c>
      <c r="D512" s="12" t="str">
        <f>IFERROR(__xludf.DUMMYFUNCTION("IFS(
  REGEXMATCH(A512&amp;B512, ""(?i)openai|gpt|gemini|anthropic|claude|mistral|cohere|rag|vector|llm|chatbot|ai-powered""), ""AI &amp; LLM"",
  REGEXMATCH(A512&amp;B512, ""(?i)twitter|instagram|facebook|linkedin|youtube|tiktok|threads|bluesky|pinterest|social vid"&amp;"eo|reels?|shorts?""), ""Social Media"",
  REGEXMATCH(A512&amp;B512, ""(?i)hubspot|pipedrive|stripe|shopify|woocommerce|sales|crm|invoice|order|leads?|recruitment|bamboohr|erpnext""), ""CRM &amp; Sales"",
  REGEXMATCH(A512&amp;B512, ""(?i)gmail|outlook|calendar|slack|"&amp;"discord|telegram|whatsapp|notion|trello|drive|sheets?|meeting|scheduler|appointment|mattermost""), ""Productivity &amp; Communication"",
  REGEXMATCH(A512&amp;B512, ""(?i)github|api|webhook|http|mysql|supabase|mongodb|redis|rss|pr|code review|incident|pagerduty|j"&amp;"ira""), ""Development &amp; Utilities"",
  TRUE, ""Others""
)"),"Productivity &amp; Communication")</f>
        <v>Productivity &amp; Communication</v>
      </c>
    </row>
    <row r="513" ht="15.75" customHeight="1">
      <c r="A513" s="14" t="s">
        <v>1012</v>
      </c>
      <c r="B513" s="15" t="s">
        <v>1013</v>
      </c>
      <c r="C513" s="16" t="s">
        <v>7</v>
      </c>
      <c r="D513" s="12" t="str">
        <f>IFERROR(__xludf.DUMMYFUNCTION("IFS(
  REGEXMATCH(A513&amp;B513, ""(?i)openai|gpt|gemini|anthropic|claude|mistral|cohere|rag|vector|llm|chatbot|ai-powered""), ""AI &amp; LLM"",
  REGEXMATCH(A513&amp;B513, ""(?i)twitter|instagram|facebook|linkedin|youtube|tiktok|threads|bluesky|pinterest|social vid"&amp;"eo|reels?|shorts?""), ""Social Media"",
  REGEXMATCH(A513&amp;B513, ""(?i)hubspot|pipedrive|stripe|shopify|woocommerce|sales|crm|invoice|order|leads?|recruitment|bamboohr|erpnext""), ""CRM &amp; Sales"",
  REGEXMATCH(A513&amp;B513, ""(?i)gmail|outlook|calendar|slack|"&amp;"discord|telegram|whatsapp|notion|trello|drive|sheets?|meeting|scheduler|appointment|mattermost""), ""Productivity &amp; Communication"",
  REGEXMATCH(A513&amp;B513, ""(?i)github|api|webhook|http|mysql|supabase|mongodb|redis|rss|pr|code review|incident|pagerduty|j"&amp;"ira""), ""Development &amp; Utilities"",
  TRUE, ""Others""
)"),"AI &amp; LLM")</f>
        <v>AI &amp; LLM</v>
      </c>
    </row>
    <row r="514" ht="15.75" customHeight="1">
      <c r="A514" s="14" t="s">
        <v>1014</v>
      </c>
      <c r="B514" s="15" t="s">
        <v>1015</v>
      </c>
      <c r="C514" s="16" t="s">
        <v>7</v>
      </c>
      <c r="D514" s="12" t="str">
        <f>IFERROR(__xludf.DUMMYFUNCTION("IFS(
  REGEXMATCH(A514&amp;B514, ""(?i)openai|gpt|gemini|anthropic|claude|mistral|cohere|rag|vector|llm|chatbot|ai-powered""), ""AI &amp; LLM"",
  REGEXMATCH(A514&amp;B514, ""(?i)twitter|instagram|facebook|linkedin|youtube|tiktok|threads|bluesky|pinterest|social vid"&amp;"eo|reels?|shorts?""), ""Social Media"",
  REGEXMATCH(A514&amp;B514, ""(?i)hubspot|pipedrive|stripe|shopify|woocommerce|sales|crm|invoice|order|leads?|recruitment|bamboohr|erpnext""), ""CRM &amp; Sales"",
  REGEXMATCH(A514&amp;B514, ""(?i)gmail|outlook|calendar|slack|"&amp;"discord|telegram|whatsapp|notion|trello|drive|sheets?|meeting|scheduler|appointment|mattermost""), ""Productivity &amp; Communication"",
  REGEXMATCH(A514&amp;B514, ""(?i)github|api|webhook|http|mysql|supabase|mongodb|redis|rss|pr|code review|incident|pagerduty|j"&amp;"ira""), ""Development &amp; Utilities"",
  TRUE, ""Others""
)"),"Productivity &amp; Communication")</f>
        <v>Productivity &amp; Communication</v>
      </c>
    </row>
    <row r="515" ht="15.75" customHeight="1">
      <c r="A515" s="14" t="s">
        <v>1016</v>
      </c>
      <c r="B515" s="15" t="s">
        <v>1017</v>
      </c>
      <c r="C515" s="16" t="s">
        <v>7</v>
      </c>
      <c r="D515" s="12" t="str">
        <f>IFERROR(__xludf.DUMMYFUNCTION("IFS(
  REGEXMATCH(A515&amp;B515, ""(?i)openai|gpt|gemini|anthropic|claude|mistral|cohere|rag|vector|llm|chatbot|ai-powered""), ""AI &amp; LLM"",
  REGEXMATCH(A515&amp;B515, ""(?i)twitter|instagram|facebook|linkedin|youtube|tiktok|threads|bluesky|pinterest|social vid"&amp;"eo|reels?|shorts?""), ""Social Media"",
  REGEXMATCH(A515&amp;B515, ""(?i)hubspot|pipedrive|stripe|shopify|woocommerce|sales|crm|invoice|order|leads?|recruitment|bamboohr|erpnext""), ""CRM &amp; Sales"",
  REGEXMATCH(A515&amp;B515, ""(?i)gmail|outlook|calendar|slack|"&amp;"discord|telegram|whatsapp|notion|trello|drive|sheets?|meeting|scheduler|appointment|mattermost""), ""Productivity &amp; Communication"",
  REGEXMATCH(A515&amp;B515, ""(?i)github|api|webhook|http|mysql|supabase|mongodb|redis|rss|pr|code review|incident|pagerduty|j"&amp;"ira""), ""Development &amp; Utilities"",
  TRUE, ""Others""
)"),"Productivity &amp; Communication")</f>
        <v>Productivity &amp; Communication</v>
      </c>
    </row>
    <row r="516" ht="15.75" customHeight="1">
      <c r="A516" s="14" t="s">
        <v>1018</v>
      </c>
      <c r="B516" s="15" t="s">
        <v>1019</v>
      </c>
      <c r="C516" s="16" t="s">
        <v>7</v>
      </c>
      <c r="D516" s="12" t="str">
        <f>IFERROR(__xludf.DUMMYFUNCTION("IFS(
  REGEXMATCH(A516&amp;B516, ""(?i)openai|gpt|gemini|anthropic|claude|mistral|cohere|rag|vector|llm|chatbot|ai-powered""), ""AI &amp; LLM"",
  REGEXMATCH(A516&amp;B516, ""(?i)twitter|instagram|facebook|linkedin|youtube|tiktok|threads|bluesky|pinterest|social vid"&amp;"eo|reels?|shorts?""), ""Social Media"",
  REGEXMATCH(A516&amp;B516, ""(?i)hubspot|pipedrive|stripe|shopify|woocommerce|sales|crm|invoice|order|leads?|recruitment|bamboohr|erpnext""), ""CRM &amp; Sales"",
  REGEXMATCH(A516&amp;B516, ""(?i)gmail|outlook|calendar|slack|"&amp;"discord|telegram|whatsapp|notion|trello|drive|sheets?|meeting|scheduler|appointment|mattermost""), ""Productivity &amp; Communication"",
  REGEXMATCH(A516&amp;B516, ""(?i)github|api|webhook|http|mysql|supabase|mongodb|redis|rss|pr|code review|incident|pagerduty|j"&amp;"ira""), ""Development &amp; Utilities"",
  TRUE, ""Others""
)"),"Social Media")</f>
        <v>Social Media</v>
      </c>
    </row>
    <row r="517" ht="15.75" customHeight="1">
      <c r="A517" s="14" t="s">
        <v>1020</v>
      </c>
      <c r="B517" s="15" t="s">
        <v>1021</v>
      </c>
      <c r="C517" s="16" t="s">
        <v>7</v>
      </c>
      <c r="D517" s="12" t="str">
        <f>IFERROR(__xludf.DUMMYFUNCTION("IFS(
  REGEXMATCH(A517&amp;B517, ""(?i)openai|gpt|gemini|anthropic|claude|mistral|cohere|rag|vector|llm|chatbot|ai-powered""), ""AI &amp; LLM"",
  REGEXMATCH(A517&amp;B517, ""(?i)twitter|instagram|facebook|linkedin|youtube|tiktok|threads|bluesky|pinterest|social vid"&amp;"eo|reels?|shorts?""), ""Social Media"",
  REGEXMATCH(A517&amp;B517, ""(?i)hubspot|pipedrive|stripe|shopify|woocommerce|sales|crm|invoice|order|leads?|recruitment|bamboohr|erpnext""), ""CRM &amp; Sales"",
  REGEXMATCH(A517&amp;B517, ""(?i)gmail|outlook|calendar|slack|"&amp;"discord|telegram|whatsapp|notion|trello|drive|sheets?|meeting|scheduler|appointment|mattermost""), ""Productivity &amp; Communication"",
  REGEXMATCH(A517&amp;B517, ""(?i)github|api|webhook|http|mysql|supabase|mongodb|redis|rss|pr|code review|incident|pagerduty|j"&amp;"ira""), ""Development &amp; Utilities"",
  TRUE, ""Others""
)"),"Social Media")</f>
        <v>Social Media</v>
      </c>
    </row>
    <row r="518" ht="15.75" customHeight="1">
      <c r="A518" s="14" t="s">
        <v>1022</v>
      </c>
      <c r="B518" s="15" t="s">
        <v>1023</v>
      </c>
      <c r="C518" s="16" t="s">
        <v>7</v>
      </c>
      <c r="D518" s="12" t="str">
        <f>IFERROR(__xludf.DUMMYFUNCTION("IFS(
  REGEXMATCH(A518&amp;B518, ""(?i)openai|gpt|gemini|anthropic|claude|mistral|cohere|rag|vector|llm|chatbot|ai-powered""), ""AI &amp; LLM"",
  REGEXMATCH(A518&amp;B518, ""(?i)twitter|instagram|facebook|linkedin|youtube|tiktok|threads|bluesky|pinterest|social vid"&amp;"eo|reels?|shorts?""), ""Social Media"",
  REGEXMATCH(A518&amp;B518, ""(?i)hubspot|pipedrive|stripe|shopify|woocommerce|sales|crm|invoice|order|leads?|recruitment|bamboohr|erpnext""), ""CRM &amp; Sales"",
  REGEXMATCH(A518&amp;B518, ""(?i)gmail|outlook|calendar|slack|"&amp;"discord|telegram|whatsapp|notion|trello|drive|sheets?|meeting|scheduler|appointment|mattermost""), ""Productivity &amp; Communication"",
  REGEXMATCH(A518&amp;B518, ""(?i)github|api|webhook|http|mysql|supabase|mongodb|redis|rss|pr|code review|incident|pagerduty|j"&amp;"ira""), ""Development &amp; Utilities"",
  TRUE, ""Others""
)"),"Social Media")</f>
        <v>Social Media</v>
      </c>
    </row>
    <row r="519" ht="15.75" customHeight="1">
      <c r="A519" s="14" t="s">
        <v>1024</v>
      </c>
      <c r="B519" s="15" t="s">
        <v>1025</v>
      </c>
      <c r="C519" s="16" t="s">
        <v>7</v>
      </c>
      <c r="D519" s="12" t="str">
        <f>IFERROR(__xludf.DUMMYFUNCTION("IFS(
  REGEXMATCH(A519&amp;B519, ""(?i)openai|gpt|gemini|anthropic|claude|mistral|cohere|rag|vector|llm|chatbot|ai-powered""), ""AI &amp; LLM"",
  REGEXMATCH(A519&amp;B519, ""(?i)twitter|instagram|facebook|linkedin|youtube|tiktok|threads|bluesky|pinterest|social vid"&amp;"eo|reels?|shorts?""), ""Social Media"",
  REGEXMATCH(A519&amp;B519, ""(?i)hubspot|pipedrive|stripe|shopify|woocommerce|sales|crm|invoice|order|leads?|recruitment|bamboohr|erpnext""), ""CRM &amp; Sales"",
  REGEXMATCH(A519&amp;B519, ""(?i)gmail|outlook|calendar|slack|"&amp;"discord|telegram|whatsapp|notion|trello|drive|sheets?|meeting|scheduler|appointment|mattermost""), ""Productivity &amp; Communication"",
  REGEXMATCH(A519&amp;B519, ""(?i)github|api|webhook|http|mysql|supabase|mongodb|redis|rss|pr|code review|incident|pagerduty|j"&amp;"ira""), ""Development &amp; Utilities"",
  TRUE, ""Others""
)"),"AI &amp; LLM")</f>
        <v>AI &amp; LLM</v>
      </c>
    </row>
    <row r="520" ht="15.75" customHeight="1">
      <c r="A520" s="14" t="s">
        <v>1026</v>
      </c>
      <c r="B520" s="15" t="s">
        <v>1027</v>
      </c>
      <c r="C520" s="16" t="s">
        <v>7</v>
      </c>
      <c r="D520" s="12" t="str">
        <f>IFERROR(__xludf.DUMMYFUNCTION("IFS(
  REGEXMATCH(A520&amp;B520, ""(?i)openai|gpt|gemini|anthropic|claude|mistral|cohere|rag|vector|llm|chatbot|ai-powered""), ""AI &amp; LLM"",
  REGEXMATCH(A520&amp;B520, ""(?i)twitter|instagram|facebook|linkedin|youtube|tiktok|threads|bluesky|pinterest|social vid"&amp;"eo|reels?|shorts?""), ""Social Media"",
  REGEXMATCH(A520&amp;B520, ""(?i)hubspot|pipedrive|stripe|shopify|woocommerce|sales|crm|invoice|order|leads?|recruitment|bamboohr|erpnext""), ""CRM &amp; Sales"",
  REGEXMATCH(A520&amp;B520, ""(?i)gmail|outlook|calendar|slack|"&amp;"discord|telegram|whatsapp|notion|trello|drive|sheets?|meeting|scheduler|appointment|mattermost""), ""Productivity &amp; Communication"",
  REGEXMATCH(A520&amp;B520, ""(?i)github|api|webhook|http|mysql|supabase|mongodb|redis|rss|pr|code review|incident|pagerduty|j"&amp;"ira""), ""Development &amp; Utilities"",
  TRUE, ""Others""
)"),"CRM &amp; Sales")</f>
        <v>CRM &amp; Sales</v>
      </c>
    </row>
    <row r="521" ht="15.75" customHeight="1">
      <c r="A521" s="14" t="s">
        <v>1028</v>
      </c>
      <c r="B521" s="15" t="s">
        <v>1029</v>
      </c>
      <c r="C521" s="16" t="s">
        <v>7</v>
      </c>
      <c r="D521" s="12" t="str">
        <f>IFERROR(__xludf.DUMMYFUNCTION("IFS(
  REGEXMATCH(A521&amp;B521, ""(?i)openai|gpt|gemini|anthropic|claude|mistral|cohere|rag|vector|llm|chatbot|ai-powered""), ""AI &amp; LLM"",
  REGEXMATCH(A521&amp;B521, ""(?i)twitter|instagram|facebook|linkedin|youtube|tiktok|threads|bluesky|pinterest|social vid"&amp;"eo|reels?|shorts?""), ""Social Media"",
  REGEXMATCH(A521&amp;B521, ""(?i)hubspot|pipedrive|stripe|shopify|woocommerce|sales|crm|invoice|order|leads?|recruitment|bamboohr|erpnext""), ""CRM &amp; Sales"",
  REGEXMATCH(A521&amp;B521, ""(?i)gmail|outlook|calendar|slack|"&amp;"discord|telegram|whatsapp|notion|trello|drive|sheets?|meeting|scheduler|appointment|mattermost""), ""Productivity &amp; Communication"",
  REGEXMATCH(A521&amp;B521, ""(?i)github|api|webhook|http|mysql|supabase|mongodb|redis|rss|pr|code review|incident|pagerduty|j"&amp;"ira""), ""Development &amp; Utilities"",
  TRUE, ""Others""
)"),"Development &amp; Utilities")</f>
        <v>Development &amp; Utilities</v>
      </c>
    </row>
    <row r="522" ht="15.75" customHeight="1">
      <c r="A522" s="14" t="s">
        <v>1030</v>
      </c>
      <c r="B522" s="15" t="s">
        <v>1031</v>
      </c>
      <c r="C522" s="16" t="s">
        <v>7</v>
      </c>
      <c r="D522" s="12" t="str">
        <f>IFERROR(__xludf.DUMMYFUNCTION("IFS(
  REGEXMATCH(A522&amp;B522, ""(?i)openai|gpt|gemini|anthropic|claude|mistral|cohere|rag|vector|llm|chatbot|ai-powered""), ""AI &amp; LLM"",
  REGEXMATCH(A522&amp;B522, ""(?i)twitter|instagram|facebook|linkedin|youtube|tiktok|threads|bluesky|pinterest|social vid"&amp;"eo|reels?|shorts?""), ""Social Media"",
  REGEXMATCH(A522&amp;B522, ""(?i)hubspot|pipedrive|stripe|shopify|woocommerce|sales|crm|invoice|order|leads?|recruitment|bamboohr|erpnext""), ""CRM &amp; Sales"",
  REGEXMATCH(A522&amp;B522, ""(?i)gmail|outlook|calendar|slack|"&amp;"discord|telegram|whatsapp|notion|trello|drive|sheets?|meeting|scheduler|appointment|mattermost""), ""Productivity &amp; Communication"",
  REGEXMATCH(A522&amp;B522, ""(?i)github|api|webhook|http|mysql|supabase|mongodb|redis|rss|pr|code review|incident|pagerduty|j"&amp;"ira""), ""Development &amp; Utilities"",
  TRUE, ""Others""
)"),"Development &amp; Utilities")</f>
        <v>Development &amp; Utilities</v>
      </c>
    </row>
    <row r="523" ht="15.75" customHeight="1">
      <c r="A523" s="14" t="s">
        <v>1032</v>
      </c>
      <c r="B523" s="15" t="s">
        <v>1033</v>
      </c>
      <c r="C523" s="16" t="s">
        <v>7</v>
      </c>
      <c r="D523" s="12" t="str">
        <f>IFERROR(__xludf.DUMMYFUNCTION("IFS(
  REGEXMATCH(A523&amp;B523, ""(?i)openai|gpt|gemini|anthropic|claude|mistral|cohere|rag|vector|llm|chatbot|ai-powered""), ""AI &amp; LLM"",
  REGEXMATCH(A523&amp;B523, ""(?i)twitter|instagram|facebook|linkedin|youtube|tiktok|threads|bluesky|pinterest|social vid"&amp;"eo|reels?|shorts?""), ""Social Media"",
  REGEXMATCH(A523&amp;B523, ""(?i)hubspot|pipedrive|stripe|shopify|woocommerce|sales|crm|invoice|order|leads?|recruitment|bamboohr|erpnext""), ""CRM &amp; Sales"",
  REGEXMATCH(A523&amp;B523, ""(?i)gmail|outlook|calendar|slack|"&amp;"discord|telegram|whatsapp|notion|trello|drive|sheets?|meeting|scheduler|appointment|mattermost""), ""Productivity &amp; Communication"",
  REGEXMATCH(A523&amp;B523, ""(?i)github|api|webhook|http|mysql|supabase|mongodb|redis|rss|pr|code review|incident|pagerduty|j"&amp;"ira""), ""Development &amp; Utilities"",
  TRUE, ""Others""
)"),"CRM &amp; Sales")</f>
        <v>CRM &amp; Sales</v>
      </c>
    </row>
    <row r="524" ht="15.75" customHeight="1">
      <c r="A524" s="14" t="s">
        <v>1034</v>
      </c>
      <c r="B524" s="15" t="s">
        <v>1035</v>
      </c>
      <c r="C524" s="16" t="s">
        <v>7</v>
      </c>
      <c r="D524" s="12" t="str">
        <f>IFERROR(__xludf.DUMMYFUNCTION("IFS(
  REGEXMATCH(A524&amp;B524, ""(?i)openai|gpt|gemini|anthropic|claude|mistral|cohere|rag|vector|llm|chatbot|ai-powered""), ""AI &amp; LLM"",
  REGEXMATCH(A524&amp;B524, ""(?i)twitter|instagram|facebook|linkedin|youtube|tiktok|threads|bluesky|pinterest|social vid"&amp;"eo|reels?|shorts?""), ""Social Media"",
  REGEXMATCH(A524&amp;B524, ""(?i)hubspot|pipedrive|stripe|shopify|woocommerce|sales|crm|invoice|order|leads?|recruitment|bamboohr|erpnext""), ""CRM &amp; Sales"",
  REGEXMATCH(A524&amp;B524, ""(?i)gmail|outlook|calendar|slack|"&amp;"discord|telegram|whatsapp|notion|trello|drive|sheets?|meeting|scheduler|appointment|mattermost""), ""Productivity &amp; Communication"",
  REGEXMATCH(A524&amp;B524, ""(?i)github|api|webhook|http|mysql|supabase|mongodb|redis|rss|pr|code review|incident|pagerduty|j"&amp;"ira""), ""Development &amp; Utilities"",
  TRUE, ""Others""
)"),"Development &amp; Utilities")</f>
        <v>Development &amp; Utilities</v>
      </c>
    </row>
    <row r="525" ht="15.75" customHeight="1">
      <c r="A525" s="14" t="s">
        <v>1036</v>
      </c>
      <c r="B525" s="15" t="s">
        <v>1037</v>
      </c>
      <c r="C525" s="16" t="s">
        <v>7</v>
      </c>
      <c r="D525" s="12" t="str">
        <f>IFERROR(__xludf.DUMMYFUNCTION("IFS(
  REGEXMATCH(A525&amp;B525, ""(?i)openai|gpt|gemini|anthropic|claude|mistral|cohere|rag|vector|llm|chatbot|ai-powered""), ""AI &amp; LLM"",
  REGEXMATCH(A525&amp;B525, ""(?i)twitter|instagram|facebook|linkedin|youtube|tiktok|threads|bluesky|pinterest|social vid"&amp;"eo|reels?|shorts?""), ""Social Media"",
  REGEXMATCH(A525&amp;B525, ""(?i)hubspot|pipedrive|stripe|shopify|woocommerce|sales|crm|invoice|order|leads?|recruitment|bamboohr|erpnext""), ""CRM &amp; Sales"",
  REGEXMATCH(A525&amp;B525, ""(?i)gmail|outlook|calendar|slack|"&amp;"discord|telegram|whatsapp|notion|trello|drive|sheets?|meeting|scheduler|appointment|mattermost""), ""Productivity &amp; Communication"",
  REGEXMATCH(A525&amp;B525, ""(?i)github|api|webhook|http|mysql|supabase|mongodb|redis|rss|pr|code review|incident|pagerduty|j"&amp;"ira""), ""Development &amp; Utilities"",
  TRUE, ""Others""
)"),"Development &amp; Utilities")</f>
        <v>Development &amp; Utilities</v>
      </c>
    </row>
    <row r="526" ht="15.75" customHeight="1">
      <c r="A526" s="14" t="s">
        <v>1038</v>
      </c>
      <c r="B526" s="15" t="s">
        <v>1039</v>
      </c>
      <c r="C526" s="16" t="s">
        <v>7</v>
      </c>
      <c r="D526" s="12" t="str">
        <f>IFERROR(__xludf.DUMMYFUNCTION("IFS(
  REGEXMATCH(A526&amp;B526, ""(?i)openai|gpt|gemini|anthropic|claude|mistral|cohere|rag|vector|llm|chatbot|ai-powered""), ""AI &amp; LLM"",
  REGEXMATCH(A526&amp;B526, ""(?i)twitter|instagram|facebook|linkedin|youtube|tiktok|threads|bluesky|pinterest|social vid"&amp;"eo|reels?|shorts?""), ""Social Media"",
  REGEXMATCH(A526&amp;B526, ""(?i)hubspot|pipedrive|stripe|shopify|woocommerce|sales|crm|invoice|order|leads?|recruitment|bamboohr|erpnext""), ""CRM &amp; Sales"",
  REGEXMATCH(A526&amp;B526, ""(?i)gmail|outlook|calendar|slack|"&amp;"discord|telegram|whatsapp|notion|trello|drive|sheets?|meeting|scheduler|appointment|mattermost""), ""Productivity &amp; Communication"",
  REGEXMATCH(A526&amp;B526, ""(?i)github|api|webhook|http|mysql|supabase|mongodb|redis|rss|pr|code review|incident|pagerduty|j"&amp;"ira""), ""Development &amp; Utilities"",
  TRUE, ""Others""
)"),"Development &amp; Utilities")</f>
        <v>Development &amp; Utilities</v>
      </c>
    </row>
    <row r="527" ht="15.75" customHeight="1">
      <c r="A527" s="14" t="s">
        <v>1040</v>
      </c>
      <c r="B527" s="15" t="s">
        <v>1041</v>
      </c>
      <c r="C527" s="16" t="s">
        <v>7</v>
      </c>
      <c r="D527" s="12" t="str">
        <f>IFERROR(__xludf.DUMMYFUNCTION("IFS(
  REGEXMATCH(A527&amp;B527, ""(?i)openai|gpt|gemini|anthropic|claude|mistral|cohere|rag|vector|llm|chatbot|ai-powered""), ""AI &amp; LLM"",
  REGEXMATCH(A527&amp;B527, ""(?i)twitter|instagram|facebook|linkedin|youtube|tiktok|threads|bluesky|pinterest|social vid"&amp;"eo|reels?|shorts?""), ""Social Media"",
  REGEXMATCH(A527&amp;B527, ""(?i)hubspot|pipedrive|stripe|shopify|woocommerce|sales|crm|invoice|order|leads?|recruitment|bamboohr|erpnext""), ""CRM &amp; Sales"",
  REGEXMATCH(A527&amp;B527, ""(?i)gmail|outlook|calendar|slack|"&amp;"discord|telegram|whatsapp|notion|trello|drive|sheets?|meeting|scheduler|appointment|mattermost""), ""Productivity &amp; Communication"",
  REGEXMATCH(A527&amp;B527, ""(?i)github|api|webhook|http|mysql|supabase|mongodb|redis|rss|pr|code review|incident|pagerduty|j"&amp;"ira""), ""Development &amp; Utilities"",
  TRUE, ""Others""
)"),"AI &amp; LLM")</f>
        <v>AI &amp; LLM</v>
      </c>
    </row>
    <row r="528" ht="15.75" customHeight="1">
      <c r="A528" s="14" t="s">
        <v>1042</v>
      </c>
      <c r="B528" s="15" t="s">
        <v>1043</v>
      </c>
      <c r="C528" s="16" t="s">
        <v>7</v>
      </c>
      <c r="D528" s="12" t="str">
        <f>IFERROR(__xludf.DUMMYFUNCTION("IFS(
  REGEXMATCH(A528&amp;B528, ""(?i)openai|gpt|gemini|anthropic|claude|mistral|cohere|rag|vector|llm|chatbot|ai-powered""), ""AI &amp; LLM"",
  REGEXMATCH(A528&amp;B528, ""(?i)twitter|instagram|facebook|linkedin|youtube|tiktok|threads|bluesky|pinterest|social vid"&amp;"eo|reels?|shorts?""), ""Social Media"",
  REGEXMATCH(A528&amp;B528, ""(?i)hubspot|pipedrive|stripe|shopify|woocommerce|sales|crm|invoice|order|leads?|recruitment|bamboohr|erpnext""), ""CRM &amp; Sales"",
  REGEXMATCH(A528&amp;B528, ""(?i)gmail|outlook|calendar|slack|"&amp;"discord|telegram|whatsapp|notion|trello|drive|sheets?|meeting|scheduler|appointment|mattermost""), ""Productivity &amp; Communication"",
  REGEXMATCH(A528&amp;B528, ""(?i)github|api|webhook|http|mysql|supabase|mongodb|redis|rss|pr|code review|incident|pagerduty|j"&amp;"ira""), ""Development &amp; Utilities"",
  TRUE, ""Others""
)"),"Productivity &amp; Communication")</f>
        <v>Productivity &amp; Communication</v>
      </c>
    </row>
    <row r="529" ht="15.75" customHeight="1">
      <c r="A529" s="14" t="s">
        <v>1044</v>
      </c>
      <c r="B529" s="15" t="s">
        <v>1045</v>
      </c>
      <c r="C529" s="16" t="s">
        <v>7</v>
      </c>
      <c r="D529" s="12" t="str">
        <f>IFERROR(__xludf.DUMMYFUNCTION("IFS(
  REGEXMATCH(A529&amp;B529, ""(?i)openai|gpt|gemini|anthropic|claude|mistral|cohere|rag|vector|llm|chatbot|ai-powered""), ""AI &amp; LLM"",
  REGEXMATCH(A529&amp;B529, ""(?i)twitter|instagram|facebook|linkedin|youtube|tiktok|threads|bluesky|pinterest|social vid"&amp;"eo|reels?|shorts?""), ""Social Media"",
  REGEXMATCH(A529&amp;B529, ""(?i)hubspot|pipedrive|stripe|shopify|woocommerce|sales|crm|invoice|order|leads?|recruitment|bamboohr|erpnext""), ""CRM &amp; Sales"",
  REGEXMATCH(A529&amp;B529, ""(?i)gmail|outlook|calendar|slack|"&amp;"discord|telegram|whatsapp|notion|trello|drive|sheets?|meeting|scheduler|appointment|mattermost""), ""Productivity &amp; Communication"",
  REGEXMATCH(A529&amp;B529, ""(?i)github|api|webhook|http|mysql|supabase|mongodb|redis|rss|pr|code review|incident|pagerduty|j"&amp;"ira""), ""Development &amp; Utilities"",
  TRUE, ""Others""
)"),"AI &amp; LLM")</f>
        <v>AI &amp; LLM</v>
      </c>
    </row>
    <row r="530" ht="15.75" customHeight="1">
      <c r="A530" s="14" t="s">
        <v>1046</v>
      </c>
      <c r="B530" s="15" t="s">
        <v>1047</v>
      </c>
      <c r="C530" s="16" t="s">
        <v>7</v>
      </c>
      <c r="D530" s="12" t="str">
        <f>IFERROR(__xludf.DUMMYFUNCTION("IFS(
  REGEXMATCH(A530&amp;B530, ""(?i)openai|gpt|gemini|anthropic|claude|mistral|cohere|rag|vector|llm|chatbot|ai-powered""), ""AI &amp; LLM"",
  REGEXMATCH(A530&amp;B530, ""(?i)twitter|instagram|facebook|linkedin|youtube|tiktok|threads|bluesky|pinterest|social vid"&amp;"eo|reels?|shorts?""), ""Social Media"",
  REGEXMATCH(A530&amp;B530, ""(?i)hubspot|pipedrive|stripe|shopify|woocommerce|sales|crm|invoice|order|leads?|recruitment|bamboohr|erpnext""), ""CRM &amp; Sales"",
  REGEXMATCH(A530&amp;B530, ""(?i)gmail|outlook|calendar|slack|"&amp;"discord|telegram|whatsapp|notion|trello|drive|sheets?|meeting|scheduler|appointment|mattermost""), ""Productivity &amp; Communication"",
  REGEXMATCH(A530&amp;B530, ""(?i)github|api|webhook|http|mysql|supabase|mongodb|redis|rss|pr|code review|incident|pagerduty|j"&amp;"ira""), ""Development &amp; Utilities"",
  TRUE, ""Others""
)"),"AI &amp; LLM")</f>
        <v>AI &amp; LLM</v>
      </c>
    </row>
    <row r="531" ht="15.75" customHeight="1">
      <c r="A531" s="14" t="s">
        <v>1048</v>
      </c>
      <c r="B531" s="15" t="s">
        <v>1049</v>
      </c>
      <c r="C531" s="16" t="s">
        <v>7</v>
      </c>
      <c r="D531" s="12" t="str">
        <f>IFERROR(__xludf.DUMMYFUNCTION("IFS(
  REGEXMATCH(A531&amp;B531, ""(?i)openai|gpt|gemini|anthropic|claude|mistral|cohere|rag|vector|llm|chatbot|ai-powered""), ""AI &amp; LLM"",
  REGEXMATCH(A531&amp;B531, ""(?i)twitter|instagram|facebook|linkedin|youtube|tiktok|threads|bluesky|pinterest|social vid"&amp;"eo|reels?|shorts?""), ""Social Media"",
  REGEXMATCH(A531&amp;B531, ""(?i)hubspot|pipedrive|stripe|shopify|woocommerce|sales|crm|invoice|order|leads?|recruitment|bamboohr|erpnext""), ""CRM &amp; Sales"",
  REGEXMATCH(A531&amp;B531, ""(?i)gmail|outlook|calendar|slack|"&amp;"discord|telegram|whatsapp|notion|trello|drive|sheets?|meeting|scheduler|appointment|mattermost""), ""Productivity &amp; Communication"",
  REGEXMATCH(A531&amp;B531, ""(?i)github|api|webhook|http|mysql|supabase|mongodb|redis|rss|pr|code review|incident|pagerduty|j"&amp;"ira""), ""Development &amp; Utilities"",
  TRUE, ""Others""
)"),"Productivity &amp; Communication")</f>
        <v>Productivity &amp; Communication</v>
      </c>
    </row>
    <row r="532" ht="15.75" customHeight="1">
      <c r="A532" s="14" t="s">
        <v>1050</v>
      </c>
      <c r="B532" s="15" t="s">
        <v>1051</v>
      </c>
      <c r="C532" s="16" t="s">
        <v>7</v>
      </c>
      <c r="D532" s="12" t="str">
        <f>IFERROR(__xludf.DUMMYFUNCTION("IFS(
  REGEXMATCH(A532&amp;B532, ""(?i)openai|gpt|gemini|anthropic|claude|mistral|cohere|rag|vector|llm|chatbot|ai-powered""), ""AI &amp; LLM"",
  REGEXMATCH(A532&amp;B532, ""(?i)twitter|instagram|facebook|linkedin|youtube|tiktok|threads|bluesky|pinterest|social vid"&amp;"eo|reels?|shorts?""), ""Social Media"",
  REGEXMATCH(A532&amp;B532, ""(?i)hubspot|pipedrive|stripe|shopify|woocommerce|sales|crm|invoice|order|leads?|recruitment|bamboohr|erpnext""), ""CRM &amp; Sales"",
  REGEXMATCH(A532&amp;B532, ""(?i)gmail|outlook|calendar|slack|"&amp;"discord|telegram|whatsapp|notion|trello|drive|sheets?|meeting|scheduler|appointment|mattermost""), ""Productivity &amp; Communication"",
  REGEXMATCH(A532&amp;B532, ""(?i)github|api|webhook|http|mysql|supabase|mongodb|redis|rss|pr|code review|incident|pagerduty|j"&amp;"ira""), ""Development &amp; Utilities"",
  TRUE, ""Others""
)"),"Productivity &amp; Communication")</f>
        <v>Productivity &amp; Communication</v>
      </c>
    </row>
    <row r="533" ht="15.75" customHeight="1">
      <c r="A533" s="14" t="s">
        <v>1052</v>
      </c>
      <c r="B533" s="15" t="s">
        <v>1053</v>
      </c>
      <c r="C533" s="16" t="s">
        <v>7</v>
      </c>
      <c r="D533" s="12" t="str">
        <f>IFERROR(__xludf.DUMMYFUNCTION("IFS(
  REGEXMATCH(A533&amp;B533, ""(?i)openai|gpt|gemini|anthropic|claude|mistral|cohere|rag|vector|llm|chatbot|ai-powered""), ""AI &amp; LLM"",
  REGEXMATCH(A533&amp;B533, ""(?i)twitter|instagram|facebook|linkedin|youtube|tiktok|threads|bluesky|pinterest|social vid"&amp;"eo|reels?|shorts?""), ""Social Media"",
  REGEXMATCH(A533&amp;B533, ""(?i)hubspot|pipedrive|stripe|shopify|woocommerce|sales|crm|invoice|order|leads?|recruitment|bamboohr|erpnext""), ""CRM &amp; Sales"",
  REGEXMATCH(A533&amp;B533, ""(?i)gmail|outlook|calendar|slack|"&amp;"discord|telegram|whatsapp|notion|trello|drive|sheets?|meeting|scheduler|appointment|mattermost""), ""Productivity &amp; Communication"",
  REGEXMATCH(A533&amp;B533, ""(?i)github|api|webhook|http|mysql|supabase|mongodb|redis|rss|pr|code review|incident|pagerduty|j"&amp;"ira""), ""Development &amp; Utilities"",
  TRUE, ""Others""
)"),"CRM &amp; Sales")</f>
        <v>CRM &amp; Sales</v>
      </c>
    </row>
    <row r="534" ht="15.75" customHeight="1">
      <c r="A534" s="14" t="s">
        <v>1054</v>
      </c>
      <c r="B534" s="15" t="s">
        <v>1055</v>
      </c>
      <c r="C534" s="16" t="s">
        <v>7</v>
      </c>
      <c r="D534" s="12" t="str">
        <f>IFERROR(__xludf.DUMMYFUNCTION("IFS(
  REGEXMATCH(A534&amp;B534, ""(?i)openai|gpt|gemini|anthropic|claude|mistral|cohere|rag|vector|llm|chatbot|ai-powered""), ""AI &amp; LLM"",
  REGEXMATCH(A534&amp;B534, ""(?i)twitter|instagram|facebook|linkedin|youtube|tiktok|threads|bluesky|pinterest|social vid"&amp;"eo|reels?|shorts?""), ""Social Media"",
  REGEXMATCH(A534&amp;B534, ""(?i)hubspot|pipedrive|stripe|shopify|woocommerce|sales|crm|invoice|order|leads?|recruitment|bamboohr|erpnext""), ""CRM &amp; Sales"",
  REGEXMATCH(A534&amp;B534, ""(?i)gmail|outlook|calendar|slack|"&amp;"discord|telegram|whatsapp|notion|trello|drive|sheets?|meeting|scheduler|appointment|mattermost""), ""Productivity &amp; Communication"",
  REGEXMATCH(A534&amp;B534, ""(?i)github|api|webhook|http|mysql|supabase|mongodb|redis|rss|pr|code review|incident|pagerduty|j"&amp;"ira""), ""Development &amp; Utilities"",
  TRUE, ""Others""
)"),"Development &amp; Utilities")</f>
        <v>Development &amp; Utilities</v>
      </c>
    </row>
    <row r="535" ht="15.75" customHeight="1">
      <c r="A535" s="14" t="s">
        <v>1056</v>
      </c>
      <c r="B535" s="15" t="s">
        <v>1057</v>
      </c>
      <c r="C535" s="16" t="s">
        <v>7</v>
      </c>
      <c r="D535" s="12" t="str">
        <f>IFERROR(__xludf.DUMMYFUNCTION("IFS(
  REGEXMATCH(A535&amp;B535, ""(?i)openai|gpt|gemini|anthropic|claude|mistral|cohere|rag|vector|llm|chatbot|ai-powered""), ""AI &amp; LLM"",
  REGEXMATCH(A535&amp;B535, ""(?i)twitter|instagram|facebook|linkedin|youtube|tiktok|threads|bluesky|pinterest|social vid"&amp;"eo|reels?|shorts?""), ""Social Media"",
  REGEXMATCH(A535&amp;B535, ""(?i)hubspot|pipedrive|stripe|shopify|woocommerce|sales|crm|invoice|order|leads?|recruitment|bamboohr|erpnext""), ""CRM &amp; Sales"",
  REGEXMATCH(A535&amp;B535, ""(?i)gmail|outlook|calendar|slack|"&amp;"discord|telegram|whatsapp|notion|trello|drive|sheets?|meeting|scheduler|appointment|mattermost""), ""Productivity &amp; Communication"",
  REGEXMATCH(A535&amp;B535, ""(?i)github|api|webhook|http|mysql|supabase|mongodb|redis|rss|pr|code review|incident|pagerduty|j"&amp;"ira""), ""Development &amp; Utilities"",
  TRUE, ""Others""
)"),"AI &amp; LLM")</f>
        <v>AI &amp; LLM</v>
      </c>
    </row>
    <row r="536" ht="15.75" customHeight="1">
      <c r="A536" s="14" t="s">
        <v>1058</v>
      </c>
      <c r="B536" s="15" t="s">
        <v>1059</v>
      </c>
      <c r="C536" s="16" t="s">
        <v>7</v>
      </c>
      <c r="D536" s="12" t="str">
        <f>IFERROR(__xludf.DUMMYFUNCTION("IFS(
  REGEXMATCH(A536&amp;B536, ""(?i)openai|gpt|gemini|anthropic|claude|mistral|cohere|rag|vector|llm|chatbot|ai-powered""), ""AI &amp; LLM"",
  REGEXMATCH(A536&amp;B536, ""(?i)twitter|instagram|facebook|linkedin|youtube|tiktok|threads|bluesky|pinterest|social vid"&amp;"eo|reels?|shorts?""), ""Social Media"",
  REGEXMATCH(A536&amp;B536, ""(?i)hubspot|pipedrive|stripe|shopify|woocommerce|sales|crm|invoice|order|leads?|recruitment|bamboohr|erpnext""), ""CRM &amp; Sales"",
  REGEXMATCH(A536&amp;B536, ""(?i)gmail|outlook|calendar|slack|"&amp;"discord|telegram|whatsapp|notion|trello|drive|sheets?|meeting|scheduler|appointment|mattermost""), ""Productivity &amp; Communication"",
  REGEXMATCH(A536&amp;B536, ""(?i)github|api|webhook|http|mysql|supabase|mongodb|redis|rss|pr|code review|incident|pagerduty|j"&amp;"ira""), ""Development &amp; Utilities"",
  TRUE, ""Others""
)"),"Productivity &amp; Communication")</f>
        <v>Productivity &amp; Communication</v>
      </c>
    </row>
    <row r="537" ht="15.75" customHeight="1">
      <c r="A537" s="14" t="s">
        <v>1060</v>
      </c>
      <c r="B537" s="15" t="s">
        <v>1061</v>
      </c>
      <c r="C537" s="16" t="s">
        <v>7</v>
      </c>
      <c r="D537" s="12" t="str">
        <f>IFERROR(__xludf.DUMMYFUNCTION("IFS(
  REGEXMATCH(A537&amp;B537, ""(?i)openai|gpt|gemini|anthropic|claude|mistral|cohere|rag|vector|llm|chatbot|ai-powered""), ""AI &amp; LLM"",
  REGEXMATCH(A537&amp;B537, ""(?i)twitter|instagram|facebook|linkedin|youtube|tiktok|threads|bluesky|pinterest|social vid"&amp;"eo|reels?|shorts?""), ""Social Media"",
  REGEXMATCH(A537&amp;B537, ""(?i)hubspot|pipedrive|stripe|shopify|woocommerce|sales|crm|invoice|order|leads?|recruitment|bamboohr|erpnext""), ""CRM &amp; Sales"",
  REGEXMATCH(A537&amp;B537, ""(?i)gmail|outlook|calendar|slack|"&amp;"discord|telegram|whatsapp|notion|trello|drive|sheets?|meeting|scheduler|appointment|mattermost""), ""Productivity &amp; Communication"",
  REGEXMATCH(A537&amp;B537, ""(?i)github|api|webhook|http|mysql|supabase|mongodb|redis|rss|pr|code review|incident|pagerduty|j"&amp;"ira""), ""Development &amp; Utilities"",
  TRUE, ""Others""
)"),"AI &amp; LLM")</f>
        <v>AI &amp; LLM</v>
      </c>
    </row>
    <row r="538" ht="15.75" customHeight="1">
      <c r="A538" s="14" t="s">
        <v>1062</v>
      </c>
      <c r="B538" s="15" t="s">
        <v>1063</v>
      </c>
      <c r="C538" s="16" t="s">
        <v>7</v>
      </c>
      <c r="D538" s="12" t="str">
        <f>IFERROR(__xludf.DUMMYFUNCTION("IFS(
  REGEXMATCH(A538&amp;B538, ""(?i)openai|gpt|gemini|anthropic|claude|mistral|cohere|rag|vector|llm|chatbot|ai-powered""), ""AI &amp; LLM"",
  REGEXMATCH(A538&amp;B538, ""(?i)twitter|instagram|facebook|linkedin|youtube|tiktok|threads|bluesky|pinterest|social vid"&amp;"eo|reels?|shorts?""), ""Social Media"",
  REGEXMATCH(A538&amp;B538, ""(?i)hubspot|pipedrive|stripe|shopify|woocommerce|sales|crm|invoice|order|leads?|recruitment|bamboohr|erpnext""), ""CRM &amp; Sales"",
  REGEXMATCH(A538&amp;B538, ""(?i)gmail|outlook|calendar|slack|"&amp;"discord|telegram|whatsapp|notion|trello|drive|sheets?|meeting|scheduler|appointment|mattermost""), ""Productivity &amp; Communication"",
  REGEXMATCH(A538&amp;B538, ""(?i)github|api|webhook|http|mysql|supabase|mongodb|redis|rss|pr|code review|incident|pagerduty|j"&amp;"ira""), ""Development &amp; Utilities"",
  TRUE, ""Others""
)"),"AI &amp; LLM")</f>
        <v>AI &amp; LLM</v>
      </c>
    </row>
    <row r="539" ht="15.75" customHeight="1">
      <c r="A539" s="14" t="s">
        <v>1064</v>
      </c>
      <c r="B539" s="15" t="s">
        <v>1065</v>
      </c>
      <c r="C539" s="16" t="s">
        <v>7</v>
      </c>
      <c r="D539" s="12" t="str">
        <f>IFERROR(__xludf.DUMMYFUNCTION("IFS(
  REGEXMATCH(A539&amp;B539, ""(?i)openai|gpt|gemini|anthropic|claude|mistral|cohere|rag|vector|llm|chatbot|ai-powered""), ""AI &amp; LLM"",
  REGEXMATCH(A539&amp;B539, ""(?i)twitter|instagram|facebook|linkedin|youtube|tiktok|threads|bluesky|pinterest|social vid"&amp;"eo|reels?|shorts?""), ""Social Media"",
  REGEXMATCH(A539&amp;B539, ""(?i)hubspot|pipedrive|stripe|shopify|woocommerce|sales|crm|invoice|order|leads?|recruitment|bamboohr|erpnext""), ""CRM &amp; Sales"",
  REGEXMATCH(A539&amp;B539, ""(?i)gmail|outlook|calendar|slack|"&amp;"discord|telegram|whatsapp|notion|trello|drive|sheets?|meeting|scheduler|appointment|mattermost""), ""Productivity &amp; Communication"",
  REGEXMATCH(A539&amp;B539, ""(?i)github|api|webhook|http|mysql|supabase|mongodb|redis|rss|pr|code review|incident|pagerduty|j"&amp;"ira""), ""Development &amp; Utilities"",
  TRUE, ""Others""
)"),"Development &amp; Utilities")</f>
        <v>Development &amp; Utilities</v>
      </c>
    </row>
    <row r="540" ht="15.75" customHeight="1">
      <c r="A540" s="14" t="s">
        <v>1066</v>
      </c>
      <c r="B540" s="15" t="s">
        <v>1067</v>
      </c>
      <c r="C540" s="16" t="s">
        <v>7</v>
      </c>
      <c r="D540" s="12" t="str">
        <f>IFERROR(__xludf.DUMMYFUNCTION("IFS(
  REGEXMATCH(A540&amp;B540, ""(?i)openai|gpt|gemini|anthropic|claude|mistral|cohere|rag|vector|llm|chatbot|ai-powered""), ""AI &amp; LLM"",
  REGEXMATCH(A540&amp;B540, ""(?i)twitter|instagram|facebook|linkedin|youtube|tiktok|threads|bluesky|pinterest|social vid"&amp;"eo|reels?|shorts?""), ""Social Media"",
  REGEXMATCH(A540&amp;B540, ""(?i)hubspot|pipedrive|stripe|shopify|woocommerce|sales|crm|invoice|order|leads?|recruitment|bamboohr|erpnext""), ""CRM &amp; Sales"",
  REGEXMATCH(A540&amp;B540, ""(?i)gmail|outlook|calendar|slack|"&amp;"discord|telegram|whatsapp|notion|trello|drive|sheets?|meeting|scheduler|appointment|mattermost""), ""Productivity &amp; Communication"",
  REGEXMATCH(A540&amp;B540, ""(?i)github|api|webhook|http|mysql|supabase|mongodb|redis|rss|pr|code review|incident|pagerduty|j"&amp;"ira""), ""Development &amp; Utilities"",
  TRUE, ""Others""
)"),"Development &amp; Utilities")</f>
        <v>Development &amp; Utilities</v>
      </c>
    </row>
    <row r="541" ht="15.75" customHeight="1">
      <c r="A541" s="14" t="s">
        <v>1068</v>
      </c>
      <c r="B541" s="15" t="s">
        <v>1069</v>
      </c>
      <c r="C541" s="16" t="s">
        <v>7</v>
      </c>
      <c r="D541" s="12" t="str">
        <f>IFERROR(__xludf.DUMMYFUNCTION("IFS(
  REGEXMATCH(A541&amp;B541, ""(?i)openai|gpt|gemini|anthropic|claude|mistral|cohere|rag|vector|llm|chatbot|ai-powered""), ""AI &amp; LLM"",
  REGEXMATCH(A541&amp;B541, ""(?i)twitter|instagram|facebook|linkedin|youtube|tiktok|threads|bluesky|pinterest|social vid"&amp;"eo|reels?|shorts?""), ""Social Media"",
  REGEXMATCH(A541&amp;B541, ""(?i)hubspot|pipedrive|stripe|shopify|woocommerce|sales|crm|invoice|order|leads?|recruitment|bamboohr|erpnext""), ""CRM &amp; Sales"",
  REGEXMATCH(A541&amp;B541, ""(?i)gmail|outlook|calendar|slack|"&amp;"discord|telegram|whatsapp|notion|trello|drive|sheets?|meeting|scheduler|appointment|mattermost""), ""Productivity &amp; Communication"",
  REGEXMATCH(A541&amp;B541, ""(?i)github|api|webhook|http|mysql|supabase|mongodb|redis|rss|pr|code review|incident|pagerduty|j"&amp;"ira""), ""Development &amp; Utilities"",
  TRUE, ""Others""
)"),"AI &amp; LLM")</f>
        <v>AI &amp; LLM</v>
      </c>
    </row>
    <row r="542" ht="15.75" customHeight="1">
      <c r="A542" s="14" t="s">
        <v>1070</v>
      </c>
      <c r="B542" s="15" t="s">
        <v>1071</v>
      </c>
      <c r="C542" s="16" t="s">
        <v>7</v>
      </c>
      <c r="D542" s="12" t="str">
        <f>IFERROR(__xludf.DUMMYFUNCTION("IFS(
  REGEXMATCH(A542&amp;B542, ""(?i)openai|gpt|gemini|anthropic|claude|mistral|cohere|rag|vector|llm|chatbot|ai-powered""), ""AI &amp; LLM"",
  REGEXMATCH(A542&amp;B542, ""(?i)twitter|instagram|facebook|linkedin|youtube|tiktok|threads|bluesky|pinterest|social vid"&amp;"eo|reels?|shorts?""), ""Social Media"",
  REGEXMATCH(A542&amp;B542, ""(?i)hubspot|pipedrive|stripe|shopify|woocommerce|sales|crm|invoice|order|leads?|recruitment|bamboohr|erpnext""), ""CRM &amp; Sales"",
  REGEXMATCH(A542&amp;B542, ""(?i)gmail|outlook|calendar|slack|"&amp;"discord|telegram|whatsapp|notion|trello|drive|sheets?|meeting|scheduler|appointment|mattermost""), ""Productivity &amp; Communication"",
  REGEXMATCH(A542&amp;B542, ""(?i)github|api|webhook|http|mysql|supabase|mongodb|redis|rss|pr|code review|incident|pagerduty|j"&amp;"ira""), ""Development &amp; Utilities"",
  TRUE, ""Others""
)"),"Social Media")</f>
        <v>Social Media</v>
      </c>
    </row>
    <row r="543" ht="15.75" customHeight="1">
      <c r="A543" s="14" t="s">
        <v>1072</v>
      </c>
      <c r="B543" s="15" t="s">
        <v>1073</v>
      </c>
      <c r="C543" s="16" t="s">
        <v>7</v>
      </c>
      <c r="D543" s="12" t="str">
        <f>IFERROR(__xludf.DUMMYFUNCTION("IFS(
  REGEXMATCH(A543&amp;B543, ""(?i)openai|gpt|gemini|anthropic|claude|mistral|cohere|rag|vector|llm|chatbot|ai-powered""), ""AI &amp; LLM"",
  REGEXMATCH(A543&amp;B543, ""(?i)twitter|instagram|facebook|linkedin|youtube|tiktok|threads|bluesky|pinterest|social vid"&amp;"eo|reels?|shorts?""), ""Social Media"",
  REGEXMATCH(A543&amp;B543, ""(?i)hubspot|pipedrive|stripe|shopify|woocommerce|sales|crm|invoice|order|leads?|recruitment|bamboohr|erpnext""), ""CRM &amp; Sales"",
  REGEXMATCH(A543&amp;B543, ""(?i)gmail|outlook|calendar|slack|"&amp;"discord|telegram|whatsapp|notion|trello|drive|sheets?|meeting|scheduler|appointment|mattermost""), ""Productivity &amp; Communication"",
  REGEXMATCH(A543&amp;B543, ""(?i)github|api|webhook|http|mysql|supabase|mongodb|redis|rss|pr|code review|incident|pagerduty|j"&amp;"ira""), ""Development &amp; Utilities"",
  TRUE, ""Others""
)"),"Development &amp; Utilities")</f>
        <v>Development &amp; Utilities</v>
      </c>
    </row>
    <row r="544" ht="15.75" customHeight="1">
      <c r="A544" s="14" t="s">
        <v>1074</v>
      </c>
      <c r="B544" s="15" t="s">
        <v>1075</v>
      </c>
      <c r="C544" s="16" t="s">
        <v>7</v>
      </c>
      <c r="D544" s="12" t="str">
        <f>IFERROR(__xludf.DUMMYFUNCTION("IFS(
  REGEXMATCH(A544&amp;B544, ""(?i)openai|gpt|gemini|anthropic|claude|mistral|cohere|rag|vector|llm|chatbot|ai-powered""), ""AI &amp; LLM"",
  REGEXMATCH(A544&amp;B544, ""(?i)twitter|instagram|facebook|linkedin|youtube|tiktok|threads|bluesky|pinterest|social vid"&amp;"eo|reels?|shorts?""), ""Social Media"",
  REGEXMATCH(A544&amp;B544, ""(?i)hubspot|pipedrive|stripe|shopify|woocommerce|sales|crm|invoice|order|leads?|recruitment|bamboohr|erpnext""), ""CRM &amp; Sales"",
  REGEXMATCH(A544&amp;B544, ""(?i)gmail|outlook|calendar|slack|"&amp;"discord|telegram|whatsapp|notion|trello|drive|sheets?|meeting|scheduler|appointment|mattermost""), ""Productivity &amp; Communication"",
  REGEXMATCH(A544&amp;B544, ""(?i)github|api|webhook|http|mysql|supabase|mongodb|redis|rss|pr|code review|incident|pagerduty|j"&amp;"ira""), ""Development &amp; Utilities"",
  TRUE, ""Others""
)"),"AI &amp; LLM")</f>
        <v>AI &amp; LLM</v>
      </c>
    </row>
    <row r="545" ht="15.75" customHeight="1">
      <c r="A545" s="14" t="s">
        <v>1076</v>
      </c>
      <c r="B545" s="15" t="s">
        <v>1077</v>
      </c>
      <c r="C545" s="16" t="s">
        <v>7</v>
      </c>
      <c r="D545" s="12" t="str">
        <f>IFERROR(__xludf.DUMMYFUNCTION("IFS(
  REGEXMATCH(A545&amp;B545, ""(?i)openai|gpt|gemini|anthropic|claude|mistral|cohere|rag|vector|llm|chatbot|ai-powered""), ""AI &amp; LLM"",
  REGEXMATCH(A545&amp;B545, ""(?i)twitter|instagram|facebook|linkedin|youtube|tiktok|threads|bluesky|pinterest|social vid"&amp;"eo|reels?|shorts?""), ""Social Media"",
  REGEXMATCH(A545&amp;B545, ""(?i)hubspot|pipedrive|stripe|shopify|woocommerce|sales|crm|invoice|order|leads?|recruitment|bamboohr|erpnext""), ""CRM &amp; Sales"",
  REGEXMATCH(A545&amp;B545, ""(?i)gmail|outlook|calendar|slack|"&amp;"discord|telegram|whatsapp|notion|trello|drive|sheets?|meeting|scheduler|appointment|mattermost""), ""Productivity &amp; Communication"",
  REGEXMATCH(A545&amp;B545, ""(?i)github|api|webhook|http|mysql|supabase|mongodb|redis|rss|pr|code review|incident|pagerduty|j"&amp;"ira""), ""Development &amp; Utilities"",
  TRUE, ""Others""
)"),"Productivity &amp; Communication")</f>
        <v>Productivity &amp; Communication</v>
      </c>
    </row>
    <row r="546" ht="15.75" customHeight="1">
      <c r="A546" s="14" t="s">
        <v>1078</v>
      </c>
      <c r="B546" s="15" t="s">
        <v>1079</v>
      </c>
      <c r="C546" s="16" t="s">
        <v>7</v>
      </c>
      <c r="D546" s="12" t="str">
        <f>IFERROR(__xludf.DUMMYFUNCTION("IFS(
  REGEXMATCH(A546&amp;B546, ""(?i)openai|gpt|gemini|anthropic|claude|mistral|cohere|rag|vector|llm|chatbot|ai-powered""), ""AI &amp; LLM"",
  REGEXMATCH(A546&amp;B546, ""(?i)twitter|instagram|facebook|linkedin|youtube|tiktok|threads|bluesky|pinterest|social vid"&amp;"eo|reels?|shorts?""), ""Social Media"",
  REGEXMATCH(A546&amp;B546, ""(?i)hubspot|pipedrive|stripe|shopify|woocommerce|sales|crm|invoice|order|leads?|recruitment|bamboohr|erpnext""), ""CRM &amp; Sales"",
  REGEXMATCH(A546&amp;B546, ""(?i)gmail|outlook|calendar|slack|"&amp;"discord|telegram|whatsapp|notion|trello|drive|sheets?|meeting|scheduler|appointment|mattermost""), ""Productivity &amp; Communication"",
  REGEXMATCH(A546&amp;B546, ""(?i)github|api|webhook|http|mysql|supabase|mongodb|redis|rss|pr|code review|incident|pagerduty|j"&amp;"ira""), ""Development &amp; Utilities"",
  TRUE, ""Others""
)"),"Productivity &amp; Communication")</f>
        <v>Productivity &amp; Communication</v>
      </c>
    </row>
    <row r="547" ht="15.75" customHeight="1">
      <c r="A547" s="14" t="s">
        <v>1080</v>
      </c>
      <c r="B547" s="15" t="s">
        <v>1081</v>
      </c>
      <c r="C547" s="16" t="s">
        <v>7</v>
      </c>
      <c r="D547" s="12" t="str">
        <f>IFERROR(__xludf.DUMMYFUNCTION("IFS(
  REGEXMATCH(A547&amp;B547, ""(?i)openai|gpt|gemini|anthropic|claude|mistral|cohere|rag|vector|llm|chatbot|ai-powered""), ""AI &amp; LLM"",
  REGEXMATCH(A547&amp;B547, ""(?i)twitter|instagram|facebook|linkedin|youtube|tiktok|threads|bluesky|pinterest|social vid"&amp;"eo|reels?|shorts?""), ""Social Media"",
  REGEXMATCH(A547&amp;B547, ""(?i)hubspot|pipedrive|stripe|shopify|woocommerce|sales|crm|invoice|order|leads?|recruitment|bamboohr|erpnext""), ""CRM &amp; Sales"",
  REGEXMATCH(A547&amp;B547, ""(?i)gmail|outlook|calendar|slack|"&amp;"discord|telegram|whatsapp|notion|trello|drive|sheets?|meeting|scheduler|appointment|mattermost""), ""Productivity &amp; Communication"",
  REGEXMATCH(A547&amp;B547, ""(?i)github|api|webhook|http|mysql|supabase|mongodb|redis|rss|pr|code review|incident|pagerduty|j"&amp;"ira""), ""Development &amp; Utilities"",
  TRUE, ""Others""
)"),"Development &amp; Utilities")</f>
        <v>Development &amp; Utilities</v>
      </c>
    </row>
    <row r="548" ht="15.75" customHeight="1">
      <c r="A548" s="14" t="s">
        <v>1082</v>
      </c>
      <c r="B548" s="15" t="s">
        <v>1083</v>
      </c>
      <c r="C548" s="16" t="s">
        <v>7</v>
      </c>
      <c r="D548" s="12" t="str">
        <f>IFERROR(__xludf.DUMMYFUNCTION("IFS(
  REGEXMATCH(A548&amp;B548, ""(?i)openai|gpt|gemini|anthropic|claude|mistral|cohere|rag|vector|llm|chatbot|ai-powered""), ""AI &amp; LLM"",
  REGEXMATCH(A548&amp;B548, ""(?i)twitter|instagram|facebook|linkedin|youtube|tiktok|threads|bluesky|pinterest|social vid"&amp;"eo|reels?|shorts?""), ""Social Media"",
  REGEXMATCH(A548&amp;B548, ""(?i)hubspot|pipedrive|stripe|shopify|woocommerce|sales|crm|invoice|order|leads?|recruitment|bamboohr|erpnext""), ""CRM &amp; Sales"",
  REGEXMATCH(A548&amp;B548, ""(?i)gmail|outlook|calendar|slack|"&amp;"discord|telegram|whatsapp|notion|trello|drive|sheets?|meeting|scheduler|appointment|mattermost""), ""Productivity &amp; Communication"",
  REGEXMATCH(A548&amp;B548, ""(?i)github|api|webhook|http|mysql|supabase|mongodb|redis|rss|pr|code review|incident|pagerduty|j"&amp;"ira""), ""Development &amp; Utilities"",
  TRUE, ""Others""
)"),"Development &amp; Utilities")</f>
        <v>Development &amp; Utilities</v>
      </c>
    </row>
    <row r="549" ht="15.75" customHeight="1">
      <c r="A549" s="14" t="s">
        <v>1084</v>
      </c>
      <c r="B549" s="15" t="s">
        <v>1085</v>
      </c>
      <c r="C549" s="16" t="s">
        <v>7</v>
      </c>
      <c r="D549" s="12" t="str">
        <f>IFERROR(__xludf.DUMMYFUNCTION("IFS(
  REGEXMATCH(A549&amp;B549, ""(?i)openai|gpt|gemini|anthropic|claude|mistral|cohere|rag|vector|llm|chatbot|ai-powered""), ""AI &amp; LLM"",
  REGEXMATCH(A549&amp;B549, ""(?i)twitter|instagram|facebook|linkedin|youtube|tiktok|threads|bluesky|pinterest|social vid"&amp;"eo|reels?|shorts?""), ""Social Media"",
  REGEXMATCH(A549&amp;B549, ""(?i)hubspot|pipedrive|stripe|shopify|woocommerce|sales|crm|invoice|order|leads?|recruitment|bamboohr|erpnext""), ""CRM &amp; Sales"",
  REGEXMATCH(A549&amp;B549, ""(?i)gmail|outlook|calendar|slack|"&amp;"discord|telegram|whatsapp|notion|trello|drive|sheets?|meeting|scheduler|appointment|mattermost""), ""Productivity &amp; Communication"",
  REGEXMATCH(A549&amp;B549, ""(?i)github|api|webhook|http|mysql|supabase|mongodb|redis|rss|pr|code review|incident|pagerduty|j"&amp;"ira""), ""Development &amp; Utilities"",
  TRUE, ""Others""
)"),"AI &amp; LLM")</f>
        <v>AI &amp; LLM</v>
      </c>
    </row>
    <row r="550" ht="15.75" customHeight="1">
      <c r="A550" s="14" t="s">
        <v>1086</v>
      </c>
      <c r="B550" s="15" t="s">
        <v>1087</v>
      </c>
      <c r="C550" s="16" t="s">
        <v>7</v>
      </c>
      <c r="D550" s="12" t="str">
        <f>IFERROR(__xludf.DUMMYFUNCTION("IFS(
  REGEXMATCH(A550&amp;B550, ""(?i)openai|gpt|gemini|anthropic|claude|mistral|cohere|rag|vector|llm|chatbot|ai-powered""), ""AI &amp; LLM"",
  REGEXMATCH(A550&amp;B550, ""(?i)twitter|instagram|facebook|linkedin|youtube|tiktok|threads|bluesky|pinterest|social vid"&amp;"eo|reels?|shorts?""), ""Social Media"",
  REGEXMATCH(A550&amp;B550, ""(?i)hubspot|pipedrive|stripe|shopify|woocommerce|sales|crm|invoice|order|leads?|recruitment|bamboohr|erpnext""), ""CRM &amp; Sales"",
  REGEXMATCH(A550&amp;B550, ""(?i)gmail|outlook|calendar|slack|"&amp;"discord|telegram|whatsapp|notion|trello|drive|sheets?|meeting|scheduler|appointment|mattermost""), ""Productivity &amp; Communication"",
  REGEXMATCH(A550&amp;B550, ""(?i)github|api|webhook|http|mysql|supabase|mongodb|redis|rss|pr|code review|incident|pagerduty|j"&amp;"ira""), ""Development &amp; Utilities"",
  TRUE, ""Others""
)"),"AI &amp; LLM")</f>
        <v>AI &amp; LLM</v>
      </c>
    </row>
    <row r="551" ht="15.75" customHeight="1">
      <c r="A551" s="14" t="s">
        <v>1088</v>
      </c>
      <c r="B551" s="15" t="s">
        <v>1089</v>
      </c>
      <c r="C551" s="16" t="s">
        <v>7</v>
      </c>
      <c r="D551" s="12" t="str">
        <f>IFERROR(__xludf.DUMMYFUNCTION("IFS(
  REGEXMATCH(A551&amp;B551, ""(?i)openai|gpt|gemini|anthropic|claude|mistral|cohere|rag|vector|llm|chatbot|ai-powered""), ""AI &amp; LLM"",
  REGEXMATCH(A551&amp;B551, ""(?i)twitter|instagram|facebook|linkedin|youtube|tiktok|threads|bluesky|pinterest|social vid"&amp;"eo|reels?|shorts?""), ""Social Media"",
  REGEXMATCH(A551&amp;B551, ""(?i)hubspot|pipedrive|stripe|shopify|woocommerce|sales|crm|invoice|order|leads?|recruitment|bamboohr|erpnext""), ""CRM &amp; Sales"",
  REGEXMATCH(A551&amp;B551, ""(?i)gmail|outlook|calendar|slack|"&amp;"discord|telegram|whatsapp|notion|trello|drive|sheets?|meeting|scheduler|appointment|mattermost""), ""Productivity &amp; Communication"",
  REGEXMATCH(A551&amp;B551, ""(?i)github|api|webhook|http|mysql|supabase|mongodb|redis|rss|pr|code review|incident|pagerduty|j"&amp;"ira""), ""Development &amp; Utilities"",
  TRUE, ""Others""
)"),"AI &amp; LLM")</f>
        <v>AI &amp; LLM</v>
      </c>
    </row>
    <row r="552" ht="15.75" customHeight="1">
      <c r="A552" s="14" t="s">
        <v>1090</v>
      </c>
      <c r="B552" s="15" t="s">
        <v>1091</v>
      </c>
      <c r="C552" s="16" t="s">
        <v>7</v>
      </c>
      <c r="D552" s="12" t="str">
        <f>IFERROR(__xludf.DUMMYFUNCTION("IFS(
  REGEXMATCH(A552&amp;B552, ""(?i)openai|gpt|gemini|anthropic|claude|mistral|cohere|rag|vector|llm|chatbot|ai-powered""), ""AI &amp; LLM"",
  REGEXMATCH(A552&amp;B552, ""(?i)twitter|instagram|facebook|linkedin|youtube|tiktok|threads|bluesky|pinterest|social vid"&amp;"eo|reels?|shorts?""), ""Social Media"",
  REGEXMATCH(A552&amp;B552, ""(?i)hubspot|pipedrive|stripe|shopify|woocommerce|sales|crm|invoice|order|leads?|recruitment|bamboohr|erpnext""), ""CRM &amp; Sales"",
  REGEXMATCH(A552&amp;B552, ""(?i)gmail|outlook|calendar|slack|"&amp;"discord|telegram|whatsapp|notion|trello|drive|sheets?|meeting|scheduler|appointment|mattermost""), ""Productivity &amp; Communication"",
  REGEXMATCH(A552&amp;B552, ""(?i)github|api|webhook|http|mysql|supabase|mongodb|redis|rss|pr|code review|incident|pagerduty|j"&amp;"ira""), ""Development &amp; Utilities"",
  TRUE, ""Others""
)"),"Productivity &amp; Communication")</f>
        <v>Productivity &amp; Communication</v>
      </c>
    </row>
    <row r="553" ht="15.75" customHeight="1">
      <c r="A553" s="14" t="s">
        <v>1092</v>
      </c>
      <c r="B553" s="15" t="s">
        <v>1093</v>
      </c>
      <c r="C553" s="16" t="s">
        <v>7</v>
      </c>
      <c r="D553" s="12" t="str">
        <f>IFERROR(__xludf.DUMMYFUNCTION("IFS(
  REGEXMATCH(A553&amp;B553, ""(?i)openai|gpt|gemini|anthropic|claude|mistral|cohere|rag|vector|llm|chatbot|ai-powered""), ""AI &amp; LLM"",
  REGEXMATCH(A553&amp;B553, ""(?i)twitter|instagram|facebook|linkedin|youtube|tiktok|threads|bluesky|pinterest|social vid"&amp;"eo|reels?|shorts?""), ""Social Media"",
  REGEXMATCH(A553&amp;B553, ""(?i)hubspot|pipedrive|stripe|shopify|woocommerce|sales|crm|invoice|order|leads?|recruitment|bamboohr|erpnext""), ""CRM &amp; Sales"",
  REGEXMATCH(A553&amp;B553, ""(?i)gmail|outlook|calendar|slack|"&amp;"discord|telegram|whatsapp|notion|trello|drive|sheets?|meeting|scheduler|appointment|mattermost""), ""Productivity &amp; Communication"",
  REGEXMATCH(A553&amp;B553, ""(?i)github|api|webhook|http|mysql|supabase|mongodb|redis|rss|pr|code review|incident|pagerduty|j"&amp;"ira""), ""Development &amp; Utilities"",
  TRUE, ""Others""
)"),"AI &amp; LLM")</f>
        <v>AI &amp; LLM</v>
      </c>
    </row>
    <row r="554" ht="15.75" customHeight="1">
      <c r="A554" s="14" t="s">
        <v>1094</v>
      </c>
      <c r="B554" s="15" t="s">
        <v>1095</v>
      </c>
      <c r="C554" s="16" t="s">
        <v>7</v>
      </c>
      <c r="D554" s="12" t="str">
        <f>IFERROR(__xludf.DUMMYFUNCTION("IFS(
  REGEXMATCH(A554&amp;B554, ""(?i)openai|gpt|gemini|anthropic|claude|mistral|cohere|rag|vector|llm|chatbot|ai-powered""), ""AI &amp; LLM"",
  REGEXMATCH(A554&amp;B554, ""(?i)twitter|instagram|facebook|linkedin|youtube|tiktok|threads|bluesky|pinterest|social vid"&amp;"eo|reels?|shorts?""), ""Social Media"",
  REGEXMATCH(A554&amp;B554, ""(?i)hubspot|pipedrive|stripe|shopify|woocommerce|sales|crm|invoice|order|leads?|recruitment|bamboohr|erpnext""), ""CRM &amp; Sales"",
  REGEXMATCH(A554&amp;B554, ""(?i)gmail|outlook|calendar|slack|"&amp;"discord|telegram|whatsapp|notion|trello|drive|sheets?|meeting|scheduler|appointment|mattermost""), ""Productivity &amp; Communication"",
  REGEXMATCH(A554&amp;B554, ""(?i)github|api|webhook|http|mysql|supabase|mongodb|redis|rss|pr|code review|incident|pagerduty|j"&amp;"ira""), ""Development &amp; Utilities"",
  TRUE, ""Others""
)"),"AI &amp; LLM")</f>
        <v>AI &amp; LLM</v>
      </c>
    </row>
    <row r="555" ht="15.75" customHeight="1">
      <c r="A555" s="14" t="s">
        <v>1096</v>
      </c>
      <c r="B555" s="15" t="s">
        <v>1097</v>
      </c>
      <c r="C555" s="16" t="s">
        <v>7</v>
      </c>
      <c r="D555" s="12" t="str">
        <f>IFERROR(__xludf.DUMMYFUNCTION("IFS(
  REGEXMATCH(A555&amp;B555, ""(?i)openai|gpt|gemini|anthropic|claude|mistral|cohere|rag|vector|llm|chatbot|ai-powered""), ""AI &amp; LLM"",
  REGEXMATCH(A555&amp;B555, ""(?i)twitter|instagram|facebook|linkedin|youtube|tiktok|threads|bluesky|pinterest|social vid"&amp;"eo|reels?|shorts?""), ""Social Media"",
  REGEXMATCH(A555&amp;B555, ""(?i)hubspot|pipedrive|stripe|shopify|woocommerce|sales|crm|invoice|order|leads?|recruitment|bamboohr|erpnext""), ""CRM &amp; Sales"",
  REGEXMATCH(A555&amp;B555, ""(?i)gmail|outlook|calendar|slack|"&amp;"discord|telegram|whatsapp|notion|trello|drive|sheets?|meeting|scheduler|appointment|mattermost""), ""Productivity &amp; Communication"",
  REGEXMATCH(A555&amp;B555, ""(?i)github|api|webhook|http|mysql|supabase|mongodb|redis|rss|pr|code review|incident|pagerduty|j"&amp;"ira""), ""Development &amp; Utilities"",
  TRUE, ""Others""
)"),"AI &amp; LLM")</f>
        <v>AI &amp; LLM</v>
      </c>
    </row>
    <row r="556" ht="15.75" customHeight="1">
      <c r="A556" s="14" t="s">
        <v>1098</v>
      </c>
      <c r="B556" s="15" t="s">
        <v>1099</v>
      </c>
      <c r="C556" s="16" t="s">
        <v>7</v>
      </c>
      <c r="D556" s="12" t="str">
        <f>IFERROR(__xludf.DUMMYFUNCTION("IFS(
  REGEXMATCH(A556&amp;B556, ""(?i)openai|gpt|gemini|anthropic|claude|mistral|cohere|rag|vector|llm|chatbot|ai-powered""), ""AI &amp; LLM"",
  REGEXMATCH(A556&amp;B556, ""(?i)twitter|instagram|facebook|linkedin|youtube|tiktok|threads|bluesky|pinterest|social vid"&amp;"eo|reels?|shorts?""), ""Social Media"",
  REGEXMATCH(A556&amp;B556, ""(?i)hubspot|pipedrive|stripe|shopify|woocommerce|sales|crm|invoice|order|leads?|recruitment|bamboohr|erpnext""), ""CRM &amp; Sales"",
  REGEXMATCH(A556&amp;B556, ""(?i)gmail|outlook|calendar|slack|"&amp;"discord|telegram|whatsapp|notion|trello|drive|sheets?|meeting|scheduler|appointment|mattermost""), ""Productivity &amp; Communication"",
  REGEXMATCH(A556&amp;B556, ""(?i)github|api|webhook|http|mysql|supabase|mongodb|redis|rss|pr|code review|incident|pagerduty|j"&amp;"ira""), ""Development &amp; Utilities"",
  TRUE, ""Others""
)"),"Productivity &amp; Communication")</f>
        <v>Productivity &amp; Communication</v>
      </c>
    </row>
    <row r="557" ht="15.75" customHeight="1">
      <c r="A557" s="14" t="s">
        <v>1100</v>
      </c>
      <c r="B557" s="15" t="s">
        <v>1101</v>
      </c>
      <c r="C557" s="16" t="s">
        <v>7</v>
      </c>
      <c r="D557" s="12" t="str">
        <f>IFERROR(__xludf.DUMMYFUNCTION("IFS(
  REGEXMATCH(A557&amp;B557, ""(?i)openai|gpt|gemini|anthropic|claude|mistral|cohere|rag|vector|llm|chatbot|ai-powered""), ""AI &amp; LLM"",
  REGEXMATCH(A557&amp;B557, ""(?i)twitter|instagram|facebook|linkedin|youtube|tiktok|threads|bluesky|pinterest|social vid"&amp;"eo|reels?|shorts?""), ""Social Media"",
  REGEXMATCH(A557&amp;B557, ""(?i)hubspot|pipedrive|stripe|shopify|woocommerce|sales|crm|invoice|order|leads?|recruitment|bamboohr|erpnext""), ""CRM &amp; Sales"",
  REGEXMATCH(A557&amp;B557, ""(?i)gmail|outlook|calendar|slack|"&amp;"discord|telegram|whatsapp|notion|trello|drive|sheets?|meeting|scheduler|appointment|mattermost""), ""Productivity &amp; Communication"",
  REGEXMATCH(A557&amp;B557, ""(?i)github|api|webhook|http|mysql|supabase|mongodb|redis|rss|pr|code review|incident|pagerduty|j"&amp;"ira""), ""Development &amp; Utilities"",
  TRUE, ""Others""
)"),"CRM &amp; Sales")</f>
        <v>CRM &amp; Sales</v>
      </c>
    </row>
    <row r="558" ht="15.75" customHeight="1">
      <c r="A558" s="14" t="s">
        <v>1102</v>
      </c>
      <c r="B558" s="15" t="s">
        <v>1103</v>
      </c>
      <c r="C558" s="16" t="s">
        <v>7</v>
      </c>
      <c r="D558" s="12" t="str">
        <f>IFERROR(__xludf.DUMMYFUNCTION("IFS(
  REGEXMATCH(A558&amp;B558, ""(?i)openai|gpt|gemini|anthropic|claude|mistral|cohere|rag|vector|llm|chatbot|ai-powered""), ""AI &amp; LLM"",
  REGEXMATCH(A558&amp;B558, ""(?i)twitter|instagram|facebook|linkedin|youtube|tiktok|threads|bluesky|pinterest|social vid"&amp;"eo|reels?|shorts?""), ""Social Media"",
  REGEXMATCH(A558&amp;B558, ""(?i)hubspot|pipedrive|stripe|shopify|woocommerce|sales|crm|invoice|order|leads?|recruitment|bamboohr|erpnext""), ""CRM &amp; Sales"",
  REGEXMATCH(A558&amp;B558, ""(?i)gmail|outlook|calendar|slack|"&amp;"discord|telegram|whatsapp|notion|trello|drive|sheets?|meeting|scheduler|appointment|mattermost""), ""Productivity &amp; Communication"",
  REGEXMATCH(A558&amp;B558, ""(?i)github|api|webhook|http|mysql|supabase|mongodb|redis|rss|pr|code review|incident|pagerduty|j"&amp;"ira""), ""Development &amp; Utilities"",
  TRUE, ""Others""
)"),"Development &amp; Utilities")</f>
        <v>Development &amp; Utilities</v>
      </c>
    </row>
    <row r="559" ht="15.75" customHeight="1">
      <c r="A559" s="14" t="s">
        <v>1104</v>
      </c>
      <c r="B559" s="15" t="s">
        <v>1105</v>
      </c>
      <c r="C559" s="16" t="s">
        <v>7</v>
      </c>
      <c r="D559" s="12" t="str">
        <f>IFERROR(__xludf.DUMMYFUNCTION("IFS(
  REGEXMATCH(A559&amp;B559, ""(?i)openai|gpt|gemini|anthropic|claude|mistral|cohere|rag|vector|llm|chatbot|ai-powered""), ""AI &amp; LLM"",
  REGEXMATCH(A559&amp;B559, ""(?i)twitter|instagram|facebook|linkedin|youtube|tiktok|threads|bluesky|pinterest|social vid"&amp;"eo|reels?|shorts?""), ""Social Media"",
  REGEXMATCH(A559&amp;B559, ""(?i)hubspot|pipedrive|stripe|shopify|woocommerce|sales|crm|invoice|order|leads?|recruitment|bamboohr|erpnext""), ""CRM &amp; Sales"",
  REGEXMATCH(A559&amp;B559, ""(?i)gmail|outlook|calendar|slack|"&amp;"discord|telegram|whatsapp|notion|trello|drive|sheets?|meeting|scheduler|appointment|mattermost""), ""Productivity &amp; Communication"",
  REGEXMATCH(A559&amp;B559, ""(?i)github|api|webhook|http|mysql|supabase|mongodb|redis|rss|pr|code review|incident|pagerduty|j"&amp;"ira""), ""Development &amp; Utilities"",
  TRUE, ""Others""
)"),"Productivity &amp; Communication")</f>
        <v>Productivity &amp; Communication</v>
      </c>
    </row>
    <row r="560" ht="15.75" customHeight="1">
      <c r="A560" s="14" t="s">
        <v>1106</v>
      </c>
      <c r="B560" s="15" t="s">
        <v>1107</v>
      </c>
      <c r="C560" s="16" t="s">
        <v>7</v>
      </c>
      <c r="D560" s="12" t="str">
        <f>IFERROR(__xludf.DUMMYFUNCTION("IFS(
  REGEXMATCH(A560&amp;B560, ""(?i)openai|gpt|gemini|anthropic|claude|mistral|cohere|rag|vector|llm|chatbot|ai-powered""), ""AI &amp; LLM"",
  REGEXMATCH(A560&amp;B560, ""(?i)twitter|instagram|facebook|linkedin|youtube|tiktok|threads|bluesky|pinterest|social vid"&amp;"eo|reels?|shorts?""), ""Social Media"",
  REGEXMATCH(A560&amp;B560, ""(?i)hubspot|pipedrive|stripe|shopify|woocommerce|sales|crm|invoice|order|leads?|recruitment|bamboohr|erpnext""), ""CRM &amp; Sales"",
  REGEXMATCH(A560&amp;B560, ""(?i)gmail|outlook|calendar|slack|"&amp;"discord|telegram|whatsapp|notion|trello|drive|sheets?|meeting|scheduler|appointment|mattermost""), ""Productivity &amp; Communication"",
  REGEXMATCH(A560&amp;B560, ""(?i)github|api|webhook|http|mysql|supabase|mongodb|redis|rss|pr|code review|incident|pagerduty|j"&amp;"ira""), ""Development &amp; Utilities"",
  TRUE, ""Others""
)"),"Productivity &amp; Communication")</f>
        <v>Productivity &amp; Communication</v>
      </c>
    </row>
    <row r="561" ht="15.75" customHeight="1">
      <c r="A561" s="14" t="s">
        <v>1108</v>
      </c>
      <c r="B561" s="15" t="s">
        <v>1109</v>
      </c>
      <c r="C561" s="16" t="s">
        <v>7</v>
      </c>
      <c r="D561" s="12" t="str">
        <f>IFERROR(__xludf.DUMMYFUNCTION("IFS(
  REGEXMATCH(A561&amp;B561, ""(?i)openai|gpt|gemini|anthropic|claude|mistral|cohere|rag|vector|llm|chatbot|ai-powered""), ""AI &amp; LLM"",
  REGEXMATCH(A561&amp;B561, ""(?i)twitter|instagram|facebook|linkedin|youtube|tiktok|threads|bluesky|pinterest|social vid"&amp;"eo|reels?|shorts?""), ""Social Media"",
  REGEXMATCH(A561&amp;B561, ""(?i)hubspot|pipedrive|stripe|shopify|woocommerce|sales|crm|invoice|order|leads?|recruitment|bamboohr|erpnext""), ""CRM &amp; Sales"",
  REGEXMATCH(A561&amp;B561, ""(?i)gmail|outlook|calendar|slack|"&amp;"discord|telegram|whatsapp|notion|trello|drive|sheets?|meeting|scheduler|appointment|mattermost""), ""Productivity &amp; Communication"",
  REGEXMATCH(A561&amp;B561, ""(?i)github|api|webhook|http|mysql|supabase|mongodb|redis|rss|pr|code review|incident|pagerduty|j"&amp;"ira""), ""Development &amp; Utilities"",
  TRUE, ""Others""
)"),"Others")</f>
        <v>Others</v>
      </c>
    </row>
    <row r="562" ht="15.75" customHeight="1">
      <c r="A562" s="14" t="s">
        <v>1110</v>
      </c>
      <c r="B562" s="15" t="s">
        <v>1111</v>
      </c>
      <c r="C562" s="16" t="s">
        <v>7</v>
      </c>
      <c r="D562" s="12" t="str">
        <f>IFERROR(__xludf.DUMMYFUNCTION("IFS(
  REGEXMATCH(A562&amp;B562, ""(?i)openai|gpt|gemini|anthropic|claude|mistral|cohere|rag|vector|llm|chatbot|ai-powered""), ""AI &amp; LLM"",
  REGEXMATCH(A562&amp;B562, ""(?i)twitter|instagram|facebook|linkedin|youtube|tiktok|threads|bluesky|pinterest|social vid"&amp;"eo|reels?|shorts?""), ""Social Media"",
  REGEXMATCH(A562&amp;B562, ""(?i)hubspot|pipedrive|stripe|shopify|woocommerce|sales|crm|invoice|order|leads?|recruitment|bamboohr|erpnext""), ""CRM &amp; Sales"",
  REGEXMATCH(A562&amp;B562, ""(?i)gmail|outlook|calendar|slack|"&amp;"discord|telegram|whatsapp|notion|trello|drive|sheets?|meeting|scheduler|appointment|mattermost""), ""Productivity &amp; Communication"",
  REGEXMATCH(A562&amp;B562, ""(?i)github|api|webhook|http|mysql|supabase|mongodb|redis|rss|pr|code review|incident|pagerduty|j"&amp;"ira""), ""Development &amp; Utilities"",
  TRUE, ""Others""
)"),"Others")</f>
        <v>Others</v>
      </c>
    </row>
    <row r="563" ht="15.75" customHeight="1">
      <c r="A563" s="14" t="s">
        <v>1112</v>
      </c>
      <c r="B563" s="15" t="s">
        <v>1113</v>
      </c>
      <c r="C563" s="16" t="s">
        <v>7</v>
      </c>
      <c r="D563" s="12" t="str">
        <f>IFERROR(__xludf.DUMMYFUNCTION("IFS(
  REGEXMATCH(A563&amp;B563, ""(?i)openai|gpt|gemini|anthropic|claude|mistral|cohere|rag|vector|llm|chatbot|ai-powered""), ""AI &amp; LLM"",
  REGEXMATCH(A563&amp;B563, ""(?i)twitter|instagram|facebook|linkedin|youtube|tiktok|threads|bluesky|pinterest|social vid"&amp;"eo|reels?|shorts?""), ""Social Media"",
  REGEXMATCH(A563&amp;B563, ""(?i)hubspot|pipedrive|stripe|shopify|woocommerce|sales|crm|invoice|order|leads?|recruitment|bamboohr|erpnext""), ""CRM &amp; Sales"",
  REGEXMATCH(A563&amp;B563, ""(?i)gmail|outlook|calendar|slack|"&amp;"discord|telegram|whatsapp|notion|trello|drive|sheets?|meeting|scheduler|appointment|mattermost""), ""Productivity &amp; Communication"",
  REGEXMATCH(A563&amp;B563, ""(?i)github|api|webhook|http|mysql|supabase|mongodb|redis|rss|pr|code review|incident|pagerduty|j"&amp;"ira""), ""Development &amp; Utilities"",
  TRUE, ""Others""
)"),"Productivity &amp; Communication")</f>
        <v>Productivity &amp; Communication</v>
      </c>
    </row>
    <row r="564" ht="15.75" customHeight="1">
      <c r="A564" s="14" t="s">
        <v>1114</v>
      </c>
      <c r="B564" s="15" t="s">
        <v>1115</v>
      </c>
      <c r="C564" s="16" t="s">
        <v>7</v>
      </c>
      <c r="D564" s="12" t="str">
        <f>IFERROR(__xludf.DUMMYFUNCTION("IFS(
  REGEXMATCH(A564&amp;B564, ""(?i)openai|gpt|gemini|anthropic|claude|mistral|cohere|rag|vector|llm|chatbot|ai-powered""), ""AI &amp; LLM"",
  REGEXMATCH(A564&amp;B564, ""(?i)twitter|instagram|facebook|linkedin|youtube|tiktok|threads|bluesky|pinterest|social vid"&amp;"eo|reels?|shorts?""), ""Social Media"",
  REGEXMATCH(A564&amp;B564, ""(?i)hubspot|pipedrive|stripe|shopify|woocommerce|sales|crm|invoice|order|leads?|recruitment|bamboohr|erpnext""), ""CRM &amp; Sales"",
  REGEXMATCH(A564&amp;B564, ""(?i)gmail|outlook|calendar|slack|"&amp;"discord|telegram|whatsapp|notion|trello|drive|sheets?|meeting|scheduler|appointment|mattermost""), ""Productivity &amp; Communication"",
  REGEXMATCH(A564&amp;B564, ""(?i)github|api|webhook|http|mysql|supabase|mongodb|redis|rss|pr|code review|incident|pagerduty|j"&amp;"ira""), ""Development &amp; Utilities"",
  TRUE, ""Others""
)"),"Productivity &amp; Communication")</f>
        <v>Productivity &amp; Communication</v>
      </c>
    </row>
    <row r="565" ht="15.75" customHeight="1">
      <c r="A565" s="14" t="s">
        <v>1116</v>
      </c>
      <c r="B565" s="15" t="s">
        <v>1117</v>
      </c>
      <c r="C565" s="16" t="s">
        <v>7</v>
      </c>
      <c r="D565" s="12" t="str">
        <f>IFERROR(__xludf.DUMMYFUNCTION("IFS(
  REGEXMATCH(A565&amp;B565, ""(?i)openai|gpt|gemini|anthropic|claude|mistral|cohere|rag|vector|llm|chatbot|ai-powered""), ""AI &amp; LLM"",
  REGEXMATCH(A565&amp;B565, ""(?i)twitter|instagram|facebook|linkedin|youtube|tiktok|threads|bluesky|pinterest|social vid"&amp;"eo|reels?|shorts?""), ""Social Media"",
  REGEXMATCH(A565&amp;B565, ""(?i)hubspot|pipedrive|stripe|shopify|woocommerce|sales|crm|invoice|order|leads?|recruitment|bamboohr|erpnext""), ""CRM &amp; Sales"",
  REGEXMATCH(A565&amp;B565, ""(?i)gmail|outlook|calendar|slack|"&amp;"discord|telegram|whatsapp|notion|trello|drive|sheets?|meeting|scheduler|appointment|mattermost""), ""Productivity &amp; Communication"",
  REGEXMATCH(A565&amp;B565, ""(?i)github|api|webhook|http|mysql|supabase|mongodb|redis|rss|pr|code review|incident|pagerduty|j"&amp;"ira""), ""Development &amp; Utilities"",
  TRUE, ""Others""
)"),"Productivity &amp; Communication")</f>
        <v>Productivity &amp; Communication</v>
      </c>
    </row>
    <row r="566" ht="15.75" customHeight="1">
      <c r="A566" s="14" t="s">
        <v>1118</v>
      </c>
      <c r="B566" s="15" t="s">
        <v>1119</v>
      </c>
      <c r="C566" s="16" t="s">
        <v>7</v>
      </c>
      <c r="D566" s="12" t="str">
        <f>IFERROR(__xludf.DUMMYFUNCTION("IFS(
  REGEXMATCH(A566&amp;B566, ""(?i)openai|gpt|gemini|anthropic|claude|mistral|cohere|rag|vector|llm|chatbot|ai-powered""), ""AI &amp; LLM"",
  REGEXMATCH(A566&amp;B566, ""(?i)twitter|instagram|facebook|linkedin|youtube|tiktok|threads|bluesky|pinterest|social vid"&amp;"eo|reels?|shorts?""), ""Social Media"",
  REGEXMATCH(A566&amp;B566, ""(?i)hubspot|pipedrive|stripe|shopify|woocommerce|sales|crm|invoice|order|leads?|recruitment|bamboohr|erpnext""), ""CRM &amp; Sales"",
  REGEXMATCH(A566&amp;B566, ""(?i)gmail|outlook|calendar|slack|"&amp;"discord|telegram|whatsapp|notion|trello|drive|sheets?|meeting|scheduler|appointment|mattermost""), ""Productivity &amp; Communication"",
  REGEXMATCH(A566&amp;B566, ""(?i)github|api|webhook|http|mysql|supabase|mongodb|redis|rss|pr|code review|incident|pagerduty|j"&amp;"ira""), ""Development &amp; Utilities"",
  TRUE, ""Others""
)"),"AI &amp; LLM")</f>
        <v>AI &amp; LLM</v>
      </c>
    </row>
    <row r="567" ht="15.75" customHeight="1">
      <c r="A567" s="14" t="s">
        <v>1120</v>
      </c>
      <c r="B567" s="15" t="s">
        <v>1121</v>
      </c>
      <c r="C567" s="16" t="s">
        <v>7</v>
      </c>
      <c r="D567" s="12" t="str">
        <f>IFERROR(__xludf.DUMMYFUNCTION("IFS(
  REGEXMATCH(A567&amp;B567, ""(?i)openai|gpt|gemini|anthropic|claude|mistral|cohere|rag|vector|llm|chatbot|ai-powered""), ""AI &amp; LLM"",
  REGEXMATCH(A567&amp;B567, ""(?i)twitter|instagram|facebook|linkedin|youtube|tiktok|threads|bluesky|pinterest|social vid"&amp;"eo|reels?|shorts?""), ""Social Media"",
  REGEXMATCH(A567&amp;B567, ""(?i)hubspot|pipedrive|stripe|shopify|woocommerce|sales|crm|invoice|order|leads?|recruitment|bamboohr|erpnext""), ""CRM &amp; Sales"",
  REGEXMATCH(A567&amp;B567, ""(?i)gmail|outlook|calendar|slack|"&amp;"discord|telegram|whatsapp|notion|trello|drive|sheets?|meeting|scheduler|appointment|mattermost""), ""Productivity &amp; Communication"",
  REGEXMATCH(A567&amp;B567, ""(?i)github|api|webhook|http|mysql|supabase|mongodb|redis|rss|pr|code review|incident|pagerduty|j"&amp;"ira""), ""Development &amp; Utilities"",
  TRUE, ""Others""
)"),"AI &amp; LLM")</f>
        <v>AI &amp; LLM</v>
      </c>
    </row>
    <row r="568" ht="15.75" customHeight="1">
      <c r="A568" s="14" t="s">
        <v>1122</v>
      </c>
      <c r="B568" s="15" t="s">
        <v>1123</v>
      </c>
      <c r="C568" s="16" t="s">
        <v>7</v>
      </c>
      <c r="D568" s="12" t="str">
        <f>IFERROR(__xludf.DUMMYFUNCTION("IFS(
  REGEXMATCH(A568&amp;B568, ""(?i)openai|gpt|gemini|anthropic|claude|mistral|cohere|rag|vector|llm|chatbot|ai-powered""), ""AI &amp; LLM"",
  REGEXMATCH(A568&amp;B568, ""(?i)twitter|instagram|facebook|linkedin|youtube|tiktok|threads|bluesky|pinterest|social vid"&amp;"eo|reels?|shorts?""), ""Social Media"",
  REGEXMATCH(A568&amp;B568, ""(?i)hubspot|pipedrive|stripe|shopify|woocommerce|sales|crm|invoice|order|leads?|recruitment|bamboohr|erpnext""), ""CRM &amp; Sales"",
  REGEXMATCH(A568&amp;B568, ""(?i)gmail|outlook|calendar|slack|"&amp;"discord|telegram|whatsapp|notion|trello|drive|sheets?|meeting|scheduler|appointment|mattermost""), ""Productivity &amp; Communication"",
  REGEXMATCH(A568&amp;B568, ""(?i)github|api|webhook|http|mysql|supabase|mongodb|redis|rss|pr|code review|incident|pagerduty|j"&amp;"ira""), ""Development &amp; Utilities"",
  TRUE, ""Others""
)"),"Development &amp; Utilities")</f>
        <v>Development &amp; Utilities</v>
      </c>
    </row>
    <row r="569" ht="15.75" customHeight="1">
      <c r="A569" s="14" t="s">
        <v>1124</v>
      </c>
      <c r="B569" s="15" t="s">
        <v>1125</v>
      </c>
      <c r="C569" s="16" t="s">
        <v>7</v>
      </c>
      <c r="D569" s="12" t="str">
        <f>IFERROR(__xludf.DUMMYFUNCTION("IFS(
  REGEXMATCH(A569&amp;B569, ""(?i)openai|gpt|gemini|anthropic|claude|mistral|cohere|rag|vector|llm|chatbot|ai-powered""), ""AI &amp; LLM"",
  REGEXMATCH(A569&amp;B569, ""(?i)twitter|instagram|facebook|linkedin|youtube|tiktok|threads|bluesky|pinterest|social vid"&amp;"eo|reels?|shorts?""), ""Social Media"",
  REGEXMATCH(A569&amp;B569, ""(?i)hubspot|pipedrive|stripe|shopify|woocommerce|sales|crm|invoice|order|leads?|recruitment|bamboohr|erpnext""), ""CRM &amp; Sales"",
  REGEXMATCH(A569&amp;B569, ""(?i)gmail|outlook|calendar|slack|"&amp;"discord|telegram|whatsapp|notion|trello|drive|sheets?|meeting|scheduler|appointment|mattermost""), ""Productivity &amp; Communication"",
  REGEXMATCH(A569&amp;B569, ""(?i)github|api|webhook|http|mysql|supabase|mongodb|redis|rss|pr|code review|incident|pagerduty|j"&amp;"ira""), ""Development &amp; Utilities"",
  TRUE, ""Others""
)"),"Productivity &amp; Communication")</f>
        <v>Productivity &amp; Communication</v>
      </c>
    </row>
    <row r="570" ht="15.75" customHeight="1">
      <c r="A570" s="14" t="s">
        <v>1126</v>
      </c>
      <c r="B570" s="15" t="s">
        <v>1127</v>
      </c>
      <c r="C570" s="16" t="s">
        <v>7</v>
      </c>
      <c r="D570" s="12" t="str">
        <f>IFERROR(__xludf.DUMMYFUNCTION("IFS(
  REGEXMATCH(A570&amp;B570, ""(?i)openai|gpt|gemini|anthropic|claude|mistral|cohere|rag|vector|llm|chatbot|ai-powered""), ""AI &amp; LLM"",
  REGEXMATCH(A570&amp;B570, ""(?i)twitter|instagram|facebook|linkedin|youtube|tiktok|threads|bluesky|pinterest|social vid"&amp;"eo|reels?|shorts?""), ""Social Media"",
  REGEXMATCH(A570&amp;B570, ""(?i)hubspot|pipedrive|stripe|shopify|woocommerce|sales|crm|invoice|order|leads?|recruitment|bamboohr|erpnext""), ""CRM &amp; Sales"",
  REGEXMATCH(A570&amp;B570, ""(?i)gmail|outlook|calendar|slack|"&amp;"discord|telegram|whatsapp|notion|trello|drive|sheets?|meeting|scheduler|appointment|mattermost""), ""Productivity &amp; Communication"",
  REGEXMATCH(A570&amp;B570, ""(?i)github|api|webhook|http|mysql|supabase|mongodb|redis|rss|pr|code review|incident|pagerduty|j"&amp;"ira""), ""Development &amp; Utilities"",
  TRUE, ""Others""
)"),"Productivity &amp; Communication")</f>
        <v>Productivity &amp; Communication</v>
      </c>
    </row>
    <row r="571" ht="15.75" customHeight="1">
      <c r="A571" s="14" t="s">
        <v>1128</v>
      </c>
      <c r="B571" s="15" t="s">
        <v>1129</v>
      </c>
      <c r="C571" s="16" t="s">
        <v>7</v>
      </c>
      <c r="D571" s="12" t="str">
        <f>IFERROR(__xludf.DUMMYFUNCTION("IFS(
  REGEXMATCH(A571&amp;B571, ""(?i)openai|gpt|gemini|anthropic|claude|mistral|cohere|rag|vector|llm|chatbot|ai-powered""), ""AI &amp; LLM"",
  REGEXMATCH(A571&amp;B571, ""(?i)twitter|instagram|facebook|linkedin|youtube|tiktok|threads|bluesky|pinterest|social vid"&amp;"eo|reels?|shorts?""), ""Social Media"",
  REGEXMATCH(A571&amp;B571, ""(?i)hubspot|pipedrive|stripe|shopify|woocommerce|sales|crm|invoice|order|leads?|recruitment|bamboohr|erpnext""), ""CRM &amp; Sales"",
  REGEXMATCH(A571&amp;B571, ""(?i)gmail|outlook|calendar|slack|"&amp;"discord|telegram|whatsapp|notion|trello|drive|sheets?|meeting|scheduler|appointment|mattermost""), ""Productivity &amp; Communication"",
  REGEXMATCH(A571&amp;B571, ""(?i)github|api|webhook|http|mysql|supabase|mongodb|redis|rss|pr|code review|incident|pagerduty|j"&amp;"ira""), ""Development &amp; Utilities"",
  TRUE, ""Others""
)"),"AI &amp; LLM")</f>
        <v>AI &amp; LLM</v>
      </c>
    </row>
    <row r="572" ht="15.75" customHeight="1">
      <c r="A572" s="14" t="s">
        <v>1130</v>
      </c>
      <c r="B572" s="15" t="s">
        <v>1131</v>
      </c>
      <c r="C572" s="16" t="s">
        <v>7</v>
      </c>
      <c r="D572" s="12" t="str">
        <f>IFERROR(__xludf.DUMMYFUNCTION("IFS(
  REGEXMATCH(A572&amp;B572, ""(?i)openai|gpt|gemini|anthropic|claude|mistral|cohere|rag|vector|llm|chatbot|ai-powered""), ""AI &amp; LLM"",
  REGEXMATCH(A572&amp;B572, ""(?i)twitter|instagram|facebook|linkedin|youtube|tiktok|threads|bluesky|pinterest|social vid"&amp;"eo|reels?|shorts?""), ""Social Media"",
  REGEXMATCH(A572&amp;B572, ""(?i)hubspot|pipedrive|stripe|shopify|woocommerce|sales|crm|invoice|order|leads?|recruitment|bamboohr|erpnext""), ""CRM &amp; Sales"",
  REGEXMATCH(A572&amp;B572, ""(?i)gmail|outlook|calendar|slack|"&amp;"discord|telegram|whatsapp|notion|trello|drive|sheets?|meeting|scheduler|appointment|mattermost""), ""Productivity &amp; Communication"",
  REGEXMATCH(A572&amp;B572, ""(?i)github|api|webhook|http|mysql|supabase|mongodb|redis|rss|pr|code review|incident|pagerduty|j"&amp;"ira""), ""Development &amp; Utilities"",
  TRUE, ""Others""
)"),"CRM &amp; Sales")</f>
        <v>CRM &amp; Sales</v>
      </c>
    </row>
    <row r="573" ht="15.75" customHeight="1">
      <c r="A573" s="14" t="s">
        <v>1132</v>
      </c>
      <c r="B573" s="15" t="s">
        <v>1133</v>
      </c>
      <c r="C573" s="16" t="s">
        <v>7</v>
      </c>
      <c r="D573" s="12" t="str">
        <f>IFERROR(__xludf.DUMMYFUNCTION("IFS(
  REGEXMATCH(A573&amp;B573, ""(?i)openai|gpt|gemini|anthropic|claude|mistral|cohere|rag|vector|llm|chatbot|ai-powered""), ""AI &amp; LLM"",
  REGEXMATCH(A573&amp;B573, ""(?i)twitter|instagram|facebook|linkedin|youtube|tiktok|threads|bluesky|pinterest|social vid"&amp;"eo|reels?|shorts?""), ""Social Media"",
  REGEXMATCH(A573&amp;B573, ""(?i)hubspot|pipedrive|stripe|shopify|woocommerce|sales|crm|invoice|order|leads?|recruitment|bamboohr|erpnext""), ""CRM &amp; Sales"",
  REGEXMATCH(A573&amp;B573, ""(?i)gmail|outlook|calendar|slack|"&amp;"discord|telegram|whatsapp|notion|trello|drive|sheets?|meeting|scheduler|appointment|mattermost""), ""Productivity &amp; Communication"",
  REGEXMATCH(A573&amp;B573, ""(?i)github|api|webhook|http|mysql|supabase|mongodb|redis|rss|pr|code review|incident|pagerduty|j"&amp;"ira""), ""Development &amp; Utilities"",
  TRUE, ""Others""
)"),"Productivity &amp; Communication")</f>
        <v>Productivity &amp; Communication</v>
      </c>
    </row>
    <row r="574" ht="15.75" customHeight="1">
      <c r="A574" s="14" t="s">
        <v>1134</v>
      </c>
      <c r="B574" s="15" t="s">
        <v>1135</v>
      </c>
      <c r="C574" s="16" t="s">
        <v>7</v>
      </c>
      <c r="D574" s="12" t="str">
        <f>IFERROR(__xludf.DUMMYFUNCTION("IFS(
  REGEXMATCH(A574&amp;B574, ""(?i)openai|gpt|gemini|anthropic|claude|mistral|cohere|rag|vector|llm|chatbot|ai-powered""), ""AI &amp; LLM"",
  REGEXMATCH(A574&amp;B574, ""(?i)twitter|instagram|facebook|linkedin|youtube|tiktok|threads|bluesky|pinterest|social vid"&amp;"eo|reels?|shorts?""), ""Social Media"",
  REGEXMATCH(A574&amp;B574, ""(?i)hubspot|pipedrive|stripe|shopify|woocommerce|sales|crm|invoice|order|leads?|recruitment|bamboohr|erpnext""), ""CRM &amp; Sales"",
  REGEXMATCH(A574&amp;B574, ""(?i)gmail|outlook|calendar|slack|"&amp;"discord|telegram|whatsapp|notion|trello|drive|sheets?|meeting|scheduler|appointment|mattermost""), ""Productivity &amp; Communication"",
  REGEXMATCH(A574&amp;B574, ""(?i)github|api|webhook|http|mysql|supabase|mongodb|redis|rss|pr|code review|incident|pagerduty|j"&amp;"ira""), ""Development &amp; Utilities"",
  TRUE, ""Others""
)"),"AI &amp; LLM")</f>
        <v>AI &amp; LLM</v>
      </c>
    </row>
    <row r="575" ht="15.75" customHeight="1">
      <c r="A575" s="14" t="s">
        <v>1136</v>
      </c>
      <c r="B575" s="15" t="s">
        <v>1137</v>
      </c>
      <c r="C575" s="16" t="s">
        <v>7</v>
      </c>
      <c r="D575" s="12" t="str">
        <f>IFERROR(__xludf.DUMMYFUNCTION("IFS(
  REGEXMATCH(A575&amp;B575, ""(?i)openai|gpt|gemini|anthropic|claude|mistral|cohere|rag|vector|llm|chatbot|ai-powered""), ""AI &amp; LLM"",
  REGEXMATCH(A575&amp;B575, ""(?i)twitter|instagram|facebook|linkedin|youtube|tiktok|threads|bluesky|pinterest|social vid"&amp;"eo|reels?|shorts?""), ""Social Media"",
  REGEXMATCH(A575&amp;B575, ""(?i)hubspot|pipedrive|stripe|shopify|woocommerce|sales|crm|invoice|order|leads?|recruitment|bamboohr|erpnext""), ""CRM &amp; Sales"",
  REGEXMATCH(A575&amp;B575, ""(?i)gmail|outlook|calendar|slack|"&amp;"discord|telegram|whatsapp|notion|trello|drive|sheets?|meeting|scheduler|appointment|mattermost""), ""Productivity &amp; Communication"",
  REGEXMATCH(A575&amp;B575, ""(?i)github|api|webhook|http|mysql|supabase|mongodb|redis|rss|pr|code review|incident|pagerduty|j"&amp;"ira""), ""Development &amp; Utilities"",
  TRUE, ""Others""
)"),"AI &amp; LLM")</f>
        <v>AI &amp; LLM</v>
      </c>
    </row>
    <row r="576" ht="15.75" customHeight="1">
      <c r="A576" s="14" t="s">
        <v>1138</v>
      </c>
      <c r="B576" s="15" t="s">
        <v>1139</v>
      </c>
      <c r="C576" s="16" t="s">
        <v>7</v>
      </c>
      <c r="D576" s="12" t="str">
        <f>IFERROR(__xludf.DUMMYFUNCTION("IFS(
  REGEXMATCH(A576&amp;B576, ""(?i)openai|gpt|gemini|anthropic|claude|mistral|cohere|rag|vector|llm|chatbot|ai-powered""), ""AI &amp; LLM"",
  REGEXMATCH(A576&amp;B576, ""(?i)twitter|instagram|facebook|linkedin|youtube|tiktok|threads|bluesky|pinterest|social vid"&amp;"eo|reels?|shorts?""), ""Social Media"",
  REGEXMATCH(A576&amp;B576, ""(?i)hubspot|pipedrive|stripe|shopify|woocommerce|sales|crm|invoice|order|leads?|recruitment|bamboohr|erpnext""), ""CRM &amp; Sales"",
  REGEXMATCH(A576&amp;B576, ""(?i)gmail|outlook|calendar|slack|"&amp;"discord|telegram|whatsapp|notion|trello|drive|sheets?|meeting|scheduler|appointment|mattermost""), ""Productivity &amp; Communication"",
  REGEXMATCH(A576&amp;B576, ""(?i)github|api|webhook|http|mysql|supabase|mongodb|redis|rss|pr|code review|incident|pagerduty|j"&amp;"ira""), ""Development &amp; Utilities"",
  TRUE, ""Others""
)"),"AI &amp; LLM")</f>
        <v>AI &amp; LLM</v>
      </c>
    </row>
    <row r="577" ht="15.75" customHeight="1">
      <c r="A577" s="14" t="s">
        <v>1140</v>
      </c>
      <c r="B577" s="15" t="s">
        <v>1141</v>
      </c>
      <c r="C577" s="16" t="s">
        <v>7</v>
      </c>
      <c r="D577" s="12" t="str">
        <f>IFERROR(__xludf.DUMMYFUNCTION("IFS(
  REGEXMATCH(A577&amp;B577, ""(?i)openai|gpt|gemini|anthropic|claude|mistral|cohere|rag|vector|llm|chatbot|ai-powered""), ""AI &amp; LLM"",
  REGEXMATCH(A577&amp;B577, ""(?i)twitter|instagram|facebook|linkedin|youtube|tiktok|threads|bluesky|pinterest|social vid"&amp;"eo|reels?|shorts?""), ""Social Media"",
  REGEXMATCH(A577&amp;B577, ""(?i)hubspot|pipedrive|stripe|shopify|woocommerce|sales|crm|invoice|order|leads?|recruitment|bamboohr|erpnext""), ""CRM &amp; Sales"",
  REGEXMATCH(A577&amp;B577, ""(?i)gmail|outlook|calendar|slack|"&amp;"discord|telegram|whatsapp|notion|trello|drive|sheets?|meeting|scheduler|appointment|mattermost""), ""Productivity &amp; Communication"",
  REGEXMATCH(A577&amp;B577, ""(?i)github|api|webhook|http|mysql|supabase|mongodb|redis|rss|pr|code review|incident|pagerduty|j"&amp;"ira""), ""Development &amp; Utilities"",
  TRUE, ""Others""
)"),"AI &amp; LLM")</f>
        <v>AI &amp; LLM</v>
      </c>
    </row>
    <row r="578" ht="15.75" customHeight="1">
      <c r="A578" s="14" t="s">
        <v>1142</v>
      </c>
      <c r="B578" s="15" t="s">
        <v>1143</v>
      </c>
      <c r="C578" s="16" t="s">
        <v>7</v>
      </c>
      <c r="D578" s="12" t="str">
        <f>IFERROR(__xludf.DUMMYFUNCTION("IFS(
  REGEXMATCH(A578&amp;B578, ""(?i)openai|gpt|gemini|anthropic|claude|mistral|cohere|rag|vector|llm|chatbot|ai-powered""), ""AI &amp; LLM"",
  REGEXMATCH(A578&amp;B578, ""(?i)twitter|instagram|facebook|linkedin|youtube|tiktok|threads|bluesky|pinterest|social vid"&amp;"eo|reels?|shorts?""), ""Social Media"",
  REGEXMATCH(A578&amp;B578, ""(?i)hubspot|pipedrive|stripe|shopify|woocommerce|sales|crm|invoice|order|leads?|recruitment|bamboohr|erpnext""), ""CRM &amp; Sales"",
  REGEXMATCH(A578&amp;B578, ""(?i)gmail|outlook|calendar|slack|"&amp;"discord|telegram|whatsapp|notion|trello|drive|sheets?|meeting|scheduler|appointment|mattermost""), ""Productivity &amp; Communication"",
  REGEXMATCH(A578&amp;B578, ""(?i)github|api|webhook|http|mysql|supabase|mongodb|redis|rss|pr|code review|incident|pagerduty|j"&amp;"ira""), ""Development &amp; Utilities"",
  TRUE, ""Others""
)"),"AI &amp; LLM")</f>
        <v>AI &amp; LLM</v>
      </c>
    </row>
    <row r="579" ht="15.75" customHeight="1">
      <c r="A579" s="14" t="s">
        <v>1144</v>
      </c>
      <c r="B579" s="15" t="s">
        <v>1145</v>
      </c>
      <c r="C579" s="16" t="s">
        <v>7</v>
      </c>
      <c r="D579" s="12" t="str">
        <f>IFERROR(__xludf.DUMMYFUNCTION("IFS(
  REGEXMATCH(A579&amp;B579, ""(?i)openai|gpt|gemini|anthropic|claude|mistral|cohere|rag|vector|llm|chatbot|ai-powered""), ""AI &amp; LLM"",
  REGEXMATCH(A579&amp;B579, ""(?i)twitter|instagram|facebook|linkedin|youtube|tiktok|threads|bluesky|pinterest|social vid"&amp;"eo|reels?|shorts?""), ""Social Media"",
  REGEXMATCH(A579&amp;B579, ""(?i)hubspot|pipedrive|stripe|shopify|woocommerce|sales|crm|invoice|order|leads?|recruitment|bamboohr|erpnext""), ""CRM &amp; Sales"",
  REGEXMATCH(A579&amp;B579, ""(?i)gmail|outlook|calendar|slack|"&amp;"discord|telegram|whatsapp|notion|trello|drive|sheets?|meeting|scheduler|appointment|mattermost""), ""Productivity &amp; Communication"",
  REGEXMATCH(A579&amp;B579, ""(?i)github|api|webhook|http|mysql|supabase|mongodb|redis|rss|pr|code review|incident|pagerduty|j"&amp;"ira""), ""Development &amp; Utilities"",
  TRUE, ""Others""
)"),"Productivity &amp; Communication")</f>
        <v>Productivity &amp; Communication</v>
      </c>
    </row>
    <row r="580" ht="15.75" customHeight="1">
      <c r="A580" s="14" t="s">
        <v>1146</v>
      </c>
      <c r="B580" s="15" t="s">
        <v>1147</v>
      </c>
      <c r="C580" s="16" t="s">
        <v>7</v>
      </c>
      <c r="D580" s="12" t="str">
        <f>IFERROR(__xludf.DUMMYFUNCTION("IFS(
  REGEXMATCH(A580&amp;B580, ""(?i)openai|gpt|gemini|anthropic|claude|mistral|cohere|rag|vector|llm|chatbot|ai-powered""), ""AI &amp; LLM"",
  REGEXMATCH(A580&amp;B580, ""(?i)twitter|instagram|facebook|linkedin|youtube|tiktok|threads|bluesky|pinterest|social vid"&amp;"eo|reels?|shorts?""), ""Social Media"",
  REGEXMATCH(A580&amp;B580, ""(?i)hubspot|pipedrive|stripe|shopify|woocommerce|sales|crm|invoice|order|leads?|recruitment|bamboohr|erpnext""), ""CRM &amp; Sales"",
  REGEXMATCH(A580&amp;B580, ""(?i)gmail|outlook|calendar|slack|"&amp;"discord|telegram|whatsapp|notion|trello|drive|sheets?|meeting|scheduler|appointment|mattermost""), ""Productivity &amp; Communication"",
  REGEXMATCH(A580&amp;B580, ""(?i)github|api|webhook|http|mysql|supabase|mongodb|redis|rss|pr|code review|incident|pagerduty|j"&amp;"ira""), ""Development &amp; Utilities"",
  TRUE, ""Others""
)"),"Productivity &amp; Communication")</f>
        <v>Productivity &amp; Communication</v>
      </c>
    </row>
    <row r="581" ht="15.75" customHeight="1">
      <c r="A581" s="14" t="s">
        <v>1148</v>
      </c>
      <c r="B581" s="15" t="s">
        <v>1149</v>
      </c>
      <c r="C581" s="16" t="s">
        <v>7</v>
      </c>
      <c r="D581" s="12" t="str">
        <f>IFERROR(__xludf.DUMMYFUNCTION("IFS(
  REGEXMATCH(A581&amp;B581, ""(?i)openai|gpt|gemini|anthropic|claude|mistral|cohere|rag|vector|llm|chatbot|ai-powered""), ""AI &amp; LLM"",
  REGEXMATCH(A581&amp;B581, ""(?i)twitter|instagram|facebook|linkedin|youtube|tiktok|threads|bluesky|pinterest|social vid"&amp;"eo|reels?|shorts?""), ""Social Media"",
  REGEXMATCH(A581&amp;B581, ""(?i)hubspot|pipedrive|stripe|shopify|woocommerce|sales|crm|invoice|order|leads?|recruitment|bamboohr|erpnext""), ""CRM &amp; Sales"",
  REGEXMATCH(A581&amp;B581, ""(?i)gmail|outlook|calendar|slack|"&amp;"discord|telegram|whatsapp|notion|trello|drive|sheets?|meeting|scheduler|appointment|mattermost""), ""Productivity &amp; Communication"",
  REGEXMATCH(A581&amp;B581, ""(?i)github|api|webhook|http|mysql|supabase|mongodb|redis|rss|pr|code review|incident|pagerduty|j"&amp;"ira""), ""Development &amp; Utilities"",
  TRUE, ""Others""
)"),"AI &amp; LLM")</f>
        <v>AI &amp; LLM</v>
      </c>
    </row>
    <row r="582" ht="15.75" customHeight="1">
      <c r="A582" s="14" t="s">
        <v>1150</v>
      </c>
      <c r="B582" s="15" t="s">
        <v>1151</v>
      </c>
      <c r="C582" s="16" t="s">
        <v>7</v>
      </c>
      <c r="D582" s="12" t="str">
        <f>IFERROR(__xludf.DUMMYFUNCTION("IFS(
  REGEXMATCH(A582&amp;B582, ""(?i)openai|gpt|gemini|anthropic|claude|mistral|cohere|rag|vector|llm|chatbot|ai-powered""), ""AI &amp; LLM"",
  REGEXMATCH(A582&amp;B582, ""(?i)twitter|instagram|facebook|linkedin|youtube|tiktok|threads|bluesky|pinterest|social vid"&amp;"eo|reels?|shorts?""), ""Social Media"",
  REGEXMATCH(A582&amp;B582, ""(?i)hubspot|pipedrive|stripe|shopify|woocommerce|sales|crm|invoice|order|leads?|recruitment|bamboohr|erpnext""), ""CRM &amp; Sales"",
  REGEXMATCH(A582&amp;B582, ""(?i)gmail|outlook|calendar|slack|"&amp;"discord|telegram|whatsapp|notion|trello|drive|sheets?|meeting|scheduler|appointment|mattermost""), ""Productivity &amp; Communication"",
  REGEXMATCH(A582&amp;B582, ""(?i)github|api|webhook|http|mysql|supabase|mongodb|redis|rss|pr|code review|incident|pagerduty|j"&amp;"ira""), ""Development &amp; Utilities"",
  TRUE, ""Others""
)"),"AI &amp; LLM")</f>
        <v>AI &amp; LLM</v>
      </c>
    </row>
    <row r="583" ht="15.75" customHeight="1">
      <c r="A583" s="14" t="s">
        <v>1152</v>
      </c>
      <c r="B583" s="15" t="s">
        <v>1153</v>
      </c>
      <c r="C583" s="16" t="s">
        <v>7</v>
      </c>
      <c r="D583" s="12" t="str">
        <f>IFERROR(__xludf.DUMMYFUNCTION("IFS(
  REGEXMATCH(A583&amp;B583, ""(?i)openai|gpt|gemini|anthropic|claude|mistral|cohere|rag|vector|llm|chatbot|ai-powered""), ""AI &amp; LLM"",
  REGEXMATCH(A583&amp;B583, ""(?i)twitter|instagram|facebook|linkedin|youtube|tiktok|threads|bluesky|pinterest|social vid"&amp;"eo|reels?|shorts?""), ""Social Media"",
  REGEXMATCH(A583&amp;B583, ""(?i)hubspot|pipedrive|stripe|shopify|woocommerce|sales|crm|invoice|order|leads?|recruitment|bamboohr|erpnext""), ""CRM &amp; Sales"",
  REGEXMATCH(A583&amp;B583, ""(?i)gmail|outlook|calendar|slack|"&amp;"discord|telegram|whatsapp|notion|trello|drive|sheets?|meeting|scheduler|appointment|mattermost""), ""Productivity &amp; Communication"",
  REGEXMATCH(A583&amp;B583, ""(?i)github|api|webhook|http|mysql|supabase|mongodb|redis|rss|pr|code review|incident|pagerduty|j"&amp;"ira""), ""Development &amp; Utilities"",
  TRUE, ""Others""
)"),"Productivity &amp; Communication")</f>
        <v>Productivity &amp; Communication</v>
      </c>
    </row>
    <row r="584" ht="15.75" customHeight="1">
      <c r="A584" s="14" t="s">
        <v>1154</v>
      </c>
      <c r="B584" s="15" t="s">
        <v>1155</v>
      </c>
      <c r="C584" s="16" t="s">
        <v>7</v>
      </c>
      <c r="D584" s="12" t="str">
        <f>IFERROR(__xludf.DUMMYFUNCTION("IFS(
  REGEXMATCH(A584&amp;B584, ""(?i)openai|gpt|gemini|anthropic|claude|mistral|cohere|rag|vector|llm|chatbot|ai-powered""), ""AI &amp; LLM"",
  REGEXMATCH(A584&amp;B584, ""(?i)twitter|instagram|facebook|linkedin|youtube|tiktok|threads|bluesky|pinterest|social vid"&amp;"eo|reels?|shorts?""), ""Social Media"",
  REGEXMATCH(A584&amp;B584, ""(?i)hubspot|pipedrive|stripe|shopify|woocommerce|sales|crm|invoice|order|leads?|recruitment|bamboohr|erpnext""), ""CRM &amp; Sales"",
  REGEXMATCH(A584&amp;B584, ""(?i)gmail|outlook|calendar|slack|"&amp;"discord|telegram|whatsapp|notion|trello|drive|sheets?|meeting|scheduler|appointment|mattermost""), ""Productivity &amp; Communication"",
  REGEXMATCH(A584&amp;B584, ""(?i)github|api|webhook|http|mysql|supabase|mongodb|redis|rss|pr|code review|incident|pagerduty|j"&amp;"ira""), ""Development &amp; Utilities"",
  TRUE, ""Others""
)"),"Productivity &amp; Communication")</f>
        <v>Productivity &amp; Communication</v>
      </c>
    </row>
    <row r="585" ht="15.75" customHeight="1">
      <c r="A585" s="14" t="s">
        <v>1156</v>
      </c>
      <c r="B585" s="15" t="s">
        <v>1157</v>
      </c>
      <c r="C585" s="16" t="s">
        <v>7</v>
      </c>
      <c r="D585" s="12" t="str">
        <f>IFERROR(__xludf.DUMMYFUNCTION("IFS(
  REGEXMATCH(A585&amp;B585, ""(?i)openai|gpt|gemini|anthropic|claude|mistral|cohere|rag|vector|llm|chatbot|ai-powered""), ""AI &amp; LLM"",
  REGEXMATCH(A585&amp;B585, ""(?i)twitter|instagram|facebook|linkedin|youtube|tiktok|threads|bluesky|pinterest|social vid"&amp;"eo|reels?|shorts?""), ""Social Media"",
  REGEXMATCH(A585&amp;B585, ""(?i)hubspot|pipedrive|stripe|shopify|woocommerce|sales|crm|invoice|order|leads?|recruitment|bamboohr|erpnext""), ""CRM &amp; Sales"",
  REGEXMATCH(A585&amp;B585, ""(?i)gmail|outlook|calendar|slack|"&amp;"discord|telegram|whatsapp|notion|trello|drive|sheets?|meeting|scheduler|appointment|mattermost""), ""Productivity &amp; Communication"",
  REGEXMATCH(A585&amp;B585, ""(?i)github|api|webhook|http|mysql|supabase|mongodb|redis|rss|pr|code review|incident|pagerduty|j"&amp;"ira""), ""Development &amp; Utilities"",
  TRUE, ""Others""
)"),"Productivity &amp; Communication")</f>
        <v>Productivity &amp; Communication</v>
      </c>
    </row>
    <row r="586" ht="15.75" customHeight="1">
      <c r="A586" s="14" t="s">
        <v>1158</v>
      </c>
      <c r="B586" s="15" t="s">
        <v>1159</v>
      </c>
      <c r="C586" s="16" t="s">
        <v>7</v>
      </c>
      <c r="D586" s="12" t="str">
        <f>IFERROR(__xludf.DUMMYFUNCTION("IFS(
  REGEXMATCH(A586&amp;B586, ""(?i)openai|gpt|gemini|anthropic|claude|mistral|cohere|rag|vector|llm|chatbot|ai-powered""), ""AI &amp; LLM"",
  REGEXMATCH(A586&amp;B586, ""(?i)twitter|instagram|facebook|linkedin|youtube|tiktok|threads|bluesky|pinterest|social vid"&amp;"eo|reels?|shorts?""), ""Social Media"",
  REGEXMATCH(A586&amp;B586, ""(?i)hubspot|pipedrive|stripe|shopify|woocommerce|sales|crm|invoice|order|leads?|recruitment|bamboohr|erpnext""), ""CRM &amp; Sales"",
  REGEXMATCH(A586&amp;B586, ""(?i)gmail|outlook|calendar|slack|"&amp;"discord|telegram|whatsapp|notion|trello|drive|sheets?|meeting|scheduler|appointment|mattermost""), ""Productivity &amp; Communication"",
  REGEXMATCH(A586&amp;B586, ""(?i)github|api|webhook|http|mysql|supabase|mongodb|redis|rss|pr|code review|incident|pagerduty|j"&amp;"ira""), ""Development &amp; Utilities"",
  TRUE, ""Others""
)"),"Development &amp; Utilities")</f>
        <v>Development &amp; Utilities</v>
      </c>
    </row>
    <row r="587" ht="15.75" customHeight="1">
      <c r="A587" s="14" t="s">
        <v>1160</v>
      </c>
      <c r="B587" s="15" t="s">
        <v>1161</v>
      </c>
      <c r="C587" s="16" t="s">
        <v>7</v>
      </c>
      <c r="D587" s="12" t="str">
        <f>IFERROR(__xludf.DUMMYFUNCTION("IFS(
  REGEXMATCH(A587&amp;B587, ""(?i)openai|gpt|gemini|anthropic|claude|mistral|cohere|rag|vector|llm|chatbot|ai-powered""), ""AI &amp; LLM"",
  REGEXMATCH(A587&amp;B587, ""(?i)twitter|instagram|facebook|linkedin|youtube|tiktok|threads|bluesky|pinterest|social vid"&amp;"eo|reels?|shorts?""), ""Social Media"",
  REGEXMATCH(A587&amp;B587, ""(?i)hubspot|pipedrive|stripe|shopify|woocommerce|sales|crm|invoice|order|leads?|recruitment|bamboohr|erpnext""), ""CRM &amp; Sales"",
  REGEXMATCH(A587&amp;B587, ""(?i)gmail|outlook|calendar|slack|"&amp;"discord|telegram|whatsapp|notion|trello|drive|sheets?|meeting|scheduler|appointment|mattermost""), ""Productivity &amp; Communication"",
  REGEXMATCH(A587&amp;B587, ""(?i)github|api|webhook|http|mysql|supabase|mongodb|redis|rss|pr|code review|incident|pagerduty|j"&amp;"ira""), ""Development &amp; Utilities"",
  TRUE, ""Others""
)"),"AI &amp; LLM")</f>
        <v>AI &amp; LLM</v>
      </c>
    </row>
    <row r="588" ht="15.75" customHeight="1">
      <c r="A588" s="14" t="s">
        <v>1162</v>
      </c>
      <c r="B588" s="15" t="s">
        <v>1163</v>
      </c>
      <c r="C588" s="16" t="s">
        <v>7</v>
      </c>
      <c r="D588" s="12" t="str">
        <f>IFERROR(__xludf.DUMMYFUNCTION("IFS(
  REGEXMATCH(A588&amp;B588, ""(?i)openai|gpt|gemini|anthropic|claude|mistral|cohere|rag|vector|llm|chatbot|ai-powered""), ""AI &amp; LLM"",
  REGEXMATCH(A588&amp;B588, ""(?i)twitter|instagram|facebook|linkedin|youtube|tiktok|threads|bluesky|pinterest|social vid"&amp;"eo|reels?|shorts?""), ""Social Media"",
  REGEXMATCH(A588&amp;B588, ""(?i)hubspot|pipedrive|stripe|shopify|woocommerce|sales|crm|invoice|order|leads?|recruitment|bamboohr|erpnext""), ""CRM &amp; Sales"",
  REGEXMATCH(A588&amp;B588, ""(?i)gmail|outlook|calendar|slack|"&amp;"discord|telegram|whatsapp|notion|trello|drive|sheets?|meeting|scheduler|appointment|mattermost""), ""Productivity &amp; Communication"",
  REGEXMATCH(A588&amp;B588, ""(?i)github|api|webhook|http|mysql|supabase|mongodb|redis|rss|pr|code review|incident|pagerduty|j"&amp;"ira""), ""Development &amp; Utilities"",
  TRUE, ""Others""
)"),"Social Media")</f>
        <v>Social Media</v>
      </c>
    </row>
    <row r="589" ht="15.75" customHeight="1">
      <c r="A589" s="14" t="s">
        <v>1164</v>
      </c>
      <c r="B589" s="15" t="s">
        <v>1165</v>
      </c>
      <c r="C589" s="16" t="s">
        <v>7</v>
      </c>
      <c r="D589" s="12" t="str">
        <f>IFERROR(__xludf.DUMMYFUNCTION("IFS(
  REGEXMATCH(A589&amp;B589, ""(?i)openai|gpt|gemini|anthropic|claude|mistral|cohere|rag|vector|llm|chatbot|ai-powered""), ""AI &amp; LLM"",
  REGEXMATCH(A589&amp;B589, ""(?i)twitter|instagram|facebook|linkedin|youtube|tiktok|threads|bluesky|pinterest|social vid"&amp;"eo|reels?|shorts?""), ""Social Media"",
  REGEXMATCH(A589&amp;B589, ""(?i)hubspot|pipedrive|stripe|shopify|woocommerce|sales|crm|invoice|order|leads?|recruitment|bamboohr|erpnext""), ""CRM &amp; Sales"",
  REGEXMATCH(A589&amp;B589, ""(?i)gmail|outlook|calendar|slack|"&amp;"discord|telegram|whatsapp|notion|trello|drive|sheets?|meeting|scheduler|appointment|mattermost""), ""Productivity &amp; Communication"",
  REGEXMATCH(A589&amp;B589, ""(?i)github|api|webhook|http|mysql|supabase|mongodb|redis|rss|pr|code review|incident|pagerduty|j"&amp;"ira""), ""Development &amp; Utilities"",
  TRUE, ""Others""
)"),"CRM &amp; Sales")</f>
        <v>CRM &amp; Sales</v>
      </c>
    </row>
    <row r="590" ht="15.75" customHeight="1">
      <c r="A590" s="14" t="s">
        <v>1166</v>
      </c>
      <c r="B590" s="15" t="s">
        <v>1167</v>
      </c>
      <c r="C590" s="16" t="s">
        <v>7</v>
      </c>
      <c r="D590" s="12" t="str">
        <f>IFERROR(__xludf.DUMMYFUNCTION("IFS(
  REGEXMATCH(A590&amp;B590, ""(?i)openai|gpt|gemini|anthropic|claude|mistral|cohere|rag|vector|llm|chatbot|ai-powered""), ""AI &amp; LLM"",
  REGEXMATCH(A590&amp;B590, ""(?i)twitter|instagram|facebook|linkedin|youtube|tiktok|threads|bluesky|pinterest|social vid"&amp;"eo|reels?|shorts?""), ""Social Media"",
  REGEXMATCH(A590&amp;B590, ""(?i)hubspot|pipedrive|stripe|shopify|woocommerce|sales|crm|invoice|order|leads?|recruitment|bamboohr|erpnext""), ""CRM &amp; Sales"",
  REGEXMATCH(A590&amp;B590, ""(?i)gmail|outlook|calendar|slack|"&amp;"discord|telegram|whatsapp|notion|trello|drive|sheets?|meeting|scheduler|appointment|mattermost""), ""Productivity &amp; Communication"",
  REGEXMATCH(A590&amp;B590, ""(?i)github|api|webhook|http|mysql|supabase|mongodb|redis|rss|pr|code review|incident|pagerduty|j"&amp;"ira""), ""Development &amp; Utilities"",
  TRUE, ""Others""
)"),"Development &amp; Utilities")</f>
        <v>Development &amp; Utilities</v>
      </c>
    </row>
    <row r="591" ht="15.75" customHeight="1">
      <c r="A591" s="14" t="s">
        <v>1168</v>
      </c>
      <c r="B591" s="15" t="s">
        <v>1169</v>
      </c>
      <c r="C591" s="16" t="s">
        <v>7</v>
      </c>
      <c r="D591" s="12" t="str">
        <f>IFERROR(__xludf.DUMMYFUNCTION("IFS(
  REGEXMATCH(A591&amp;B591, ""(?i)openai|gpt|gemini|anthropic|claude|mistral|cohere|rag|vector|llm|chatbot|ai-powered""), ""AI &amp; LLM"",
  REGEXMATCH(A591&amp;B591, ""(?i)twitter|instagram|facebook|linkedin|youtube|tiktok|threads|bluesky|pinterest|social vid"&amp;"eo|reels?|shorts?""), ""Social Media"",
  REGEXMATCH(A591&amp;B591, ""(?i)hubspot|pipedrive|stripe|shopify|woocommerce|sales|crm|invoice|order|leads?|recruitment|bamboohr|erpnext""), ""CRM &amp; Sales"",
  REGEXMATCH(A591&amp;B591, ""(?i)gmail|outlook|calendar|slack|"&amp;"discord|telegram|whatsapp|notion|trello|drive|sheets?|meeting|scheduler|appointment|mattermost""), ""Productivity &amp; Communication"",
  REGEXMATCH(A591&amp;B591, ""(?i)github|api|webhook|http|mysql|supabase|mongodb|redis|rss|pr|code review|incident|pagerduty|j"&amp;"ira""), ""Development &amp; Utilities"",
  TRUE, ""Others""
)"),"AI &amp; LLM")</f>
        <v>AI &amp; LLM</v>
      </c>
    </row>
    <row r="592" ht="15.75" customHeight="1">
      <c r="A592" s="14" t="s">
        <v>1170</v>
      </c>
      <c r="B592" s="15" t="s">
        <v>1171</v>
      </c>
      <c r="C592" s="16" t="s">
        <v>7</v>
      </c>
      <c r="D592" s="12" t="str">
        <f>IFERROR(__xludf.DUMMYFUNCTION("IFS(
  REGEXMATCH(A592&amp;B592, ""(?i)openai|gpt|gemini|anthropic|claude|mistral|cohere|rag|vector|llm|chatbot|ai-powered""), ""AI &amp; LLM"",
  REGEXMATCH(A592&amp;B592, ""(?i)twitter|instagram|facebook|linkedin|youtube|tiktok|threads|bluesky|pinterest|social vid"&amp;"eo|reels?|shorts?""), ""Social Media"",
  REGEXMATCH(A592&amp;B592, ""(?i)hubspot|pipedrive|stripe|shopify|woocommerce|sales|crm|invoice|order|leads?|recruitment|bamboohr|erpnext""), ""CRM &amp; Sales"",
  REGEXMATCH(A592&amp;B592, ""(?i)gmail|outlook|calendar|slack|"&amp;"discord|telegram|whatsapp|notion|trello|drive|sheets?|meeting|scheduler|appointment|mattermost""), ""Productivity &amp; Communication"",
  REGEXMATCH(A592&amp;B592, ""(?i)github|api|webhook|http|mysql|supabase|mongodb|redis|rss|pr|code review|incident|pagerduty|j"&amp;"ira""), ""Development &amp; Utilities"",
  TRUE, ""Others""
)"),"AI &amp; LLM")</f>
        <v>AI &amp; LLM</v>
      </c>
    </row>
    <row r="593" ht="15.75" customHeight="1">
      <c r="A593" s="14" t="s">
        <v>1172</v>
      </c>
      <c r="B593" s="15" t="s">
        <v>1173</v>
      </c>
      <c r="C593" s="16" t="s">
        <v>7</v>
      </c>
      <c r="D593" s="12" t="str">
        <f>IFERROR(__xludf.DUMMYFUNCTION("IFS(
  REGEXMATCH(A593&amp;B593, ""(?i)openai|gpt|gemini|anthropic|claude|mistral|cohere|rag|vector|llm|chatbot|ai-powered""), ""AI &amp; LLM"",
  REGEXMATCH(A593&amp;B593, ""(?i)twitter|instagram|facebook|linkedin|youtube|tiktok|threads|bluesky|pinterest|social vid"&amp;"eo|reels?|shorts?""), ""Social Media"",
  REGEXMATCH(A593&amp;B593, ""(?i)hubspot|pipedrive|stripe|shopify|woocommerce|sales|crm|invoice|order|leads?|recruitment|bamboohr|erpnext""), ""CRM &amp; Sales"",
  REGEXMATCH(A593&amp;B593, ""(?i)gmail|outlook|calendar|slack|"&amp;"discord|telegram|whatsapp|notion|trello|drive|sheets?|meeting|scheduler|appointment|mattermost""), ""Productivity &amp; Communication"",
  REGEXMATCH(A593&amp;B593, ""(?i)github|api|webhook|http|mysql|supabase|mongodb|redis|rss|pr|code review|incident|pagerduty|j"&amp;"ira""), ""Development &amp; Utilities"",
  TRUE, ""Others""
)"),"AI &amp; LLM")</f>
        <v>AI &amp; LLM</v>
      </c>
    </row>
    <row r="594" ht="15.75" customHeight="1">
      <c r="A594" s="14" t="s">
        <v>1174</v>
      </c>
      <c r="B594" s="15" t="s">
        <v>1175</v>
      </c>
      <c r="C594" s="16" t="s">
        <v>7</v>
      </c>
      <c r="D594" s="12" t="str">
        <f>IFERROR(__xludf.DUMMYFUNCTION("IFS(
  REGEXMATCH(A594&amp;B594, ""(?i)openai|gpt|gemini|anthropic|claude|mistral|cohere|rag|vector|llm|chatbot|ai-powered""), ""AI &amp; LLM"",
  REGEXMATCH(A594&amp;B594, ""(?i)twitter|instagram|facebook|linkedin|youtube|tiktok|threads|bluesky|pinterest|social vid"&amp;"eo|reels?|shorts?""), ""Social Media"",
  REGEXMATCH(A594&amp;B594, ""(?i)hubspot|pipedrive|stripe|shopify|woocommerce|sales|crm|invoice|order|leads?|recruitment|bamboohr|erpnext""), ""CRM &amp; Sales"",
  REGEXMATCH(A594&amp;B594, ""(?i)gmail|outlook|calendar|slack|"&amp;"discord|telegram|whatsapp|notion|trello|drive|sheets?|meeting|scheduler|appointment|mattermost""), ""Productivity &amp; Communication"",
  REGEXMATCH(A594&amp;B594, ""(?i)github|api|webhook|http|mysql|supabase|mongodb|redis|rss|pr|code review|incident|pagerduty|j"&amp;"ira""), ""Development &amp; Utilities"",
  TRUE, ""Others""
)"),"Productivity &amp; Communication")</f>
        <v>Productivity &amp; Communication</v>
      </c>
    </row>
    <row r="595" ht="15.75" customHeight="1">
      <c r="A595" s="14" t="s">
        <v>1176</v>
      </c>
      <c r="B595" s="15" t="s">
        <v>1177</v>
      </c>
      <c r="C595" s="16" t="s">
        <v>7</v>
      </c>
      <c r="D595" s="12" t="str">
        <f>IFERROR(__xludf.DUMMYFUNCTION("IFS(
  REGEXMATCH(A595&amp;B595, ""(?i)openai|gpt|gemini|anthropic|claude|mistral|cohere|rag|vector|llm|chatbot|ai-powered""), ""AI &amp; LLM"",
  REGEXMATCH(A595&amp;B595, ""(?i)twitter|instagram|facebook|linkedin|youtube|tiktok|threads|bluesky|pinterest|social vid"&amp;"eo|reels?|shorts?""), ""Social Media"",
  REGEXMATCH(A595&amp;B595, ""(?i)hubspot|pipedrive|stripe|shopify|woocommerce|sales|crm|invoice|order|leads?|recruitment|bamboohr|erpnext""), ""CRM &amp; Sales"",
  REGEXMATCH(A595&amp;B595, ""(?i)gmail|outlook|calendar|slack|"&amp;"discord|telegram|whatsapp|notion|trello|drive|sheets?|meeting|scheduler|appointment|mattermost""), ""Productivity &amp; Communication"",
  REGEXMATCH(A595&amp;B595, ""(?i)github|api|webhook|http|mysql|supabase|mongodb|redis|rss|pr|code review|incident|pagerduty|j"&amp;"ira""), ""Development &amp; Utilities"",
  TRUE, ""Others""
)"),"Productivity &amp; Communication")</f>
        <v>Productivity &amp; Communication</v>
      </c>
    </row>
    <row r="596" ht="15.75" customHeight="1">
      <c r="A596" s="14" t="s">
        <v>1178</v>
      </c>
      <c r="B596" s="15" t="s">
        <v>1179</v>
      </c>
      <c r="C596" s="16" t="s">
        <v>7</v>
      </c>
      <c r="D596" s="12" t="str">
        <f>IFERROR(__xludf.DUMMYFUNCTION("IFS(
  REGEXMATCH(A596&amp;B596, ""(?i)openai|gpt|gemini|anthropic|claude|mistral|cohere|rag|vector|llm|chatbot|ai-powered""), ""AI &amp; LLM"",
  REGEXMATCH(A596&amp;B596, ""(?i)twitter|instagram|facebook|linkedin|youtube|tiktok|threads|bluesky|pinterest|social vid"&amp;"eo|reels?|shorts?""), ""Social Media"",
  REGEXMATCH(A596&amp;B596, ""(?i)hubspot|pipedrive|stripe|shopify|woocommerce|sales|crm|invoice|order|leads?|recruitment|bamboohr|erpnext""), ""CRM &amp; Sales"",
  REGEXMATCH(A596&amp;B596, ""(?i)gmail|outlook|calendar|slack|"&amp;"discord|telegram|whatsapp|notion|trello|drive|sheets?|meeting|scheduler|appointment|mattermost""), ""Productivity &amp; Communication"",
  REGEXMATCH(A596&amp;B596, ""(?i)github|api|webhook|http|mysql|supabase|mongodb|redis|rss|pr|code review|incident|pagerduty|j"&amp;"ira""), ""Development &amp; Utilities"",
  TRUE, ""Others""
)"),"Development &amp; Utilities")</f>
        <v>Development &amp; Utilities</v>
      </c>
    </row>
    <row r="597" ht="15.75" customHeight="1">
      <c r="A597" s="14" t="s">
        <v>1180</v>
      </c>
      <c r="B597" s="15" t="s">
        <v>1181</v>
      </c>
      <c r="C597" s="16" t="s">
        <v>7</v>
      </c>
      <c r="D597" s="12" t="str">
        <f>IFERROR(__xludf.DUMMYFUNCTION("IFS(
  REGEXMATCH(A597&amp;B597, ""(?i)openai|gpt|gemini|anthropic|claude|mistral|cohere|rag|vector|llm|chatbot|ai-powered""), ""AI &amp; LLM"",
  REGEXMATCH(A597&amp;B597, ""(?i)twitter|instagram|facebook|linkedin|youtube|tiktok|threads|bluesky|pinterest|social vid"&amp;"eo|reels?|shorts?""), ""Social Media"",
  REGEXMATCH(A597&amp;B597, ""(?i)hubspot|pipedrive|stripe|shopify|woocommerce|sales|crm|invoice|order|leads?|recruitment|bamboohr|erpnext""), ""CRM &amp; Sales"",
  REGEXMATCH(A597&amp;B597, ""(?i)gmail|outlook|calendar|slack|"&amp;"discord|telegram|whatsapp|notion|trello|drive|sheets?|meeting|scheduler|appointment|mattermost""), ""Productivity &amp; Communication"",
  REGEXMATCH(A597&amp;B597, ""(?i)github|api|webhook|http|mysql|supabase|mongodb|redis|rss|pr|code review|incident|pagerduty|j"&amp;"ira""), ""Development &amp; Utilities"",
  TRUE, ""Others""
)"),"Development &amp; Utilities")</f>
        <v>Development &amp; Utilities</v>
      </c>
    </row>
    <row r="598" ht="15.75" customHeight="1">
      <c r="A598" s="14" t="s">
        <v>1182</v>
      </c>
      <c r="B598" s="15" t="s">
        <v>1183</v>
      </c>
      <c r="C598" s="16" t="s">
        <v>7</v>
      </c>
      <c r="D598" s="12" t="str">
        <f>IFERROR(__xludf.DUMMYFUNCTION("IFS(
  REGEXMATCH(A598&amp;B598, ""(?i)openai|gpt|gemini|anthropic|claude|mistral|cohere|rag|vector|llm|chatbot|ai-powered""), ""AI &amp; LLM"",
  REGEXMATCH(A598&amp;B598, ""(?i)twitter|instagram|facebook|linkedin|youtube|tiktok|threads|bluesky|pinterest|social vid"&amp;"eo|reels?|shorts?""), ""Social Media"",
  REGEXMATCH(A598&amp;B598, ""(?i)hubspot|pipedrive|stripe|shopify|woocommerce|sales|crm|invoice|order|leads?|recruitment|bamboohr|erpnext""), ""CRM &amp; Sales"",
  REGEXMATCH(A598&amp;B598, ""(?i)gmail|outlook|calendar|slack|"&amp;"discord|telegram|whatsapp|notion|trello|drive|sheets?|meeting|scheduler|appointment|mattermost""), ""Productivity &amp; Communication"",
  REGEXMATCH(A598&amp;B598, ""(?i)github|api|webhook|http|mysql|supabase|mongodb|redis|rss|pr|code review|incident|pagerduty|j"&amp;"ira""), ""Development &amp; Utilities"",
  TRUE, ""Others""
)"),"Development &amp; Utilities")</f>
        <v>Development &amp; Utilities</v>
      </c>
    </row>
    <row r="599" ht="15.75" customHeight="1">
      <c r="A599" s="14" t="s">
        <v>1184</v>
      </c>
      <c r="B599" s="15" t="s">
        <v>1185</v>
      </c>
      <c r="C599" s="16" t="s">
        <v>7</v>
      </c>
      <c r="D599" s="12" t="str">
        <f>IFERROR(__xludf.DUMMYFUNCTION("IFS(
  REGEXMATCH(A599&amp;B599, ""(?i)openai|gpt|gemini|anthropic|claude|mistral|cohere|rag|vector|llm|chatbot|ai-powered""), ""AI &amp; LLM"",
  REGEXMATCH(A599&amp;B599, ""(?i)twitter|instagram|facebook|linkedin|youtube|tiktok|threads|bluesky|pinterest|social vid"&amp;"eo|reels?|shorts?""), ""Social Media"",
  REGEXMATCH(A599&amp;B599, ""(?i)hubspot|pipedrive|stripe|shopify|woocommerce|sales|crm|invoice|order|leads?|recruitment|bamboohr|erpnext""), ""CRM &amp; Sales"",
  REGEXMATCH(A599&amp;B599, ""(?i)gmail|outlook|calendar|slack|"&amp;"discord|telegram|whatsapp|notion|trello|drive|sheets?|meeting|scheduler|appointment|mattermost""), ""Productivity &amp; Communication"",
  REGEXMATCH(A599&amp;B599, ""(?i)github|api|webhook|http|mysql|supabase|mongodb|redis|rss|pr|code review|incident|pagerduty|j"&amp;"ira""), ""Development &amp; Utilities"",
  TRUE, ""Others""
)"),"CRM &amp; Sales")</f>
        <v>CRM &amp; Sales</v>
      </c>
    </row>
    <row r="600" ht="15.75" customHeight="1">
      <c r="A600" s="14" t="s">
        <v>1186</v>
      </c>
      <c r="B600" s="15" t="s">
        <v>1187</v>
      </c>
      <c r="C600" s="16" t="s">
        <v>7</v>
      </c>
      <c r="D600" s="12" t="str">
        <f>IFERROR(__xludf.DUMMYFUNCTION("IFS(
  REGEXMATCH(A600&amp;B600, ""(?i)openai|gpt|gemini|anthropic|claude|mistral|cohere|rag|vector|llm|chatbot|ai-powered""), ""AI &amp; LLM"",
  REGEXMATCH(A600&amp;B600, ""(?i)twitter|instagram|facebook|linkedin|youtube|tiktok|threads|bluesky|pinterest|social vid"&amp;"eo|reels?|shorts?""), ""Social Media"",
  REGEXMATCH(A600&amp;B600, ""(?i)hubspot|pipedrive|stripe|shopify|woocommerce|sales|crm|invoice|order|leads?|recruitment|bamboohr|erpnext""), ""CRM &amp; Sales"",
  REGEXMATCH(A600&amp;B600, ""(?i)gmail|outlook|calendar|slack|"&amp;"discord|telegram|whatsapp|notion|trello|drive|sheets?|meeting|scheduler|appointment|mattermost""), ""Productivity &amp; Communication"",
  REGEXMATCH(A600&amp;B600, ""(?i)github|api|webhook|http|mysql|supabase|mongodb|redis|rss|pr|code review|incident|pagerduty|j"&amp;"ira""), ""Development &amp; Utilities"",
  TRUE, ""Others""
)"),"Development &amp; Utilities")</f>
        <v>Development &amp; Utilities</v>
      </c>
    </row>
    <row r="601" ht="15.75" customHeight="1">
      <c r="A601" s="14" t="s">
        <v>1188</v>
      </c>
      <c r="B601" s="15" t="s">
        <v>1189</v>
      </c>
      <c r="C601" s="16" t="s">
        <v>7</v>
      </c>
      <c r="D601" s="12" t="str">
        <f>IFERROR(__xludf.DUMMYFUNCTION("IFS(
  REGEXMATCH(A601&amp;B601, ""(?i)openai|gpt|gemini|anthropic|claude|mistral|cohere|rag|vector|llm|chatbot|ai-powered""), ""AI &amp; LLM"",
  REGEXMATCH(A601&amp;B601, ""(?i)twitter|instagram|facebook|linkedin|youtube|tiktok|threads|bluesky|pinterest|social vid"&amp;"eo|reels?|shorts?""), ""Social Media"",
  REGEXMATCH(A601&amp;B601, ""(?i)hubspot|pipedrive|stripe|shopify|woocommerce|sales|crm|invoice|order|leads?|recruitment|bamboohr|erpnext""), ""CRM &amp; Sales"",
  REGEXMATCH(A601&amp;B601, ""(?i)gmail|outlook|calendar|slack|"&amp;"discord|telegram|whatsapp|notion|trello|drive|sheets?|meeting|scheduler|appointment|mattermost""), ""Productivity &amp; Communication"",
  REGEXMATCH(A601&amp;B601, ""(?i)github|api|webhook|http|mysql|supabase|mongodb|redis|rss|pr|code review|incident|pagerduty|j"&amp;"ira""), ""Development &amp; Utilities"",
  TRUE, ""Others""
)"),"Development &amp; Utilities")</f>
        <v>Development &amp; Utilities</v>
      </c>
    </row>
    <row r="602" ht="15.75" customHeight="1">
      <c r="A602" s="14" t="s">
        <v>1190</v>
      </c>
      <c r="B602" s="15" t="s">
        <v>1191</v>
      </c>
      <c r="C602" s="16" t="s">
        <v>7</v>
      </c>
      <c r="D602" s="12" t="str">
        <f>IFERROR(__xludf.DUMMYFUNCTION("IFS(
  REGEXMATCH(A602&amp;B602, ""(?i)openai|gpt|gemini|anthropic|claude|mistral|cohere|rag|vector|llm|chatbot|ai-powered""), ""AI &amp; LLM"",
  REGEXMATCH(A602&amp;B602, ""(?i)twitter|instagram|facebook|linkedin|youtube|tiktok|threads|bluesky|pinterest|social vid"&amp;"eo|reels?|shorts?""), ""Social Media"",
  REGEXMATCH(A602&amp;B602, ""(?i)hubspot|pipedrive|stripe|shopify|woocommerce|sales|crm|invoice|order|leads?|recruitment|bamboohr|erpnext""), ""CRM &amp; Sales"",
  REGEXMATCH(A602&amp;B602, ""(?i)gmail|outlook|calendar|slack|"&amp;"discord|telegram|whatsapp|notion|trello|drive|sheets?|meeting|scheduler|appointment|mattermost""), ""Productivity &amp; Communication"",
  REGEXMATCH(A602&amp;B602, ""(?i)github|api|webhook|http|mysql|supabase|mongodb|redis|rss|pr|code review|incident|pagerduty|j"&amp;"ira""), ""Development &amp; Utilities"",
  TRUE, ""Others""
)"),"Productivity &amp; Communication")</f>
        <v>Productivity &amp; Communication</v>
      </c>
    </row>
    <row r="603" ht="15.75" customHeight="1">
      <c r="A603" s="14" t="s">
        <v>1192</v>
      </c>
      <c r="B603" s="15" t="s">
        <v>1193</v>
      </c>
      <c r="C603" s="16" t="s">
        <v>7</v>
      </c>
      <c r="D603" s="12" t="str">
        <f>IFERROR(__xludf.DUMMYFUNCTION("IFS(
  REGEXMATCH(A603&amp;B603, ""(?i)openai|gpt|gemini|anthropic|claude|mistral|cohere|rag|vector|llm|chatbot|ai-powered""), ""AI &amp; LLM"",
  REGEXMATCH(A603&amp;B603, ""(?i)twitter|instagram|facebook|linkedin|youtube|tiktok|threads|bluesky|pinterest|social vid"&amp;"eo|reels?|shorts?""), ""Social Media"",
  REGEXMATCH(A603&amp;B603, ""(?i)hubspot|pipedrive|stripe|shopify|woocommerce|sales|crm|invoice|order|leads?|recruitment|bamboohr|erpnext""), ""CRM &amp; Sales"",
  REGEXMATCH(A603&amp;B603, ""(?i)gmail|outlook|calendar|slack|"&amp;"discord|telegram|whatsapp|notion|trello|drive|sheets?|meeting|scheduler|appointment|mattermost""), ""Productivity &amp; Communication"",
  REGEXMATCH(A603&amp;B603, ""(?i)github|api|webhook|http|mysql|supabase|mongodb|redis|rss|pr|code review|incident|pagerduty|j"&amp;"ira""), ""Development &amp; Utilities"",
  TRUE, ""Others""
)"),"Productivity &amp; Communication")</f>
        <v>Productivity &amp; Communication</v>
      </c>
    </row>
    <row r="604" ht="15.75" customHeight="1">
      <c r="A604" s="14" t="s">
        <v>1194</v>
      </c>
      <c r="B604" s="15" t="s">
        <v>1195</v>
      </c>
      <c r="C604" s="16" t="s">
        <v>7</v>
      </c>
      <c r="D604" s="12" t="str">
        <f>IFERROR(__xludf.DUMMYFUNCTION("IFS(
  REGEXMATCH(A604&amp;B604, ""(?i)openai|gpt|gemini|anthropic|claude|mistral|cohere|rag|vector|llm|chatbot|ai-powered""), ""AI &amp; LLM"",
  REGEXMATCH(A604&amp;B604, ""(?i)twitter|instagram|facebook|linkedin|youtube|tiktok|threads|bluesky|pinterest|social vid"&amp;"eo|reels?|shorts?""), ""Social Media"",
  REGEXMATCH(A604&amp;B604, ""(?i)hubspot|pipedrive|stripe|shopify|woocommerce|sales|crm|invoice|order|leads?|recruitment|bamboohr|erpnext""), ""CRM &amp; Sales"",
  REGEXMATCH(A604&amp;B604, ""(?i)gmail|outlook|calendar|slack|"&amp;"discord|telegram|whatsapp|notion|trello|drive|sheets?|meeting|scheduler|appointment|mattermost""), ""Productivity &amp; Communication"",
  REGEXMATCH(A604&amp;B604, ""(?i)github|api|webhook|http|mysql|supabase|mongodb|redis|rss|pr|code review|incident|pagerduty|j"&amp;"ira""), ""Development &amp; Utilities"",
  TRUE, ""Others""
)"),"Development &amp; Utilities")</f>
        <v>Development &amp; Utilities</v>
      </c>
    </row>
    <row r="605" ht="15.75" customHeight="1">
      <c r="A605" s="14" t="s">
        <v>1196</v>
      </c>
      <c r="B605" s="15" t="s">
        <v>1197</v>
      </c>
      <c r="C605" s="16" t="s">
        <v>7</v>
      </c>
      <c r="D605" s="12" t="str">
        <f>IFERROR(__xludf.DUMMYFUNCTION("IFS(
  REGEXMATCH(A605&amp;B605, ""(?i)openai|gpt|gemini|anthropic|claude|mistral|cohere|rag|vector|llm|chatbot|ai-powered""), ""AI &amp; LLM"",
  REGEXMATCH(A605&amp;B605, ""(?i)twitter|instagram|facebook|linkedin|youtube|tiktok|threads|bluesky|pinterest|social vid"&amp;"eo|reels?|shorts?""), ""Social Media"",
  REGEXMATCH(A605&amp;B605, ""(?i)hubspot|pipedrive|stripe|shopify|woocommerce|sales|crm|invoice|order|leads?|recruitment|bamboohr|erpnext""), ""CRM &amp; Sales"",
  REGEXMATCH(A605&amp;B605, ""(?i)gmail|outlook|calendar|slack|"&amp;"discord|telegram|whatsapp|notion|trello|drive|sheets?|meeting|scheduler|appointment|mattermost""), ""Productivity &amp; Communication"",
  REGEXMATCH(A605&amp;B605, ""(?i)github|api|webhook|http|mysql|supabase|mongodb|redis|rss|pr|code review|incident|pagerduty|j"&amp;"ira""), ""Development &amp; Utilities"",
  TRUE, ""Others""
)"),"Development &amp; Utilities")</f>
        <v>Development &amp; Utilities</v>
      </c>
    </row>
    <row r="606" ht="15.75" customHeight="1">
      <c r="A606" s="14" t="s">
        <v>1198</v>
      </c>
      <c r="B606" s="15" t="s">
        <v>1199</v>
      </c>
      <c r="C606" s="16" t="s">
        <v>7</v>
      </c>
      <c r="D606" s="12" t="str">
        <f>IFERROR(__xludf.DUMMYFUNCTION("IFS(
  REGEXMATCH(A606&amp;B606, ""(?i)openai|gpt|gemini|anthropic|claude|mistral|cohere|rag|vector|llm|chatbot|ai-powered""), ""AI &amp; LLM"",
  REGEXMATCH(A606&amp;B606, ""(?i)twitter|instagram|facebook|linkedin|youtube|tiktok|threads|bluesky|pinterest|social vid"&amp;"eo|reels?|shorts?""), ""Social Media"",
  REGEXMATCH(A606&amp;B606, ""(?i)hubspot|pipedrive|stripe|shopify|woocommerce|sales|crm|invoice|order|leads?|recruitment|bamboohr|erpnext""), ""CRM &amp; Sales"",
  REGEXMATCH(A606&amp;B606, ""(?i)gmail|outlook|calendar|slack|"&amp;"discord|telegram|whatsapp|notion|trello|drive|sheets?|meeting|scheduler|appointment|mattermost""), ""Productivity &amp; Communication"",
  REGEXMATCH(A606&amp;B606, ""(?i)github|api|webhook|http|mysql|supabase|mongodb|redis|rss|pr|code review|incident|pagerduty|j"&amp;"ira""), ""Development &amp; Utilities"",
  TRUE, ""Others""
)"),"Development &amp; Utilities")</f>
        <v>Development &amp; Utilities</v>
      </c>
    </row>
    <row r="607" ht="15.75" customHeight="1">
      <c r="A607" s="14" t="s">
        <v>1200</v>
      </c>
      <c r="B607" s="15" t="s">
        <v>1201</v>
      </c>
      <c r="C607" s="16" t="s">
        <v>7</v>
      </c>
      <c r="D607" s="12" t="str">
        <f>IFERROR(__xludf.DUMMYFUNCTION("IFS(
  REGEXMATCH(A607&amp;B607, ""(?i)openai|gpt|gemini|anthropic|claude|mistral|cohere|rag|vector|llm|chatbot|ai-powered""), ""AI &amp; LLM"",
  REGEXMATCH(A607&amp;B607, ""(?i)twitter|instagram|facebook|linkedin|youtube|tiktok|threads|bluesky|pinterest|social vid"&amp;"eo|reels?|shorts?""), ""Social Media"",
  REGEXMATCH(A607&amp;B607, ""(?i)hubspot|pipedrive|stripe|shopify|woocommerce|sales|crm|invoice|order|leads?|recruitment|bamboohr|erpnext""), ""CRM &amp; Sales"",
  REGEXMATCH(A607&amp;B607, ""(?i)gmail|outlook|calendar|slack|"&amp;"discord|telegram|whatsapp|notion|trello|drive|sheets?|meeting|scheduler|appointment|mattermost""), ""Productivity &amp; Communication"",
  REGEXMATCH(A607&amp;B607, ""(?i)github|api|webhook|http|mysql|supabase|mongodb|redis|rss|pr|code review|incident|pagerduty|j"&amp;"ira""), ""Development &amp; Utilities"",
  TRUE, ""Others""
)"),"Development &amp; Utilities")</f>
        <v>Development &amp; Utilities</v>
      </c>
    </row>
    <row r="608" ht="15.75" customHeight="1">
      <c r="A608" s="14" t="s">
        <v>1202</v>
      </c>
      <c r="B608" s="15" t="s">
        <v>1203</v>
      </c>
      <c r="C608" s="16" t="s">
        <v>7</v>
      </c>
      <c r="D608" s="12" t="str">
        <f>IFERROR(__xludf.DUMMYFUNCTION("IFS(
  REGEXMATCH(A608&amp;B608, ""(?i)openai|gpt|gemini|anthropic|claude|mistral|cohere|rag|vector|llm|chatbot|ai-powered""), ""AI &amp; LLM"",
  REGEXMATCH(A608&amp;B608, ""(?i)twitter|instagram|facebook|linkedin|youtube|tiktok|threads|bluesky|pinterest|social vid"&amp;"eo|reels?|shorts?""), ""Social Media"",
  REGEXMATCH(A608&amp;B608, ""(?i)hubspot|pipedrive|stripe|shopify|woocommerce|sales|crm|invoice|order|leads?|recruitment|bamboohr|erpnext""), ""CRM &amp; Sales"",
  REGEXMATCH(A608&amp;B608, ""(?i)gmail|outlook|calendar|slack|"&amp;"discord|telegram|whatsapp|notion|trello|drive|sheets?|meeting|scheduler|appointment|mattermost""), ""Productivity &amp; Communication"",
  REGEXMATCH(A608&amp;B608, ""(?i)github|api|webhook|http|mysql|supabase|mongodb|redis|rss|pr|code review|incident|pagerduty|j"&amp;"ira""), ""Development &amp; Utilities"",
  TRUE, ""Others""
)"),"AI &amp; LLM")</f>
        <v>AI &amp; LLM</v>
      </c>
    </row>
    <row r="609" ht="15.75" customHeight="1">
      <c r="A609" s="14" t="s">
        <v>1204</v>
      </c>
      <c r="B609" s="15" t="s">
        <v>1205</v>
      </c>
      <c r="C609" s="16" t="s">
        <v>7</v>
      </c>
      <c r="D609" s="12" t="str">
        <f>IFERROR(__xludf.DUMMYFUNCTION("IFS(
  REGEXMATCH(A609&amp;B609, ""(?i)openai|gpt|gemini|anthropic|claude|mistral|cohere|rag|vector|llm|chatbot|ai-powered""), ""AI &amp; LLM"",
  REGEXMATCH(A609&amp;B609, ""(?i)twitter|instagram|facebook|linkedin|youtube|tiktok|threads|bluesky|pinterest|social vid"&amp;"eo|reels?|shorts?""), ""Social Media"",
  REGEXMATCH(A609&amp;B609, ""(?i)hubspot|pipedrive|stripe|shopify|woocommerce|sales|crm|invoice|order|leads?|recruitment|bamboohr|erpnext""), ""CRM &amp; Sales"",
  REGEXMATCH(A609&amp;B609, ""(?i)gmail|outlook|calendar|slack|"&amp;"discord|telegram|whatsapp|notion|trello|drive|sheets?|meeting|scheduler|appointment|mattermost""), ""Productivity &amp; Communication"",
  REGEXMATCH(A609&amp;B609, ""(?i)github|api|webhook|http|mysql|supabase|mongodb|redis|rss|pr|code review|incident|pagerduty|j"&amp;"ira""), ""Development &amp; Utilities"",
  TRUE, ""Others""
)"),"Productivity &amp; Communication")</f>
        <v>Productivity &amp; Communication</v>
      </c>
    </row>
    <row r="610" ht="15.75" customHeight="1">
      <c r="A610" s="14" t="s">
        <v>1206</v>
      </c>
      <c r="B610" s="15" t="s">
        <v>1207</v>
      </c>
      <c r="C610" s="16" t="s">
        <v>7</v>
      </c>
      <c r="D610" s="12" t="str">
        <f>IFERROR(__xludf.DUMMYFUNCTION("IFS(
  REGEXMATCH(A610&amp;B610, ""(?i)openai|gpt|gemini|anthropic|claude|mistral|cohere|rag|vector|llm|chatbot|ai-powered""), ""AI &amp; LLM"",
  REGEXMATCH(A610&amp;B610, ""(?i)twitter|instagram|facebook|linkedin|youtube|tiktok|threads|bluesky|pinterest|social vid"&amp;"eo|reels?|shorts?""), ""Social Media"",
  REGEXMATCH(A610&amp;B610, ""(?i)hubspot|pipedrive|stripe|shopify|woocommerce|sales|crm|invoice|order|leads?|recruitment|bamboohr|erpnext""), ""CRM &amp; Sales"",
  REGEXMATCH(A610&amp;B610, ""(?i)gmail|outlook|calendar|slack|"&amp;"discord|telegram|whatsapp|notion|trello|drive|sheets?|meeting|scheduler|appointment|mattermost""), ""Productivity &amp; Communication"",
  REGEXMATCH(A610&amp;B610, ""(?i)github|api|webhook|http|mysql|supabase|mongodb|redis|rss|pr|code review|incident|pagerduty|j"&amp;"ira""), ""Development &amp; Utilities"",
  TRUE, ""Others""
)"),"CRM &amp; Sales")</f>
        <v>CRM &amp; Sales</v>
      </c>
    </row>
    <row r="611" ht="15.75" customHeight="1">
      <c r="A611" s="14" t="s">
        <v>1208</v>
      </c>
      <c r="B611" s="15" t="s">
        <v>1209</v>
      </c>
      <c r="C611" s="16" t="s">
        <v>7</v>
      </c>
      <c r="D611" s="12" t="str">
        <f>IFERROR(__xludf.DUMMYFUNCTION("IFS(
  REGEXMATCH(A611&amp;B611, ""(?i)openai|gpt|gemini|anthropic|claude|mistral|cohere|rag|vector|llm|chatbot|ai-powered""), ""AI &amp; LLM"",
  REGEXMATCH(A611&amp;B611, ""(?i)twitter|instagram|facebook|linkedin|youtube|tiktok|threads|bluesky|pinterest|social vid"&amp;"eo|reels?|shorts?""), ""Social Media"",
  REGEXMATCH(A611&amp;B611, ""(?i)hubspot|pipedrive|stripe|shopify|woocommerce|sales|crm|invoice|order|leads?|recruitment|bamboohr|erpnext""), ""CRM &amp; Sales"",
  REGEXMATCH(A611&amp;B611, ""(?i)gmail|outlook|calendar|slack|"&amp;"discord|telegram|whatsapp|notion|trello|drive|sheets?|meeting|scheduler|appointment|mattermost""), ""Productivity &amp; Communication"",
  REGEXMATCH(A611&amp;B611, ""(?i)github|api|webhook|http|mysql|supabase|mongodb|redis|rss|pr|code review|incident|pagerduty|j"&amp;"ira""), ""Development &amp; Utilities"",
  TRUE, ""Others""
)"),"Productivity &amp; Communication")</f>
        <v>Productivity &amp; Communication</v>
      </c>
    </row>
    <row r="612" ht="15.75" customHeight="1">
      <c r="A612" s="14" t="s">
        <v>1210</v>
      </c>
      <c r="B612" s="15" t="s">
        <v>1211</v>
      </c>
      <c r="C612" s="16" t="s">
        <v>7</v>
      </c>
      <c r="D612" s="12" t="str">
        <f>IFERROR(__xludf.DUMMYFUNCTION("IFS(
  REGEXMATCH(A612&amp;B612, ""(?i)openai|gpt|gemini|anthropic|claude|mistral|cohere|rag|vector|llm|chatbot|ai-powered""), ""AI &amp; LLM"",
  REGEXMATCH(A612&amp;B612, ""(?i)twitter|instagram|facebook|linkedin|youtube|tiktok|threads|bluesky|pinterest|social vid"&amp;"eo|reels?|shorts?""), ""Social Media"",
  REGEXMATCH(A612&amp;B612, ""(?i)hubspot|pipedrive|stripe|shopify|woocommerce|sales|crm|invoice|order|leads?|recruitment|bamboohr|erpnext""), ""CRM &amp; Sales"",
  REGEXMATCH(A612&amp;B612, ""(?i)gmail|outlook|calendar|slack|"&amp;"discord|telegram|whatsapp|notion|trello|drive|sheets?|meeting|scheduler|appointment|mattermost""), ""Productivity &amp; Communication"",
  REGEXMATCH(A612&amp;B612, ""(?i)github|api|webhook|http|mysql|supabase|mongodb|redis|rss|pr|code review|incident|pagerduty|j"&amp;"ira""), ""Development &amp; Utilities"",
  TRUE, ""Others""
)"),"AI &amp; LLM")</f>
        <v>AI &amp; LLM</v>
      </c>
    </row>
    <row r="613" ht="15.75" customHeight="1">
      <c r="A613" s="14" t="s">
        <v>1212</v>
      </c>
      <c r="B613" s="15" t="s">
        <v>1213</v>
      </c>
      <c r="C613" s="16" t="s">
        <v>7</v>
      </c>
      <c r="D613" s="12" t="str">
        <f>IFERROR(__xludf.DUMMYFUNCTION("IFS(
  REGEXMATCH(A613&amp;B613, ""(?i)openai|gpt|gemini|anthropic|claude|mistral|cohere|rag|vector|llm|chatbot|ai-powered""), ""AI &amp; LLM"",
  REGEXMATCH(A613&amp;B613, ""(?i)twitter|instagram|facebook|linkedin|youtube|tiktok|threads|bluesky|pinterest|social vid"&amp;"eo|reels?|shorts?""), ""Social Media"",
  REGEXMATCH(A613&amp;B613, ""(?i)hubspot|pipedrive|stripe|shopify|woocommerce|sales|crm|invoice|order|leads?|recruitment|bamboohr|erpnext""), ""CRM &amp; Sales"",
  REGEXMATCH(A613&amp;B613, ""(?i)gmail|outlook|calendar|slack|"&amp;"discord|telegram|whatsapp|notion|trello|drive|sheets?|meeting|scheduler|appointment|mattermost""), ""Productivity &amp; Communication"",
  REGEXMATCH(A613&amp;B613, ""(?i)github|api|webhook|http|mysql|supabase|mongodb|redis|rss|pr|code review|incident|pagerduty|j"&amp;"ira""), ""Development &amp; Utilities"",
  TRUE, ""Others""
)"),"Development &amp; Utilities")</f>
        <v>Development &amp; Utilities</v>
      </c>
    </row>
    <row r="614" ht="15.75" customHeight="1">
      <c r="A614" s="14" t="s">
        <v>1214</v>
      </c>
      <c r="B614" s="15" t="s">
        <v>1215</v>
      </c>
      <c r="C614" s="16" t="s">
        <v>7</v>
      </c>
      <c r="D614" s="12" t="str">
        <f>IFERROR(__xludf.DUMMYFUNCTION("IFS(
  REGEXMATCH(A614&amp;B614, ""(?i)openai|gpt|gemini|anthropic|claude|mistral|cohere|rag|vector|llm|chatbot|ai-powered""), ""AI &amp; LLM"",
  REGEXMATCH(A614&amp;B614, ""(?i)twitter|instagram|facebook|linkedin|youtube|tiktok|threads|bluesky|pinterest|social vid"&amp;"eo|reels?|shorts?""), ""Social Media"",
  REGEXMATCH(A614&amp;B614, ""(?i)hubspot|pipedrive|stripe|shopify|woocommerce|sales|crm|invoice|order|leads?|recruitment|bamboohr|erpnext""), ""CRM &amp; Sales"",
  REGEXMATCH(A614&amp;B614, ""(?i)gmail|outlook|calendar|slack|"&amp;"discord|telegram|whatsapp|notion|trello|drive|sheets?|meeting|scheduler|appointment|mattermost""), ""Productivity &amp; Communication"",
  REGEXMATCH(A614&amp;B614, ""(?i)github|api|webhook|http|mysql|supabase|mongodb|redis|rss|pr|code review|incident|pagerduty|j"&amp;"ira""), ""Development &amp; Utilities"",
  TRUE, ""Others""
)"),"AI &amp; LLM")</f>
        <v>AI &amp; LLM</v>
      </c>
    </row>
    <row r="615" ht="15.75" customHeight="1">
      <c r="A615" s="14" t="s">
        <v>1216</v>
      </c>
      <c r="B615" s="15" t="s">
        <v>1217</v>
      </c>
      <c r="C615" s="16" t="s">
        <v>7</v>
      </c>
      <c r="D615" s="12" t="str">
        <f>IFERROR(__xludf.DUMMYFUNCTION("IFS(
  REGEXMATCH(A615&amp;B615, ""(?i)openai|gpt|gemini|anthropic|claude|mistral|cohere|rag|vector|llm|chatbot|ai-powered""), ""AI &amp; LLM"",
  REGEXMATCH(A615&amp;B615, ""(?i)twitter|instagram|facebook|linkedin|youtube|tiktok|threads|bluesky|pinterest|social vid"&amp;"eo|reels?|shorts?""), ""Social Media"",
  REGEXMATCH(A615&amp;B615, ""(?i)hubspot|pipedrive|stripe|shopify|woocommerce|sales|crm|invoice|order|leads?|recruitment|bamboohr|erpnext""), ""CRM &amp; Sales"",
  REGEXMATCH(A615&amp;B615, ""(?i)gmail|outlook|calendar|slack|"&amp;"discord|telegram|whatsapp|notion|trello|drive|sheets?|meeting|scheduler|appointment|mattermost""), ""Productivity &amp; Communication"",
  REGEXMATCH(A615&amp;B615, ""(?i)github|api|webhook|http|mysql|supabase|mongodb|redis|rss|pr|code review|incident|pagerduty|j"&amp;"ira""), ""Development &amp; Utilities"",
  TRUE, ""Others""
)"),"Social Media")</f>
        <v>Social Media</v>
      </c>
    </row>
    <row r="616" ht="15.75" customHeight="1">
      <c r="A616" s="14" t="s">
        <v>1218</v>
      </c>
      <c r="B616" s="15" t="s">
        <v>1219</v>
      </c>
      <c r="C616" s="16" t="s">
        <v>7</v>
      </c>
      <c r="D616" s="12" t="str">
        <f>IFERROR(__xludf.DUMMYFUNCTION("IFS(
  REGEXMATCH(A616&amp;B616, ""(?i)openai|gpt|gemini|anthropic|claude|mistral|cohere|rag|vector|llm|chatbot|ai-powered""), ""AI &amp; LLM"",
  REGEXMATCH(A616&amp;B616, ""(?i)twitter|instagram|facebook|linkedin|youtube|tiktok|threads|bluesky|pinterest|social vid"&amp;"eo|reels?|shorts?""), ""Social Media"",
  REGEXMATCH(A616&amp;B616, ""(?i)hubspot|pipedrive|stripe|shopify|woocommerce|sales|crm|invoice|order|leads?|recruitment|bamboohr|erpnext""), ""CRM &amp; Sales"",
  REGEXMATCH(A616&amp;B616, ""(?i)gmail|outlook|calendar|slack|"&amp;"discord|telegram|whatsapp|notion|trello|drive|sheets?|meeting|scheduler|appointment|mattermost""), ""Productivity &amp; Communication"",
  REGEXMATCH(A616&amp;B616, ""(?i)github|api|webhook|http|mysql|supabase|mongodb|redis|rss|pr|code review|incident|pagerduty|j"&amp;"ira""), ""Development &amp; Utilities"",
  TRUE, ""Others""
)"),"Development &amp; Utilities")</f>
        <v>Development &amp; Utilities</v>
      </c>
    </row>
    <row r="617" ht="15.75" customHeight="1">
      <c r="A617" s="14" t="s">
        <v>1220</v>
      </c>
      <c r="B617" s="15" t="s">
        <v>1221</v>
      </c>
      <c r="C617" s="16" t="s">
        <v>7</v>
      </c>
      <c r="D617" s="12" t="str">
        <f>IFERROR(__xludf.DUMMYFUNCTION("IFS(
  REGEXMATCH(A617&amp;B617, ""(?i)openai|gpt|gemini|anthropic|claude|mistral|cohere|rag|vector|llm|chatbot|ai-powered""), ""AI &amp; LLM"",
  REGEXMATCH(A617&amp;B617, ""(?i)twitter|instagram|facebook|linkedin|youtube|tiktok|threads|bluesky|pinterest|social vid"&amp;"eo|reels?|shorts?""), ""Social Media"",
  REGEXMATCH(A617&amp;B617, ""(?i)hubspot|pipedrive|stripe|shopify|woocommerce|sales|crm|invoice|order|leads?|recruitment|bamboohr|erpnext""), ""CRM &amp; Sales"",
  REGEXMATCH(A617&amp;B617, ""(?i)gmail|outlook|calendar|slack|"&amp;"discord|telegram|whatsapp|notion|trello|drive|sheets?|meeting|scheduler|appointment|mattermost""), ""Productivity &amp; Communication"",
  REGEXMATCH(A617&amp;B617, ""(?i)github|api|webhook|http|mysql|supabase|mongodb|redis|rss|pr|code review|incident|pagerduty|j"&amp;"ira""), ""Development &amp; Utilities"",
  TRUE, ""Others""
)"),"Development &amp; Utilities")</f>
        <v>Development &amp; Utilities</v>
      </c>
    </row>
    <row r="618" ht="15.75" customHeight="1">
      <c r="A618" s="14" t="s">
        <v>1222</v>
      </c>
      <c r="B618" s="15" t="s">
        <v>1223</v>
      </c>
      <c r="C618" s="16" t="s">
        <v>7</v>
      </c>
      <c r="D618" s="12" t="str">
        <f>IFERROR(__xludf.DUMMYFUNCTION("IFS(
  REGEXMATCH(A618&amp;B618, ""(?i)openai|gpt|gemini|anthropic|claude|mistral|cohere|rag|vector|llm|chatbot|ai-powered""), ""AI &amp; LLM"",
  REGEXMATCH(A618&amp;B618, ""(?i)twitter|instagram|facebook|linkedin|youtube|tiktok|threads|bluesky|pinterest|social vid"&amp;"eo|reels?|shorts?""), ""Social Media"",
  REGEXMATCH(A618&amp;B618, ""(?i)hubspot|pipedrive|stripe|shopify|woocommerce|sales|crm|invoice|order|leads?|recruitment|bamboohr|erpnext""), ""CRM &amp; Sales"",
  REGEXMATCH(A618&amp;B618, ""(?i)gmail|outlook|calendar|slack|"&amp;"discord|telegram|whatsapp|notion|trello|drive|sheets?|meeting|scheduler|appointment|mattermost""), ""Productivity &amp; Communication"",
  REGEXMATCH(A618&amp;B618, ""(?i)github|api|webhook|http|mysql|supabase|mongodb|redis|rss|pr|code review|incident|pagerduty|j"&amp;"ira""), ""Development &amp; Utilities"",
  TRUE, ""Others""
)"),"Development &amp; Utilities")</f>
        <v>Development &amp; Utilities</v>
      </c>
    </row>
    <row r="619" ht="15.75" customHeight="1">
      <c r="A619" s="14" t="s">
        <v>1224</v>
      </c>
      <c r="B619" s="15" t="s">
        <v>1225</v>
      </c>
      <c r="C619" s="16" t="s">
        <v>7</v>
      </c>
      <c r="D619" s="12" t="str">
        <f>IFERROR(__xludf.DUMMYFUNCTION("IFS(
  REGEXMATCH(A619&amp;B619, ""(?i)openai|gpt|gemini|anthropic|claude|mistral|cohere|rag|vector|llm|chatbot|ai-powered""), ""AI &amp; LLM"",
  REGEXMATCH(A619&amp;B619, ""(?i)twitter|instagram|facebook|linkedin|youtube|tiktok|threads|bluesky|pinterest|social vid"&amp;"eo|reels?|shorts?""), ""Social Media"",
  REGEXMATCH(A619&amp;B619, ""(?i)hubspot|pipedrive|stripe|shopify|woocommerce|sales|crm|invoice|order|leads?|recruitment|bamboohr|erpnext""), ""CRM &amp; Sales"",
  REGEXMATCH(A619&amp;B619, ""(?i)gmail|outlook|calendar|slack|"&amp;"discord|telegram|whatsapp|notion|trello|drive|sheets?|meeting|scheduler|appointment|mattermost""), ""Productivity &amp; Communication"",
  REGEXMATCH(A619&amp;B619, ""(?i)github|api|webhook|http|mysql|supabase|mongodb|redis|rss|pr|code review|incident|pagerduty|j"&amp;"ira""), ""Development &amp; Utilities"",
  TRUE, ""Others""
)"),"Development &amp; Utilities")</f>
        <v>Development &amp; Utilities</v>
      </c>
    </row>
    <row r="620" ht="15.75" customHeight="1">
      <c r="A620" s="14" t="s">
        <v>1226</v>
      </c>
      <c r="B620" s="15" t="s">
        <v>1227</v>
      </c>
      <c r="C620" s="16" t="s">
        <v>7</v>
      </c>
      <c r="D620" s="12" t="str">
        <f>IFERROR(__xludf.DUMMYFUNCTION("IFS(
  REGEXMATCH(A620&amp;B620, ""(?i)openai|gpt|gemini|anthropic|claude|mistral|cohere|rag|vector|llm|chatbot|ai-powered""), ""AI &amp; LLM"",
  REGEXMATCH(A620&amp;B620, ""(?i)twitter|instagram|facebook|linkedin|youtube|tiktok|threads|bluesky|pinterest|social vid"&amp;"eo|reels?|shorts?""), ""Social Media"",
  REGEXMATCH(A620&amp;B620, ""(?i)hubspot|pipedrive|stripe|shopify|woocommerce|sales|crm|invoice|order|leads?|recruitment|bamboohr|erpnext""), ""CRM &amp; Sales"",
  REGEXMATCH(A620&amp;B620, ""(?i)gmail|outlook|calendar|slack|"&amp;"discord|telegram|whatsapp|notion|trello|drive|sheets?|meeting|scheduler|appointment|mattermost""), ""Productivity &amp; Communication"",
  REGEXMATCH(A620&amp;B620, ""(?i)github|api|webhook|http|mysql|supabase|mongodb|redis|rss|pr|code review|incident|pagerduty|j"&amp;"ira""), ""Development &amp; Utilities"",
  TRUE, ""Others""
)"),"Productivity &amp; Communication")</f>
        <v>Productivity &amp; Communication</v>
      </c>
    </row>
    <row r="621" ht="15.75" customHeight="1">
      <c r="A621" s="14" t="s">
        <v>1228</v>
      </c>
      <c r="B621" s="15" t="s">
        <v>1229</v>
      </c>
      <c r="C621" s="16" t="s">
        <v>7</v>
      </c>
      <c r="D621" s="12" t="str">
        <f>IFERROR(__xludf.DUMMYFUNCTION("IFS(
  REGEXMATCH(A621&amp;B621, ""(?i)openai|gpt|gemini|anthropic|claude|mistral|cohere|rag|vector|llm|chatbot|ai-powered""), ""AI &amp; LLM"",
  REGEXMATCH(A621&amp;B621, ""(?i)twitter|instagram|facebook|linkedin|youtube|tiktok|threads|bluesky|pinterest|social vid"&amp;"eo|reels?|shorts?""), ""Social Media"",
  REGEXMATCH(A621&amp;B621, ""(?i)hubspot|pipedrive|stripe|shopify|woocommerce|sales|crm|invoice|order|leads?|recruitment|bamboohr|erpnext""), ""CRM &amp; Sales"",
  REGEXMATCH(A621&amp;B621, ""(?i)gmail|outlook|calendar|slack|"&amp;"discord|telegram|whatsapp|notion|trello|drive|sheets?|meeting|scheduler|appointment|mattermost""), ""Productivity &amp; Communication"",
  REGEXMATCH(A621&amp;B621, ""(?i)github|api|webhook|http|mysql|supabase|mongodb|redis|rss|pr|code review|incident|pagerduty|j"&amp;"ira""), ""Development &amp; Utilities"",
  TRUE, ""Others""
)"),"Development &amp; Utilities")</f>
        <v>Development &amp; Utilities</v>
      </c>
    </row>
    <row r="622" ht="15.75" customHeight="1">
      <c r="A622" s="14" t="s">
        <v>1230</v>
      </c>
      <c r="B622" s="15" t="s">
        <v>1231</v>
      </c>
      <c r="C622" s="16" t="s">
        <v>7</v>
      </c>
      <c r="D622" s="12" t="str">
        <f>IFERROR(__xludf.DUMMYFUNCTION("IFS(
  REGEXMATCH(A622&amp;B622, ""(?i)openai|gpt|gemini|anthropic|claude|mistral|cohere|rag|vector|llm|chatbot|ai-powered""), ""AI &amp; LLM"",
  REGEXMATCH(A622&amp;B622, ""(?i)twitter|instagram|facebook|linkedin|youtube|tiktok|threads|bluesky|pinterest|social vid"&amp;"eo|reels?|shorts?""), ""Social Media"",
  REGEXMATCH(A622&amp;B622, ""(?i)hubspot|pipedrive|stripe|shopify|woocommerce|sales|crm|invoice|order|leads?|recruitment|bamboohr|erpnext""), ""CRM &amp; Sales"",
  REGEXMATCH(A622&amp;B622, ""(?i)gmail|outlook|calendar|slack|"&amp;"discord|telegram|whatsapp|notion|trello|drive|sheets?|meeting|scheduler|appointment|mattermost""), ""Productivity &amp; Communication"",
  REGEXMATCH(A622&amp;B622, ""(?i)github|api|webhook|http|mysql|supabase|mongodb|redis|rss|pr|code review|incident|pagerduty|j"&amp;"ira""), ""Development &amp; Utilities"",
  TRUE, ""Others""
)"),"CRM &amp; Sales")</f>
        <v>CRM &amp; Sales</v>
      </c>
    </row>
    <row r="623" ht="15.75" customHeight="1">
      <c r="A623" s="14" t="s">
        <v>1232</v>
      </c>
      <c r="B623" s="15" t="s">
        <v>1233</v>
      </c>
      <c r="C623" s="16" t="s">
        <v>7</v>
      </c>
      <c r="D623" s="12" t="str">
        <f>IFERROR(__xludf.DUMMYFUNCTION("IFS(
  REGEXMATCH(A623&amp;B623, ""(?i)openai|gpt|gemini|anthropic|claude|mistral|cohere|rag|vector|llm|chatbot|ai-powered""), ""AI &amp; LLM"",
  REGEXMATCH(A623&amp;B623, ""(?i)twitter|instagram|facebook|linkedin|youtube|tiktok|threads|bluesky|pinterest|social vid"&amp;"eo|reels?|shorts?""), ""Social Media"",
  REGEXMATCH(A623&amp;B623, ""(?i)hubspot|pipedrive|stripe|shopify|woocommerce|sales|crm|invoice|order|leads?|recruitment|bamboohr|erpnext""), ""CRM &amp; Sales"",
  REGEXMATCH(A623&amp;B623, ""(?i)gmail|outlook|calendar|slack|"&amp;"discord|telegram|whatsapp|notion|trello|drive|sheets?|meeting|scheduler|appointment|mattermost""), ""Productivity &amp; Communication"",
  REGEXMATCH(A623&amp;B623, ""(?i)github|api|webhook|http|mysql|supabase|mongodb|redis|rss|pr|code review|incident|pagerduty|j"&amp;"ira""), ""Development &amp; Utilities"",
  TRUE, ""Others""
)"),"Development &amp; Utilities")</f>
        <v>Development &amp; Utilities</v>
      </c>
    </row>
    <row r="624" ht="15.75" customHeight="1">
      <c r="A624" s="14" t="s">
        <v>1234</v>
      </c>
      <c r="B624" s="15" t="s">
        <v>1235</v>
      </c>
      <c r="C624" s="16" t="s">
        <v>7</v>
      </c>
      <c r="D624" s="12" t="str">
        <f>IFERROR(__xludf.DUMMYFUNCTION("IFS(
  REGEXMATCH(A624&amp;B624, ""(?i)openai|gpt|gemini|anthropic|claude|mistral|cohere|rag|vector|llm|chatbot|ai-powered""), ""AI &amp; LLM"",
  REGEXMATCH(A624&amp;B624, ""(?i)twitter|instagram|facebook|linkedin|youtube|tiktok|threads|bluesky|pinterest|social vid"&amp;"eo|reels?|shorts?""), ""Social Media"",
  REGEXMATCH(A624&amp;B624, ""(?i)hubspot|pipedrive|stripe|shopify|woocommerce|sales|crm|invoice|order|leads?|recruitment|bamboohr|erpnext""), ""CRM &amp; Sales"",
  REGEXMATCH(A624&amp;B624, ""(?i)gmail|outlook|calendar|slack|"&amp;"discord|telegram|whatsapp|notion|trello|drive|sheets?|meeting|scheduler|appointment|mattermost""), ""Productivity &amp; Communication"",
  REGEXMATCH(A624&amp;B624, ""(?i)github|api|webhook|http|mysql|supabase|mongodb|redis|rss|pr|code review|incident|pagerduty|j"&amp;"ira""), ""Development &amp; Utilities"",
  TRUE, ""Others""
)"),"AI &amp; LLM")</f>
        <v>AI &amp; LLM</v>
      </c>
    </row>
    <row r="625" ht="15.75" customHeight="1">
      <c r="A625" s="14" t="s">
        <v>1236</v>
      </c>
      <c r="B625" s="15" t="s">
        <v>1237</v>
      </c>
      <c r="C625" s="16" t="s">
        <v>7</v>
      </c>
      <c r="D625" s="12" t="str">
        <f>IFERROR(__xludf.DUMMYFUNCTION("IFS(
  REGEXMATCH(A625&amp;B625, ""(?i)openai|gpt|gemini|anthropic|claude|mistral|cohere|rag|vector|llm|chatbot|ai-powered""), ""AI &amp; LLM"",
  REGEXMATCH(A625&amp;B625, ""(?i)twitter|instagram|facebook|linkedin|youtube|tiktok|threads|bluesky|pinterest|social vid"&amp;"eo|reels?|shorts?""), ""Social Media"",
  REGEXMATCH(A625&amp;B625, ""(?i)hubspot|pipedrive|stripe|shopify|woocommerce|sales|crm|invoice|order|leads?|recruitment|bamboohr|erpnext""), ""CRM &amp; Sales"",
  REGEXMATCH(A625&amp;B625, ""(?i)gmail|outlook|calendar|slack|"&amp;"discord|telegram|whatsapp|notion|trello|drive|sheets?|meeting|scheduler|appointment|mattermost""), ""Productivity &amp; Communication"",
  REGEXMATCH(A625&amp;B625, ""(?i)github|api|webhook|http|mysql|supabase|mongodb|redis|rss|pr|code review|incident|pagerduty|j"&amp;"ira""), ""Development &amp; Utilities"",
  TRUE, ""Others""
)"),"CRM &amp; Sales")</f>
        <v>CRM &amp; Sales</v>
      </c>
    </row>
    <row r="626" ht="15.75" customHeight="1">
      <c r="A626" s="14" t="s">
        <v>1238</v>
      </c>
      <c r="B626" s="15" t="s">
        <v>1239</v>
      </c>
      <c r="C626" s="16" t="s">
        <v>7</v>
      </c>
      <c r="D626" s="12" t="str">
        <f>IFERROR(__xludf.DUMMYFUNCTION("IFS(
  REGEXMATCH(A626&amp;B626, ""(?i)openai|gpt|gemini|anthropic|claude|mistral|cohere|rag|vector|llm|chatbot|ai-powered""), ""AI &amp; LLM"",
  REGEXMATCH(A626&amp;B626, ""(?i)twitter|instagram|facebook|linkedin|youtube|tiktok|threads|bluesky|pinterest|social vid"&amp;"eo|reels?|shorts?""), ""Social Media"",
  REGEXMATCH(A626&amp;B626, ""(?i)hubspot|pipedrive|stripe|shopify|woocommerce|sales|crm|invoice|order|leads?|recruitment|bamboohr|erpnext""), ""CRM &amp; Sales"",
  REGEXMATCH(A626&amp;B626, ""(?i)gmail|outlook|calendar|slack|"&amp;"discord|telegram|whatsapp|notion|trello|drive|sheets?|meeting|scheduler|appointment|mattermost""), ""Productivity &amp; Communication"",
  REGEXMATCH(A626&amp;B626, ""(?i)github|api|webhook|http|mysql|supabase|mongodb|redis|rss|pr|code review|incident|pagerduty|j"&amp;"ira""), ""Development &amp; Utilities"",
  TRUE, ""Others""
)"),"Productivity &amp; Communication")</f>
        <v>Productivity &amp; Communication</v>
      </c>
    </row>
    <row r="627" ht="15.75" customHeight="1">
      <c r="A627" s="14" t="s">
        <v>1240</v>
      </c>
      <c r="B627" s="15" t="s">
        <v>1241</v>
      </c>
      <c r="C627" s="16" t="s">
        <v>7</v>
      </c>
      <c r="D627" s="12" t="str">
        <f>IFERROR(__xludf.DUMMYFUNCTION("IFS(
  REGEXMATCH(A627&amp;B627, ""(?i)openai|gpt|gemini|anthropic|claude|mistral|cohere|rag|vector|llm|chatbot|ai-powered""), ""AI &amp; LLM"",
  REGEXMATCH(A627&amp;B627, ""(?i)twitter|instagram|facebook|linkedin|youtube|tiktok|threads|bluesky|pinterest|social vid"&amp;"eo|reels?|shorts?""), ""Social Media"",
  REGEXMATCH(A627&amp;B627, ""(?i)hubspot|pipedrive|stripe|shopify|woocommerce|sales|crm|invoice|order|leads?|recruitment|bamboohr|erpnext""), ""CRM &amp; Sales"",
  REGEXMATCH(A627&amp;B627, ""(?i)gmail|outlook|calendar|slack|"&amp;"discord|telegram|whatsapp|notion|trello|drive|sheets?|meeting|scheduler|appointment|mattermost""), ""Productivity &amp; Communication"",
  REGEXMATCH(A627&amp;B627, ""(?i)github|api|webhook|http|mysql|supabase|mongodb|redis|rss|pr|code review|incident|pagerduty|j"&amp;"ira""), ""Development &amp; Utilities"",
  TRUE, ""Others""
)"),"Development &amp; Utilities")</f>
        <v>Development &amp; Utilities</v>
      </c>
    </row>
    <row r="628" ht="15.75" customHeight="1">
      <c r="A628" s="14" t="s">
        <v>1242</v>
      </c>
      <c r="B628" s="15" t="s">
        <v>1243</v>
      </c>
      <c r="C628" s="16" t="s">
        <v>7</v>
      </c>
      <c r="D628" s="12" t="str">
        <f>IFERROR(__xludf.DUMMYFUNCTION("IFS(
  REGEXMATCH(A628&amp;B628, ""(?i)openai|gpt|gemini|anthropic|claude|mistral|cohere|rag|vector|llm|chatbot|ai-powered""), ""AI &amp; LLM"",
  REGEXMATCH(A628&amp;B628, ""(?i)twitter|instagram|facebook|linkedin|youtube|tiktok|threads|bluesky|pinterest|social vid"&amp;"eo|reels?|shorts?""), ""Social Media"",
  REGEXMATCH(A628&amp;B628, ""(?i)hubspot|pipedrive|stripe|shopify|woocommerce|sales|crm|invoice|order|leads?|recruitment|bamboohr|erpnext""), ""CRM &amp; Sales"",
  REGEXMATCH(A628&amp;B628, ""(?i)gmail|outlook|calendar|slack|"&amp;"discord|telegram|whatsapp|notion|trello|drive|sheets?|meeting|scheduler|appointment|mattermost""), ""Productivity &amp; Communication"",
  REGEXMATCH(A628&amp;B628, ""(?i)github|api|webhook|http|mysql|supabase|mongodb|redis|rss|pr|code review|incident|pagerduty|j"&amp;"ira""), ""Development &amp; Utilities"",
  TRUE, ""Others""
)"),"AI &amp; LLM")</f>
        <v>AI &amp; LLM</v>
      </c>
    </row>
    <row r="629" ht="15.75" customHeight="1">
      <c r="A629" s="14" t="s">
        <v>1244</v>
      </c>
      <c r="B629" s="15" t="s">
        <v>1245</v>
      </c>
      <c r="C629" s="16" t="s">
        <v>7</v>
      </c>
      <c r="D629" s="12" t="str">
        <f>IFERROR(__xludf.DUMMYFUNCTION("IFS(
  REGEXMATCH(A629&amp;B629, ""(?i)openai|gpt|gemini|anthropic|claude|mistral|cohere|rag|vector|llm|chatbot|ai-powered""), ""AI &amp; LLM"",
  REGEXMATCH(A629&amp;B629, ""(?i)twitter|instagram|facebook|linkedin|youtube|tiktok|threads|bluesky|pinterest|social vid"&amp;"eo|reels?|shorts?""), ""Social Media"",
  REGEXMATCH(A629&amp;B629, ""(?i)hubspot|pipedrive|stripe|shopify|woocommerce|sales|crm|invoice|order|leads?|recruitment|bamboohr|erpnext""), ""CRM &amp; Sales"",
  REGEXMATCH(A629&amp;B629, ""(?i)gmail|outlook|calendar|slack|"&amp;"discord|telegram|whatsapp|notion|trello|drive|sheets?|meeting|scheduler|appointment|mattermost""), ""Productivity &amp; Communication"",
  REGEXMATCH(A629&amp;B629, ""(?i)github|api|webhook|http|mysql|supabase|mongodb|redis|rss|pr|code review|incident|pagerduty|j"&amp;"ira""), ""Development &amp; Utilities"",
  TRUE, ""Others""
)"),"Development &amp; Utilities")</f>
        <v>Development &amp; Utilities</v>
      </c>
    </row>
    <row r="630" ht="15.75" customHeight="1">
      <c r="A630" s="14" t="s">
        <v>1246</v>
      </c>
      <c r="B630" s="15" t="s">
        <v>1247</v>
      </c>
      <c r="C630" s="16" t="s">
        <v>7</v>
      </c>
      <c r="D630" s="12" t="str">
        <f>IFERROR(__xludf.DUMMYFUNCTION("IFS(
  REGEXMATCH(A630&amp;B630, ""(?i)openai|gpt|gemini|anthropic|claude|mistral|cohere|rag|vector|llm|chatbot|ai-powered""), ""AI &amp; LLM"",
  REGEXMATCH(A630&amp;B630, ""(?i)twitter|instagram|facebook|linkedin|youtube|tiktok|threads|bluesky|pinterest|social vid"&amp;"eo|reels?|shorts?""), ""Social Media"",
  REGEXMATCH(A630&amp;B630, ""(?i)hubspot|pipedrive|stripe|shopify|woocommerce|sales|crm|invoice|order|leads?|recruitment|bamboohr|erpnext""), ""CRM &amp; Sales"",
  REGEXMATCH(A630&amp;B630, ""(?i)gmail|outlook|calendar|slack|"&amp;"discord|telegram|whatsapp|notion|trello|drive|sheets?|meeting|scheduler|appointment|mattermost""), ""Productivity &amp; Communication"",
  REGEXMATCH(A630&amp;B630, ""(?i)github|api|webhook|http|mysql|supabase|mongodb|redis|rss|pr|code review|incident|pagerduty|j"&amp;"ira""), ""Development &amp; Utilities"",
  TRUE, ""Others""
)"),"CRM &amp; Sales")</f>
        <v>CRM &amp; Sales</v>
      </c>
    </row>
    <row r="631" ht="15.75" customHeight="1">
      <c r="A631" s="14" t="s">
        <v>1248</v>
      </c>
      <c r="B631" s="15" t="s">
        <v>1249</v>
      </c>
      <c r="C631" s="16" t="s">
        <v>7</v>
      </c>
      <c r="D631" s="12" t="str">
        <f>IFERROR(__xludf.DUMMYFUNCTION("IFS(
  REGEXMATCH(A631&amp;B631, ""(?i)openai|gpt|gemini|anthropic|claude|mistral|cohere|rag|vector|llm|chatbot|ai-powered""), ""AI &amp; LLM"",
  REGEXMATCH(A631&amp;B631, ""(?i)twitter|instagram|facebook|linkedin|youtube|tiktok|threads|bluesky|pinterest|social vid"&amp;"eo|reels?|shorts?""), ""Social Media"",
  REGEXMATCH(A631&amp;B631, ""(?i)hubspot|pipedrive|stripe|shopify|woocommerce|sales|crm|invoice|order|leads?|recruitment|bamboohr|erpnext""), ""CRM &amp; Sales"",
  REGEXMATCH(A631&amp;B631, ""(?i)gmail|outlook|calendar|slack|"&amp;"discord|telegram|whatsapp|notion|trello|drive|sheets?|meeting|scheduler|appointment|mattermost""), ""Productivity &amp; Communication"",
  REGEXMATCH(A631&amp;B631, ""(?i)github|api|webhook|http|mysql|supabase|mongodb|redis|rss|pr|code review|incident|pagerduty|j"&amp;"ira""), ""Development &amp; Utilities"",
  TRUE, ""Others""
)"),"Development &amp; Utilities")</f>
        <v>Development &amp; Utilities</v>
      </c>
    </row>
    <row r="632" ht="15.75" customHeight="1">
      <c r="A632" s="14" t="s">
        <v>1250</v>
      </c>
      <c r="B632" s="15" t="s">
        <v>1251</v>
      </c>
      <c r="C632" s="16" t="s">
        <v>7</v>
      </c>
      <c r="D632" s="12" t="str">
        <f>IFERROR(__xludf.DUMMYFUNCTION("IFS(
  REGEXMATCH(A632&amp;B632, ""(?i)openai|gpt|gemini|anthropic|claude|mistral|cohere|rag|vector|llm|chatbot|ai-powered""), ""AI &amp; LLM"",
  REGEXMATCH(A632&amp;B632, ""(?i)twitter|instagram|facebook|linkedin|youtube|tiktok|threads|bluesky|pinterest|social vid"&amp;"eo|reels?|shorts?""), ""Social Media"",
  REGEXMATCH(A632&amp;B632, ""(?i)hubspot|pipedrive|stripe|shopify|woocommerce|sales|crm|invoice|order|leads?|recruitment|bamboohr|erpnext""), ""CRM &amp; Sales"",
  REGEXMATCH(A632&amp;B632, ""(?i)gmail|outlook|calendar|slack|"&amp;"discord|telegram|whatsapp|notion|trello|drive|sheets?|meeting|scheduler|appointment|mattermost""), ""Productivity &amp; Communication"",
  REGEXMATCH(A632&amp;B632, ""(?i)github|api|webhook|http|mysql|supabase|mongodb|redis|rss|pr|code review|incident|pagerduty|j"&amp;"ira""), ""Development &amp; Utilities"",
  TRUE, ""Others""
)"),"Social Media")</f>
        <v>Social Media</v>
      </c>
    </row>
    <row r="633" ht="15.75" customHeight="1">
      <c r="A633" s="14" t="s">
        <v>1252</v>
      </c>
      <c r="B633" s="15" t="s">
        <v>1253</v>
      </c>
      <c r="C633" s="16" t="s">
        <v>7</v>
      </c>
      <c r="D633" s="12" t="str">
        <f>IFERROR(__xludf.DUMMYFUNCTION("IFS(
  REGEXMATCH(A633&amp;B633, ""(?i)openai|gpt|gemini|anthropic|claude|mistral|cohere|rag|vector|llm|chatbot|ai-powered""), ""AI &amp; LLM"",
  REGEXMATCH(A633&amp;B633, ""(?i)twitter|instagram|facebook|linkedin|youtube|tiktok|threads|bluesky|pinterest|social vid"&amp;"eo|reels?|shorts?""), ""Social Media"",
  REGEXMATCH(A633&amp;B633, ""(?i)hubspot|pipedrive|stripe|shopify|woocommerce|sales|crm|invoice|order|leads?|recruitment|bamboohr|erpnext""), ""CRM &amp; Sales"",
  REGEXMATCH(A633&amp;B633, ""(?i)gmail|outlook|calendar|slack|"&amp;"discord|telegram|whatsapp|notion|trello|drive|sheets?|meeting|scheduler|appointment|mattermost""), ""Productivity &amp; Communication"",
  REGEXMATCH(A633&amp;B633, ""(?i)github|api|webhook|http|mysql|supabase|mongodb|redis|rss|pr|code review|incident|pagerduty|j"&amp;"ira""), ""Development &amp; Utilities"",
  TRUE, ""Others""
)"),"Productivity &amp; Communication")</f>
        <v>Productivity &amp; Communication</v>
      </c>
    </row>
    <row r="634" ht="15.75" customHeight="1">
      <c r="A634" s="14" t="s">
        <v>1254</v>
      </c>
      <c r="B634" s="15" t="s">
        <v>1255</v>
      </c>
      <c r="C634" s="16" t="s">
        <v>7</v>
      </c>
      <c r="D634" s="12" t="str">
        <f>IFERROR(__xludf.DUMMYFUNCTION("IFS(
  REGEXMATCH(A634&amp;B634, ""(?i)openai|gpt|gemini|anthropic|claude|mistral|cohere|rag|vector|llm|chatbot|ai-powered""), ""AI &amp; LLM"",
  REGEXMATCH(A634&amp;B634, ""(?i)twitter|instagram|facebook|linkedin|youtube|tiktok|threads|bluesky|pinterest|social vid"&amp;"eo|reels?|shorts?""), ""Social Media"",
  REGEXMATCH(A634&amp;B634, ""(?i)hubspot|pipedrive|stripe|shopify|woocommerce|sales|crm|invoice|order|leads?|recruitment|bamboohr|erpnext""), ""CRM &amp; Sales"",
  REGEXMATCH(A634&amp;B634, ""(?i)gmail|outlook|calendar|slack|"&amp;"discord|telegram|whatsapp|notion|trello|drive|sheets?|meeting|scheduler|appointment|mattermost""), ""Productivity &amp; Communication"",
  REGEXMATCH(A634&amp;B634, ""(?i)github|api|webhook|http|mysql|supabase|mongodb|redis|rss|pr|code review|incident|pagerduty|j"&amp;"ira""), ""Development &amp; Utilities"",
  TRUE, ""Others""
)"),"AI &amp; LLM")</f>
        <v>AI &amp; LLM</v>
      </c>
    </row>
    <row r="635" ht="15.75" customHeight="1">
      <c r="A635" s="14" t="s">
        <v>1256</v>
      </c>
      <c r="B635" s="15" t="s">
        <v>1257</v>
      </c>
      <c r="C635" s="16" t="s">
        <v>7</v>
      </c>
      <c r="D635" s="12" t="str">
        <f>IFERROR(__xludf.DUMMYFUNCTION("IFS(
  REGEXMATCH(A635&amp;B635, ""(?i)openai|gpt|gemini|anthropic|claude|mistral|cohere|rag|vector|llm|chatbot|ai-powered""), ""AI &amp; LLM"",
  REGEXMATCH(A635&amp;B635, ""(?i)twitter|instagram|facebook|linkedin|youtube|tiktok|threads|bluesky|pinterest|social vid"&amp;"eo|reels?|shorts?""), ""Social Media"",
  REGEXMATCH(A635&amp;B635, ""(?i)hubspot|pipedrive|stripe|shopify|woocommerce|sales|crm|invoice|order|leads?|recruitment|bamboohr|erpnext""), ""CRM &amp; Sales"",
  REGEXMATCH(A635&amp;B635, ""(?i)gmail|outlook|calendar|slack|"&amp;"discord|telegram|whatsapp|notion|trello|drive|sheets?|meeting|scheduler|appointment|mattermost""), ""Productivity &amp; Communication"",
  REGEXMATCH(A635&amp;B635, ""(?i)github|api|webhook|http|mysql|supabase|mongodb|redis|rss|pr|code review|incident|pagerduty|j"&amp;"ira""), ""Development &amp; Utilities"",
  TRUE, ""Others""
)"),"AI &amp; LLM")</f>
        <v>AI &amp; LLM</v>
      </c>
    </row>
    <row r="636" ht="15.75" customHeight="1">
      <c r="A636" s="14" t="s">
        <v>1258</v>
      </c>
      <c r="B636" s="15" t="s">
        <v>1259</v>
      </c>
      <c r="C636" s="16" t="s">
        <v>7</v>
      </c>
      <c r="D636" s="12" t="str">
        <f>IFERROR(__xludf.DUMMYFUNCTION("IFS(
  REGEXMATCH(A636&amp;B636, ""(?i)openai|gpt|gemini|anthropic|claude|mistral|cohere|rag|vector|llm|chatbot|ai-powered""), ""AI &amp; LLM"",
  REGEXMATCH(A636&amp;B636, ""(?i)twitter|instagram|facebook|linkedin|youtube|tiktok|threads|bluesky|pinterest|social vid"&amp;"eo|reels?|shorts?""), ""Social Media"",
  REGEXMATCH(A636&amp;B636, ""(?i)hubspot|pipedrive|stripe|shopify|woocommerce|sales|crm|invoice|order|leads?|recruitment|bamboohr|erpnext""), ""CRM &amp; Sales"",
  REGEXMATCH(A636&amp;B636, ""(?i)gmail|outlook|calendar|slack|"&amp;"discord|telegram|whatsapp|notion|trello|drive|sheets?|meeting|scheduler|appointment|mattermost""), ""Productivity &amp; Communication"",
  REGEXMATCH(A636&amp;B636, ""(?i)github|api|webhook|http|mysql|supabase|mongodb|redis|rss|pr|code review|incident|pagerduty|j"&amp;"ira""), ""Development &amp; Utilities"",
  TRUE, ""Others""
)"),"AI &amp; LLM")</f>
        <v>AI &amp; LLM</v>
      </c>
    </row>
    <row r="637" ht="15.75" customHeight="1">
      <c r="A637" s="14" t="s">
        <v>1260</v>
      </c>
      <c r="B637" s="15" t="s">
        <v>1261</v>
      </c>
      <c r="C637" s="16" t="s">
        <v>7</v>
      </c>
      <c r="D637" s="12" t="str">
        <f>IFERROR(__xludf.DUMMYFUNCTION("IFS(
  REGEXMATCH(A637&amp;B637, ""(?i)openai|gpt|gemini|anthropic|claude|mistral|cohere|rag|vector|llm|chatbot|ai-powered""), ""AI &amp; LLM"",
  REGEXMATCH(A637&amp;B637, ""(?i)twitter|instagram|facebook|linkedin|youtube|tiktok|threads|bluesky|pinterest|social vid"&amp;"eo|reels?|shorts?""), ""Social Media"",
  REGEXMATCH(A637&amp;B637, ""(?i)hubspot|pipedrive|stripe|shopify|woocommerce|sales|crm|invoice|order|leads?|recruitment|bamboohr|erpnext""), ""CRM &amp; Sales"",
  REGEXMATCH(A637&amp;B637, ""(?i)gmail|outlook|calendar|slack|"&amp;"discord|telegram|whatsapp|notion|trello|drive|sheets?|meeting|scheduler|appointment|mattermost""), ""Productivity &amp; Communication"",
  REGEXMATCH(A637&amp;B637, ""(?i)github|api|webhook|http|mysql|supabase|mongodb|redis|rss|pr|code review|incident|pagerduty|j"&amp;"ira""), ""Development &amp; Utilities"",
  TRUE, ""Others""
)"),"Productivity &amp; Communication")</f>
        <v>Productivity &amp; Communication</v>
      </c>
    </row>
    <row r="638" ht="15.75" customHeight="1">
      <c r="A638" s="14" t="s">
        <v>1262</v>
      </c>
      <c r="B638" s="15" t="s">
        <v>1263</v>
      </c>
      <c r="C638" s="16" t="s">
        <v>7</v>
      </c>
      <c r="D638" s="12" t="str">
        <f>IFERROR(__xludf.DUMMYFUNCTION("IFS(
  REGEXMATCH(A638&amp;B638, ""(?i)openai|gpt|gemini|anthropic|claude|mistral|cohere|rag|vector|llm|chatbot|ai-powered""), ""AI &amp; LLM"",
  REGEXMATCH(A638&amp;B638, ""(?i)twitter|instagram|facebook|linkedin|youtube|tiktok|threads|bluesky|pinterest|social vid"&amp;"eo|reels?|shorts?""), ""Social Media"",
  REGEXMATCH(A638&amp;B638, ""(?i)hubspot|pipedrive|stripe|shopify|woocommerce|sales|crm|invoice|order|leads?|recruitment|bamboohr|erpnext""), ""CRM &amp; Sales"",
  REGEXMATCH(A638&amp;B638, ""(?i)gmail|outlook|calendar|slack|"&amp;"discord|telegram|whatsapp|notion|trello|drive|sheets?|meeting|scheduler|appointment|mattermost""), ""Productivity &amp; Communication"",
  REGEXMATCH(A638&amp;B638, ""(?i)github|api|webhook|http|mysql|supabase|mongodb|redis|rss|pr|code review|incident|pagerduty|j"&amp;"ira""), ""Development &amp; Utilities"",
  TRUE, ""Others""
)"),"CRM &amp; Sales")</f>
        <v>CRM &amp; Sales</v>
      </c>
    </row>
    <row r="639" ht="15.75" customHeight="1">
      <c r="A639" s="14" t="s">
        <v>1264</v>
      </c>
      <c r="B639" s="15" t="s">
        <v>1265</v>
      </c>
      <c r="C639" s="16" t="s">
        <v>7</v>
      </c>
      <c r="D639" s="12" t="str">
        <f>IFERROR(__xludf.DUMMYFUNCTION("IFS(
  REGEXMATCH(A639&amp;B639, ""(?i)openai|gpt|gemini|anthropic|claude|mistral|cohere|rag|vector|llm|chatbot|ai-powered""), ""AI &amp; LLM"",
  REGEXMATCH(A639&amp;B639, ""(?i)twitter|instagram|facebook|linkedin|youtube|tiktok|threads|bluesky|pinterest|social vid"&amp;"eo|reels?|shorts?""), ""Social Media"",
  REGEXMATCH(A639&amp;B639, ""(?i)hubspot|pipedrive|stripe|shopify|woocommerce|sales|crm|invoice|order|leads?|recruitment|bamboohr|erpnext""), ""CRM &amp; Sales"",
  REGEXMATCH(A639&amp;B639, ""(?i)gmail|outlook|calendar|slack|"&amp;"discord|telegram|whatsapp|notion|trello|drive|sheets?|meeting|scheduler|appointment|mattermost""), ""Productivity &amp; Communication"",
  REGEXMATCH(A639&amp;B639, ""(?i)github|api|webhook|http|mysql|supabase|mongodb|redis|rss|pr|code review|incident|pagerduty|j"&amp;"ira""), ""Development &amp; Utilities"",
  TRUE, ""Others""
)"),"Development &amp; Utilities")</f>
        <v>Development &amp; Utilities</v>
      </c>
    </row>
    <row r="640" ht="15.75" customHeight="1">
      <c r="A640" s="14" t="s">
        <v>1266</v>
      </c>
      <c r="B640" s="15" t="s">
        <v>1267</v>
      </c>
      <c r="C640" s="16" t="s">
        <v>7</v>
      </c>
      <c r="D640" s="12" t="str">
        <f>IFERROR(__xludf.DUMMYFUNCTION("IFS(
  REGEXMATCH(A640&amp;B640, ""(?i)openai|gpt|gemini|anthropic|claude|mistral|cohere|rag|vector|llm|chatbot|ai-powered""), ""AI &amp; LLM"",
  REGEXMATCH(A640&amp;B640, ""(?i)twitter|instagram|facebook|linkedin|youtube|tiktok|threads|bluesky|pinterest|social vid"&amp;"eo|reels?|shorts?""), ""Social Media"",
  REGEXMATCH(A640&amp;B640, ""(?i)hubspot|pipedrive|stripe|shopify|woocommerce|sales|crm|invoice|order|leads?|recruitment|bamboohr|erpnext""), ""CRM &amp; Sales"",
  REGEXMATCH(A640&amp;B640, ""(?i)gmail|outlook|calendar|slack|"&amp;"discord|telegram|whatsapp|notion|trello|drive|sheets?|meeting|scheduler|appointment|mattermost""), ""Productivity &amp; Communication"",
  REGEXMATCH(A640&amp;B640, ""(?i)github|api|webhook|http|mysql|supabase|mongodb|redis|rss|pr|code review|incident|pagerduty|j"&amp;"ira""), ""Development &amp; Utilities"",
  TRUE, ""Others""
)"),"Development &amp; Utilities")</f>
        <v>Development &amp; Utilities</v>
      </c>
    </row>
    <row r="641" ht="15.75" customHeight="1">
      <c r="A641" s="14" t="s">
        <v>1268</v>
      </c>
      <c r="B641" s="15" t="s">
        <v>1269</v>
      </c>
      <c r="C641" s="16" t="s">
        <v>7</v>
      </c>
      <c r="D641" s="12" t="str">
        <f>IFERROR(__xludf.DUMMYFUNCTION("IFS(
  REGEXMATCH(A641&amp;B641, ""(?i)openai|gpt|gemini|anthropic|claude|mistral|cohere|rag|vector|llm|chatbot|ai-powered""), ""AI &amp; LLM"",
  REGEXMATCH(A641&amp;B641, ""(?i)twitter|instagram|facebook|linkedin|youtube|tiktok|threads|bluesky|pinterest|social vid"&amp;"eo|reels?|shorts?""), ""Social Media"",
  REGEXMATCH(A641&amp;B641, ""(?i)hubspot|pipedrive|stripe|shopify|woocommerce|sales|crm|invoice|order|leads?|recruitment|bamboohr|erpnext""), ""CRM &amp; Sales"",
  REGEXMATCH(A641&amp;B641, ""(?i)gmail|outlook|calendar|slack|"&amp;"discord|telegram|whatsapp|notion|trello|drive|sheets?|meeting|scheduler|appointment|mattermost""), ""Productivity &amp; Communication"",
  REGEXMATCH(A641&amp;B641, ""(?i)github|api|webhook|http|mysql|supabase|mongodb|redis|rss|pr|code review|incident|pagerduty|j"&amp;"ira""), ""Development &amp; Utilities"",
  TRUE, ""Others""
)"),"Development &amp; Utilities")</f>
        <v>Development &amp; Utilities</v>
      </c>
    </row>
    <row r="642" ht="15.75" customHeight="1">
      <c r="A642" s="14" t="s">
        <v>1270</v>
      </c>
      <c r="B642" s="15" t="s">
        <v>1271</v>
      </c>
      <c r="C642" s="16" t="s">
        <v>7</v>
      </c>
      <c r="D642" s="12" t="str">
        <f>IFERROR(__xludf.DUMMYFUNCTION("IFS(
  REGEXMATCH(A642&amp;B642, ""(?i)openai|gpt|gemini|anthropic|claude|mistral|cohere|rag|vector|llm|chatbot|ai-powered""), ""AI &amp; LLM"",
  REGEXMATCH(A642&amp;B642, ""(?i)twitter|instagram|facebook|linkedin|youtube|tiktok|threads|bluesky|pinterest|social vid"&amp;"eo|reels?|shorts?""), ""Social Media"",
  REGEXMATCH(A642&amp;B642, ""(?i)hubspot|pipedrive|stripe|shopify|woocommerce|sales|crm|invoice|order|leads?|recruitment|bamboohr|erpnext""), ""CRM &amp; Sales"",
  REGEXMATCH(A642&amp;B642, ""(?i)gmail|outlook|calendar|slack|"&amp;"discord|telegram|whatsapp|notion|trello|drive|sheets?|meeting|scheduler|appointment|mattermost""), ""Productivity &amp; Communication"",
  REGEXMATCH(A642&amp;B642, ""(?i)github|api|webhook|http|mysql|supabase|mongodb|redis|rss|pr|code review|incident|pagerduty|j"&amp;"ira""), ""Development &amp; Utilities"",
  TRUE, ""Others""
)"),"CRM &amp; Sales")</f>
        <v>CRM &amp; Sales</v>
      </c>
    </row>
    <row r="643" ht="15.75" customHeight="1">
      <c r="A643" s="14" t="s">
        <v>1272</v>
      </c>
      <c r="B643" s="15" t="s">
        <v>1273</v>
      </c>
      <c r="C643" s="16" t="s">
        <v>7</v>
      </c>
      <c r="D643" s="12" t="str">
        <f>IFERROR(__xludf.DUMMYFUNCTION("IFS(
  REGEXMATCH(A643&amp;B643, ""(?i)openai|gpt|gemini|anthropic|claude|mistral|cohere|rag|vector|llm|chatbot|ai-powered""), ""AI &amp; LLM"",
  REGEXMATCH(A643&amp;B643, ""(?i)twitter|instagram|facebook|linkedin|youtube|tiktok|threads|bluesky|pinterest|social vid"&amp;"eo|reels?|shorts?""), ""Social Media"",
  REGEXMATCH(A643&amp;B643, ""(?i)hubspot|pipedrive|stripe|shopify|woocommerce|sales|crm|invoice|order|leads?|recruitment|bamboohr|erpnext""), ""CRM &amp; Sales"",
  REGEXMATCH(A643&amp;B643, ""(?i)gmail|outlook|calendar|slack|"&amp;"discord|telegram|whatsapp|notion|trello|drive|sheets?|meeting|scheduler|appointment|mattermost""), ""Productivity &amp; Communication"",
  REGEXMATCH(A643&amp;B643, ""(?i)github|api|webhook|http|mysql|supabase|mongodb|redis|rss|pr|code review|incident|pagerduty|j"&amp;"ira""), ""Development &amp; Utilities"",
  TRUE, ""Others""
)"),"Social Media")</f>
        <v>Social Media</v>
      </c>
    </row>
    <row r="644" ht="15.75" customHeight="1">
      <c r="A644" s="14" t="s">
        <v>1274</v>
      </c>
      <c r="B644" s="15" t="s">
        <v>1275</v>
      </c>
      <c r="C644" s="16" t="s">
        <v>7</v>
      </c>
      <c r="D644" s="12" t="str">
        <f>IFERROR(__xludf.DUMMYFUNCTION("IFS(
  REGEXMATCH(A644&amp;B644, ""(?i)openai|gpt|gemini|anthropic|claude|mistral|cohere|rag|vector|llm|chatbot|ai-powered""), ""AI &amp; LLM"",
  REGEXMATCH(A644&amp;B644, ""(?i)twitter|instagram|facebook|linkedin|youtube|tiktok|threads|bluesky|pinterest|social vid"&amp;"eo|reels?|shorts?""), ""Social Media"",
  REGEXMATCH(A644&amp;B644, ""(?i)hubspot|pipedrive|stripe|shopify|woocommerce|sales|crm|invoice|order|leads?|recruitment|bamboohr|erpnext""), ""CRM &amp; Sales"",
  REGEXMATCH(A644&amp;B644, ""(?i)gmail|outlook|calendar|slack|"&amp;"discord|telegram|whatsapp|notion|trello|drive|sheets?|meeting|scheduler|appointment|mattermost""), ""Productivity &amp; Communication"",
  REGEXMATCH(A644&amp;B644, ""(?i)github|api|webhook|http|mysql|supabase|mongodb|redis|rss|pr|code review|incident|pagerduty|j"&amp;"ira""), ""Development &amp; Utilities"",
  TRUE, ""Others""
)"),"Development &amp; Utilities")</f>
        <v>Development &amp; Utilities</v>
      </c>
    </row>
    <row r="645" ht="15.75" customHeight="1">
      <c r="A645" s="14" t="s">
        <v>1276</v>
      </c>
      <c r="B645" s="15" t="s">
        <v>1277</v>
      </c>
      <c r="C645" s="16" t="s">
        <v>7</v>
      </c>
      <c r="D645" s="12" t="str">
        <f>IFERROR(__xludf.DUMMYFUNCTION("IFS(
  REGEXMATCH(A645&amp;B645, ""(?i)openai|gpt|gemini|anthropic|claude|mistral|cohere|rag|vector|llm|chatbot|ai-powered""), ""AI &amp; LLM"",
  REGEXMATCH(A645&amp;B645, ""(?i)twitter|instagram|facebook|linkedin|youtube|tiktok|threads|bluesky|pinterest|social vid"&amp;"eo|reels?|shorts?""), ""Social Media"",
  REGEXMATCH(A645&amp;B645, ""(?i)hubspot|pipedrive|stripe|shopify|woocommerce|sales|crm|invoice|order|leads?|recruitment|bamboohr|erpnext""), ""CRM &amp; Sales"",
  REGEXMATCH(A645&amp;B645, ""(?i)gmail|outlook|calendar|slack|"&amp;"discord|telegram|whatsapp|notion|trello|drive|sheets?|meeting|scheduler|appointment|mattermost""), ""Productivity &amp; Communication"",
  REGEXMATCH(A645&amp;B645, ""(?i)github|api|webhook|http|mysql|supabase|mongodb|redis|rss|pr|code review|incident|pagerduty|j"&amp;"ira""), ""Development &amp; Utilities"",
  TRUE, ""Others""
)"),"Development &amp; Utilities")</f>
        <v>Development &amp; Utilities</v>
      </c>
    </row>
    <row r="646" ht="15.75" customHeight="1">
      <c r="A646" s="14" t="s">
        <v>1278</v>
      </c>
      <c r="B646" s="15" t="s">
        <v>1279</v>
      </c>
      <c r="C646" s="16" t="s">
        <v>7</v>
      </c>
      <c r="D646" s="12" t="str">
        <f>IFERROR(__xludf.DUMMYFUNCTION("IFS(
  REGEXMATCH(A646&amp;B646, ""(?i)openai|gpt|gemini|anthropic|claude|mistral|cohere|rag|vector|llm|chatbot|ai-powered""), ""AI &amp; LLM"",
  REGEXMATCH(A646&amp;B646, ""(?i)twitter|instagram|facebook|linkedin|youtube|tiktok|threads|bluesky|pinterest|social vid"&amp;"eo|reels?|shorts?""), ""Social Media"",
  REGEXMATCH(A646&amp;B646, ""(?i)hubspot|pipedrive|stripe|shopify|woocommerce|sales|crm|invoice|order|leads?|recruitment|bamboohr|erpnext""), ""CRM &amp; Sales"",
  REGEXMATCH(A646&amp;B646, ""(?i)gmail|outlook|calendar|slack|"&amp;"discord|telegram|whatsapp|notion|trello|drive|sheets?|meeting|scheduler|appointment|mattermost""), ""Productivity &amp; Communication"",
  REGEXMATCH(A646&amp;B646, ""(?i)github|api|webhook|http|mysql|supabase|mongodb|redis|rss|pr|code review|incident|pagerduty|j"&amp;"ira""), ""Development &amp; Utilities"",
  TRUE, ""Others""
)"),"CRM &amp; Sales")</f>
        <v>CRM &amp; Sales</v>
      </c>
    </row>
    <row r="647" ht="15.75" customHeight="1">
      <c r="A647" s="14" t="s">
        <v>1280</v>
      </c>
      <c r="B647" s="15" t="s">
        <v>1281</v>
      </c>
      <c r="C647" s="16" t="s">
        <v>7</v>
      </c>
      <c r="D647" s="12" t="str">
        <f>IFERROR(__xludf.DUMMYFUNCTION("IFS(
  REGEXMATCH(A647&amp;B647, ""(?i)openai|gpt|gemini|anthropic|claude|mistral|cohere|rag|vector|llm|chatbot|ai-powered""), ""AI &amp; LLM"",
  REGEXMATCH(A647&amp;B647, ""(?i)twitter|instagram|facebook|linkedin|youtube|tiktok|threads|bluesky|pinterest|social vid"&amp;"eo|reels?|shorts?""), ""Social Media"",
  REGEXMATCH(A647&amp;B647, ""(?i)hubspot|pipedrive|stripe|shopify|woocommerce|sales|crm|invoice|order|leads?|recruitment|bamboohr|erpnext""), ""CRM &amp; Sales"",
  REGEXMATCH(A647&amp;B647, ""(?i)gmail|outlook|calendar|slack|"&amp;"discord|telegram|whatsapp|notion|trello|drive|sheets?|meeting|scheduler|appointment|mattermost""), ""Productivity &amp; Communication"",
  REGEXMATCH(A647&amp;B647, ""(?i)github|api|webhook|http|mysql|supabase|mongodb|redis|rss|pr|code review|incident|pagerduty|j"&amp;"ira""), ""Development &amp; Utilities"",
  TRUE, ""Others""
)"),"Development &amp; Utilities")</f>
        <v>Development &amp; Utilities</v>
      </c>
    </row>
    <row r="648" ht="15.75" customHeight="1">
      <c r="A648" s="14" t="s">
        <v>1282</v>
      </c>
      <c r="B648" s="15" t="s">
        <v>1283</v>
      </c>
      <c r="C648" s="16" t="s">
        <v>7</v>
      </c>
      <c r="D648" s="12" t="str">
        <f>IFERROR(__xludf.DUMMYFUNCTION("IFS(
  REGEXMATCH(A648&amp;B648, ""(?i)openai|gpt|gemini|anthropic|claude|mistral|cohere|rag|vector|llm|chatbot|ai-powered""), ""AI &amp; LLM"",
  REGEXMATCH(A648&amp;B648, ""(?i)twitter|instagram|facebook|linkedin|youtube|tiktok|threads|bluesky|pinterest|social vid"&amp;"eo|reels?|shorts?""), ""Social Media"",
  REGEXMATCH(A648&amp;B648, ""(?i)hubspot|pipedrive|stripe|shopify|woocommerce|sales|crm|invoice|order|leads?|recruitment|bamboohr|erpnext""), ""CRM &amp; Sales"",
  REGEXMATCH(A648&amp;B648, ""(?i)gmail|outlook|calendar|slack|"&amp;"discord|telegram|whatsapp|notion|trello|drive|sheets?|meeting|scheduler|appointment|mattermost""), ""Productivity &amp; Communication"",
  REGEXMATCH(A648&amp;B648, ""(?i)github|api|webhook|http|mysql|supabase|mongodb|redis|rss|pr|code review|incident|pagerduty|j"&amp;"ira""), ""Development &amp; Utilities"",
  TRUE, ""Others""
)"),"AI &amp; LLM")</f>
        <v>AI &amp; LLM</v>
      </c>
    </row>
    <row r="649" ht="15.75" customHeight="1">
      <c r="A649" s="14" t="s">
        <v>1284</v>
      </c>
      <c r="B649" s="15" t="s">
        <v>1285</v>
      </c>
      <c r="C649" s="16" t="s">
        <v>7</v>
      </c>
      <c r="D649" s="12" t="str">
        <f>IFERROR(__xludf.DUMMYFUNCTION("IFS(
  REGEXMATCH(A649&amp;B649, ""(?i)openai|gpt|gemini|anthropic|claude|mistral|cohere|rag|vector|llm|chatbot|ai-powered""), ""AI &amp; LLM"",
  REGEXMATCH(A649&amp;B649, ""(?i)twitter|instagram|facebook|linkedin|youtube|tiktok|threads|bluesky|pinterest|social vid"&amp;"eo|reels?|shorts?""), ""Social Media"",
  REGEXMATCH(A649&amp;B649, ""(?i)hubspot|pipedrive|stripe|shopify|woocommerce|sales|crm|invoice|order|leads?|recruitment|bamboohr|erpnext""), ""CRM &amp; Sales"",
  REGEXMATCH(A649&amp;B649, ""(?i)gmail|outlook|calendar|slack|"&amp;"discord|telegram|whatsapp|notion|trello|drive|sheets?|meeting|scheduler|appointment|mattermost""), ""Productivity &amp; Communication"",
  REGEXMATCH(A649&amp;B649, ""(?i)github|api|webhook|http|mysql|supabase|mongodb|redis|rss|pr|code review|incident|pagerduty|j"&amp;"ira""), ""Development &amp; Utilities"",
  TRUE, ""Others""
)"),"Productivity &amp; Communication")</f>
        <v>Productivity &amp; Communication</v>
      </c>
    </row>
    <row r="650" ht="15.75" customHeight="1">
      <c r="A650" s="14" t="s">
        <v>1286</v>
      </c>
      <c r="B650" s="15" t="s">
        <v>1287</v>
      </c>
      <c r="C650" s="16" t="s">
        <v>7</v>
      </c>
      <c r="D650" s="12" t="str">
        <f>IFERROR(__xludf.DUMMYFUNCTION("IFS(
  REGEXMATCH(A650&amp;B650, ""(?i)openai|gpt|gemini|anthropic|claude|mistral|cohere|rag|vector|llm|chatbot|ai-powered""), ""AI &amp; LLM"",
  REGEXMATCH(A650&amp;B650, ""(?i)twitter|instagram|facebook|linkedin|youtube|tiktok|threads|bluesky|pinterest|social vid"&amp;"eo|reels?|shorts?""), ""Social Media"",
  REGEXMATCH(A650&amp;B650, ""(?i)hubspot|pipedrive|stripe|shopify|woocommerce|sales|crm|invoice|order|leads?|recruitment|bamboohr|erpnext""), ""CRM &amp; Sales"",
  REGEXMATCH(A650&amp;B650, ""(?i)gmail|outlook|calendar|slack|"&amp;"discord|telegram|whatsapp|notion|trello|drive|sheets?|meeting|scheduler|appointment|mattermost""), ""Productivity &amp; Communication"",
  REGEXMATCH(A650&amp;B650, ""(?i)github|api|webhook|http|mysql|supabase|mongodb|redis|rss|pr|code review|incident|pagerduty|j"&amp;"ira""), ""Development &amp; Utilities"",
  TRUE, ""Others""
)"),"AI &amp; LLM")</f>
        <v>AI &amp; LLM</v>
      </c>
    </row>
    <row r="651" ht="15.75" customHeight="1">
      <c r="A651" s="14" t="s">
        <v>1288</v>
      </c>
      <c r="B651" s="15" t="s">
        <v>1289</v>
      </c>
      <c r="C651" s="16" t="s">
        <v>7</v>
      </c>
      <c r="D651" s="12" t="str">
        <f>IFERROR(__xludf.DUMMYFUNCTION("IFS(
  REGEXMATCH(A651&amp;B651, ""(?i)openai|gpt|gemini|anthropic|claude|mistral|cohere|rag|vector|llm|chatbot|ai-powered""), ""AI &amp; LLM"",
  REGEXMATCH(A651&amp;B651, ""(?i)twitter|instagram|facebook|linkedin|youtube|tiktok|threads|bluesky|pinterest|social vid"&amp;"eo|reels?|shorts?""), ""Social Media"",
  REGEXMATCH(A651&amp;B651, ""(?i)hubspot|pipedrive|stripe|shopify|woocommerce|sales|crm|invoice|order|leads?|recruitment|bamboohr|erpnext""), ""CRM &amp; Sales"",
  REGEXMATCH(A651&amp;B651, ""(?i)gmail|outlook|calendar|slack|"&amp;"discord|telegram|whatsapp|notion|trello|drive|sheets?|meeting|scheduler|appointment|mattermost""), ""Productivity &amp; Communication"",
  REGEXMATCH(A651&amp;B651, ""(?i)github|api|webhook|http|mysql|supabase|mongodb|redis|rss|pr|code review|incident|pagerduty|j"&amp;"ira""), ""Development &amp; Utilities"",
  TRUE, ""Others""
)"),"Productivity &amp; Communication")</f>
        <v>Productivity &amp; Communication</v>
      </c>
    </row>
    <row r="652" ht="15.75" customHeight="1">
      <c r="A652" s="14" t="s">
        <v>1290</v>
      </c>
      <c r="B652" s="15" t="s">
        <v>1291</v>
      </c>
      <c r="C652" s="16" t="s">
        <v>7</v>
      </c>
      <c r="D652" s="12" t="str">
        <f>IFERROR(__xludf.DUMMYFUNCTION("IFS(
  REGEXMATCH(A652&amp;B652, ""(?i)openai|gpt|gemini|anthropic|claude|mistral|cohere|rag|vector|llm|chatbot|ai-powered""), ""AI &amp; LLM"",
  REGEXMATCH(A652&amp;B652, ""(?i)twitter|instagram|facebook|linkedin|youtube|tiktok|threads|bluesky|pinterest|social vid"&amp;"eo|reels?|shorts?""), ""Social Media"",
  REGEXMATCH(A652&amp;B652, ""(?i)hubspot|pipedrive|stripe|shopify|woocommerce|sales|crm|invoice|order|leads?|recruitment|bamboohr|erpnext""), ""CRM &amp; Sales"",
  REGEXMATCH(A652&amp;B652, ""(?i)gmail|outlook|calendar|slack|"&amp;"discord|telegram|whatsapp|notion|trello|drive|sheets?|meeting|scheduler|appointment|mattermost""), ""Productivity &amp; Communication"",
  REGEXMATCH(A652&amp;B652, ""(?i)github|api|webhook|http|mysql|supabase|mongodb|redis|rss|pr|code review|incident|pagerduty|j"&amp;"ira""), ""Development &amp; Utilities"",
  TRUE, ""Others""
)"),"AI &amp; LLM")</f>
        <v>AI &amp; LLM</v>
      </c>
    </row>
    <row r="653" ht="15.75" customHeight="1">
      <c r="A653" s="14" t="s">
        <v>1292</v>
      </c>
      <c r="B653" s="15" t="s">
        <v>1293</v>
      </c>
      <c r="C653" s="16" t="s">
        <v>7</v>
      </c>
      <c r="D653" s="12" t="str">
        <f>IFERROR(__xludf.DUMMYFUNCTION("IFS(
  REGEXMATCH(A653&amp;B653, ""(?i)openai|gpt|gemini|anthropic|claude|mistral|cohere|rag|vector|llm|chatbot|ai-powered""), ""AI &amp; LLM"",
  REGEXMATCH(A653&amp;B653, ""(?i)twitter|instagram|facebook|linkedin|youtube|tiktok|threads|bluesky|pinterest|social vid"&amp;"eo|reels?|shorts?""), ""Social Media"",
  REGEXMATCH(A653&amp;B653, ""(?i)hubspot|pipedrive|stripe|shopify|woocommerce|sales|crm|invoice|order|leads?|recruitment|bamboohr|erpnext""), ""CRM &amp; Sales"",
  REGEXMATCH(A653&amp;B653, ""(?i)gmail|outlook|calendar|slack|"&amp;"discord|telegram|whatsapp|notion|trello|drive|sheets?|meeting|scheduler|appointment|mattermost""), ""Productivity &amp; Communication"",
  REGEXMATCH(A653&amp;B653, ""(?i)github|api|webhook|http|mysql|supabase|mongodb|redis|rss|pr|code review|incident|pagerduty|j"&amp;"ira""), ""Development &amp; Utilities"",
  TRUE, ""Others""
)"),"Others")</f>
        <v>Others</v>
      </c>
    </row>
    <row r="654" ht="15.75" customHeight="1">
      <c r="A654" s="14" t="s">
        <v>1294</v>
      </c>
      <c r="B654" s="15" t="s">
        <v>1295</v>
      </c>
      <c r="C654" s="16" t="s">
        <v>7</v>
      </c>
      <c r="D654" s="12" t="str">
        <f>IFERROR(__xludf.DUMMYFUNCTION("IFS(
  REGEXMATCH(A654&amp;B654, ""(?i)openai|gpt|gemini|anthropic|claude|mistral|cohere|rag|vector|llm|chatbot|ai-powered""), ""AI &amp; LLM"",
  REGEXMATCH(A654&amp;B654, ""(?i)twitter|instagram|facebook|linkedin|youtube|tiktok|threads|bluesky|pinterest|social vid"&amp;"eo|reels?|shorts?""), ""Social Media"",
  REGEXMATCH(A654&amp;B654, ""(?i)hubspot|pipedrive|stripe|shopify|woocommerce|sales|crm|invoice|order|leads?|recruitment|bamboohr|erpnext""), ""CRM &amp; Sales"",
  REGEXMATCH(A654&amp;B654, ""(?i)gmail|outlook|calendar|slack|"&amp;"discord|telegram|whatsapp|notion|trello|drive|sheets?|meeting|scheduler|appointment|mattermost""), ""Productivity &amp; Communication"",
  REGEXMATCH(A654&amp;B654, ""(?i)github|api|webhook|http|mysql|supabase|mongodb|redis|rss|pr|code review|incident|pagerduty|j"&amp;"ira""), ""Development &amp; Utilities"",
  TRUE, ""Others""
)"),"Productivity &amp; Communication")</f>
        <v>Productivity &amp; Communication</v>
      </c>
    </row>
    <row r="655" ht="15.75" customHeight="1">
      <c r="A655" s="14" t="s">
        <v>1296</v>
      </c>
      <c r="B655" s="15" t="s">
        <v>1297</v>
      </c>
      <c r="C655" s="16" t="s">
        <v>7</v>
      </c>
      <c r="D655" s="12" t="str">
        <f>IFERROR(__xludf.DUMMYFUNCTION("IFS(
  REGEXMATCH(A655&amp;B655, ""(?i)openai|gpt|gemini|anthropic|claude|mistral|cohere|rag|vector|llm|chatbot|ai-powered""), ""AI &amp; LLM"",
  REGEXMATCH(A655&amp;B655, ""(?i)twitter|instagram|facebook|linkedin|youtube|tiktok|threads|bluesky|pinterest|social vid"&amp;"eo|reels?|shorts?""), ""Social Media"",
  REGEXMATCH(A655&amp;B655, ""(?i)hubspot|pipedrive|stripe|shopify|woocommerce|sales|crm|invoice|order|leads?|recruitment|bamboohr|erpnext""), ""CRM &amp; Sales"",
  REGEXMATCH(A655&amp;B655, ""(?i)gmail|outlook|calendar|slack|"&amp;"discord|telegram|whatsapp|notion|trello|drive|sheets?|meeting|scheduler|appointment|mattermost""), ""Productivity &amp; Communication"",
  REGEXMATCH(A655&amp;B655, ""(?i)github|api|webhook|http|mysql|supabase|mongodb|redis|rss|pr|code review|incident|pagerduty|j"&amp;"ira""), ""Development &amp; Utilities"",
  TRUE, ""Others""
)"),"AI &amp; LLM")</f>
        <v>AI &amp; LLM</v>
      </c>
    </row>
    <row r="656" ht="15.75" customHeight="1">
      <c r="A656" s="14" t="s">
        <v>1298</v>
      </c>
      <c r="B656" s="15" t="s">
        <v>1299</v>
      </c>
      <c r="C656" s="16" t="s">
        <v>7</v>
      </c>
      <c r="D656" s="12" t="str">
        <f>IFERROR(__xludf.DUMMYFUNCTION("IFS(
  REGEXMATCH(A656&amp;B656, ""(?i)openai|gpt|gemini|anthropic|claude|mistral|cohere|rag|vector|llm|chatbot|ai-powered""), ""AI &amp; LLM"",
  REGEXMATCH(A656&amp;B656, ""(?i)twitter|instagram|facebook|linkedin|youtube|tiktok|threads|bluesky|pinterest|social vid"&amp;"eo|reels?|shorts?""), ""Social Media"",
  REGEXMATCH(A656&amp;B656, ""(?i)hubspot|pipedrive|stripe|shopify|woocommerce|sales|crm|invoice|order|leads?|recruitment|bamboohr|erpnext""), ""CRM &amp; Sales"",
  REGEXMATCH(A656&amp;B656, ""(?i)gmail|outlook|calendar|slack|"&amp;"discord|telegram|whatsapp|notion|trello|drive|sheets?|meeting|scheduler|appointment|mattermost""), ""Productivity &amp; Communication"",
  REGEXMATCH(A656&amp;B656, ""(?i)github|api|webhook|http|mysql|supabase|mongodb|redis|rss|pr|code review|incident|pagerduty|j"&amp;"ira""), ""Development &amp; Utilities"",
  TRUE, ""Others""
)"),"AI &amp; LLM")</f>
        <v>AI &amp; LLM</v>
      </c>
    </row>
    <row r="657" ht="15.75" customHeight="1">
      <c r="A657" s="14" t="s">
        <v>1300</v>
      </c>
      <c r="B657" s="15" t="s">
        <v>1301</v>
      </c>
      <c r="C657" s="16" t="s">
        <v>7</v>
      </c>
      <c r="D657" s="12" t="str">
        <f>IFERROR(__xludf.DUMMYFUNCTION("IFS(
  REGEXMATCH(A657&amp;B657, ""(?i)openai|gpt|gemini|anthropic|claude|mistral|cohere|rag|vector|llm|chatbot|ai-powered""), ""AI &amp; LLM"",
  REGEXMATCH(A657&amp;B657, ""(?i)twitter|instagram|facebook|linkedin|youtube|tiktok|threads|bluesky|pinterest|social vid"&amp;"eo|reels?|shorts?""), ""Social Media"",
  REGEXMATCH(A657&amp;B657, ""(?i)hubspot|pipedrive|stripe|shopify|woocommerce|sales|crm|invoice|order|leads?|recruitment|bamboohr|erpnext""), ""CRM &amp; Sales"",
  REGEXMATCH(A657&amp;B657, ""(?i)gmail|outlook|calendar|slack|"&amp;"discord|telegram|whatsapp|notion|trello|drive|sheets?|meeting|scheduler|appointment|mattermost""), ""Productivity &amp; Communication"",
  REGEXMATCH(A657&amp;B657, ""(?i)github|api|webhook|http|mysql|supabase|mongodb|redis|rss|pr|code review|incident|pagerduty|j"&amp;"ira""), ""Development &amp; Utilities"",
  TRUE, ""Others""
)"),"AI &amp; LLM")</f>
        <v>AI &amp; LLM</v>
      </c>
    </row>
    <row r="658" ht="15.75" customHeight="1">
      <c r="A658" s="14" t="s">
        <v>1302</v>
      </c>
      <c r="B658" s="15" t="s">
        <v>1303</v>
      </c>
      <c r="C658" s="16" t="s">
        <v>7</v>
      </c>
      <c r="D658" s="12" t="str">
        <f>IFERROR(__xludf.DUMMYFUNCTION("IFS(
  REGEXMATCH(A658&amp;B658, ""(?i)openai|gpt|gemini|anthropic|claude|mistral|cohere|rag|vector|llm|chatbot|ai-powered""), ""AI &amp; LLM"",
  REGEXMATCH(A658&amp;B658, ""(?i)twitter|instagram|facebook|linkedin|youtube|tiktok|threads|bluesky|pinterest|social vid"&amp;"eo|reels?|shorts?""), ""Social Media"",
  REGEXMATCH(A658&amp;B658, ""(?i)hubspot|pipedrive|stripe|shopify|woocommerce|sales|crm|invoice|order|leads?|recruitment|bamboohr|erpnext""), ""CRM &amp; Sales"",
  REGEXMATCH(A658&amp;B658, ""(?i)gmail|outlook|calendar|slack|"&amp;"discord|telegram|whatsapp|notion|trello|drive|sheets?|meeting|scheduler|appointment|mattermost""), ""Productivity &amp; Communication"",
  REGEXMATCH(A658&amp;B658, ""(?i)github|api|webhook|http|mysql|supabase|mongodb|redis|rss|pr|code review|incident|pagerduty|j"&amp;"ira""), ""Development &amp; Utilities"",
  TRUE, ""Others""
)"),"AI &amp; LLM")</f>
        <v>AI &amp; LLM</v>
      </c>
    </row>
    <row r="659" ht="15.75" customHeight="1">
      <c r="A659" s="14" t="s">
        <v>1304</v>
      </c>
      <c r="B659" s="15" t="s">
        <v>1305</v>
      </c>
      <c r="C659" s="16" t="s">
        <v>7</v>
      </c>
      <c r="D659" s="12" t="str">
        <f>IFERROR(__xludf.DUMMYFUNCTION("IFS(
  REGEXMATCH(A659&amp;B659, ""(?i)openai|gpt|gemini|anthropic|claude|mistral|cohere|rag|vector|llm|chatbot|ai-powered""), ""AI &amp; LLM"",
  REGEXMATCH(A659&amp;B659, ""(?i)twitter|instagram|facebook|linkedin|youtube|tiktok|threads|bluesky|pinterest|social vid"&amp;"eo|reels?|shorts?""), ""Social Media"",
  REGEXMATCH(A659&amp;B659, ""(?i)hubspot|pipedrive|stripe|shopify|woocommerce|sales|crm|invoice|order|leads?|recruitment|bamboohr|erpnext""), ""CRM &amp; Sales"",
  REGEXMATCH(A659&amp;B659, ""(?i)gmail|outlook|calendar|slack|"&amp;"discord|telegram|whatsapp|notion|trello|drive|sheets?|meeting|scheduler|appointment|mattermost""), ""Productivity &amp; Communication"",
  REGEXMATCH(A659&amp;B659, ""(?i)github|api|webhook|http|mysql|supabase|mongodb|redis|rss|pr|code review|incident|pagerduty|j"&amp;"ira""), ""Development &amp; Utilities"",
  TRUE, ""Others""
)"),"AI &amp; LLM")</f>
        <v>AI &amp; LLM</v>
      </c>
    </row>
    <row r="660" ht="15.75" customHeight="1">
      <c r="A660" s="14" t="s">
        <v>1306</v>
      </c>
      <c r="B660" s="15" t="s">
        <v>1307</v>
      </c>
      <c r="C660" s="16" t="s">
        <v>7</v>
      </c>
      <c r="D660" s="12" t="str">
        <f>IFERROR(__xludf.DUMMYFUNCTION("IFS(
  REGEXMATCH(A660&amp;B660, ""(?i)openai|gpt|gemini|anthropic|claude|mistral|cohere|rag|vector|llm|chatbot|ai-powered""), ""AI &amp; LLM"",
  REGEXMATCH(A660&amp;B660, ""(?i)twitter|instagram|facebook|linkedin|youtube|tiktok|threads|bluesky|pinterest|social vid"&amp;"eo|reels?|shorts?""), ""Social Media"",
  REGEXMATCH(A660&amp;B660, ""(?i)hubspot|pipedrive|stripe|shopify|woocommerce|sales|crm|invoice|order|leads?|recruitment|bamboohr|erpnext""), ""CRM &amp; Sales"",
  REGEXMATCH(A660&amp;B660, ""(?i)gmail|outlook|calendar|slack|"&amp;"discord|telegram|whatsapp|notion|trello|drive|sheets?|meeting|scheduler|appointment|mattermost""), ""Productivity &amp; Communication"",
  REGEXMATCH(A660&amp;B660, ""(?i)github|api|webhook|http|mysql|supabase|mongodb|redis|rss|pr|code review|incident|pagerduty|j"&amp;"ira""), ""Development &amp; Utilities"",
  TRUE, ""Others""
)"),"AI &amp; LLM")</f>
        <v>AI &amp; LLM</v>
      </c>
    </row>
    <row r="661" ht="15.75" customHeight="1">
      <c r="A661" s="14" t="s">
        <v>1308</v>
      </c>
      <c r="B661" s="15" t="s">
        <v>1309</v>
      </c>
      <c r="C661" s="16" t="s">
        <v>7</v>
      </c>
      <c r="D661" s="12" t="str">
        <f>IFERROR(__xludf.DUMMYFUNCTION("IFS(
  REGEXMATCH(A661&amp;B661, ""(?i)openai|gpt|gemini|anthropic|claude|mistral|cohere|rag|vector|llm|chatbot|ai-powered""), ""AI &amp; LLM"",
  REGEXMATCH(A661&amp;B661, ""(?i)twitter|instagram|facebook|linkedin|youtube|tiktok|threads|bluesky|pinterest|social vid"&amp;"eo|reels?|shorts?""), ""Social Media"",
  REGEXMATCH(A661&amp;B661, ""(?i)hubspot|pipedrive|stripe|shopify|woocommerce|sales|crm|invoice|order|leads?|recruitment|bamboohr|erpnext""), ""CRM &amp; Sales"",
  REGEXMATCH(A661&amp;B661, ""(?i)gmail|outlook|calendar|slack|"&amp;"discord|telegram|whatsapp|notion|trello|drive|sheets?|meeting|scheduler|appointment|mattermost""), ""Productivity &amp; Communication"",
  REGEXMATCH(A661&amp;B661, ""(?i)github|api|webhook|http|mysql|supabase|mongodb|redis|rss|pr|code review|incident|pagerduty|j"&amp;"ira""), ""Development &amp; Utilities"",
  TRUE, ""Others""
)"),"AI &amp; LLM")</f>
        <v>AI &amp; LLM</v>
      </c>
    </row>
    <row r="662" ht="15.75" customHeight="1">
      <c r="A662" s="14" t="s">
        <v>1310</v>
      </c>
      <c r="B662" s="15" t="s">
        <v>1311</v>
      </c>
      <c r="C662" s="16" t="s">
        <v>7</v>
      </c>
      <c r="D662" s="12" t="str">
        <f>IFERROR(__xludf.DUMMYFUNCTION("IFS(
  REGEXMATCH(A662&amp;B662, ""(?i)openai|gpt|gemini|anthropic|claude|mistral|cohere|rag|vector|llm|chatbot|ai-powered""), ""AI &amp; LLM"",
  REGEXMATCH(A662&amp;B662, ""(?i)twitter|instagram|facebook|linkedin|youtube|tiktok|threads|bluesky|pinterest|social vid"&amp;"eo|reels?|shorts?""), ""Social Media"",
  REGEXMATCH(A662&amp;B662, ""(?i)hubspot|pipedrive|stripe|shopify|woocommerce|sales|crm|invoice|order|leads?|recruitment|bamboohr|erpnext""), ""CRM &amp; Sales"",
  REGEXMATCH(A662&amp;B662, ""(?i)gmail|outlook|calendar|slack|"&amp;"discord|telegram|whatsapp|notion|trello|drive|sheets?|meeting|scheduler|appointment|mattermost""), ""Productivity &amp; Communication"",
  REGEXMATCH(A662&amp;B662, ""(?i)github|api|webhook|http|mysql|supabase|mongodb|redis|rss|pr|code review|incident|pagerduty|j"&amp;"ira""), ""Development &amp; Utilities"",
  TRUE, ""Others""
)"),"AI &amp; LLM")</f>
        <v>AI &amp; LLM</v>
      </c>
    </row>
    <row r="663" ht="15.75" customHeight="1">
      <c r="A663" s="14" t="s">
        <v>1312</v>
      </c>
      <c r="B663" s="15" t="s">
        <v>1313</v>
      </c>
      <c r="C663" s="16" t="s">
        <v>7</v>
      </c>
      <c r="D663" s="12" t="str">
        <f>IFERROR(__xludf.DUMMYFUNCTION("IFS(
  REGEXMATCH(A663&amp;B663, ""(?i)openai|gpt|gemini|anthropic|claude|mistral|cohere|rag|vector|llm|chatbot|ai-powered""), ""AI &amp; LLM"",
  REGEXMATCH(A663&amp;B663, ""(?i)twitter|instagram|facebook|linkedin|youtube|tiktok|threads|bluesky|pinterest|social vid"&amp;"eo|reels?|shorts?""), ""Social Media"",
  REGEXMATCH(A663&amp;B663, ""(?i)hubspot|pipedrive|stripe|shopify|woocommerce|sales|crm|invoice|order|leads?|recruitment|bamboohr|erpnext""), ""CRM &amp; Sales"",
  REGEXMATCH(A663&amp;B663, ""(?i)gmail|outlook|calendar|slack|"&amp;"discord|telegram|whatsapp|notion|trello|drive|sheets?|meeting|scheduler|appointment|mattermost""), ""Productivity &amp; Communication"",
  REGEXMATCH(A663&amp;B663, ""(?i)github|api|webhook|http|mysql|supabase|mongodb|redis|rss|pr|code review|incident|pagerduty|j"&amp;"ira""), ""Development &amp; Utilities"",
  TRUE, ""Others""
)"),"AI &amp; LLM")</f>
        <v>AI &amp; LLM</v>
      </c>
    </row>
    <row r="664" ht="15.75" customHeight="1">
      <c r="A664" s="14" t="s">
        <v>1314</v>
      </c>
      <c r="B664" s="15" t="s">
        <v>1315</v>
      </c>
      <c r="C664" s="16" t="s">
        <v>7</v>
      </c>
      <c r="D664" s="12" t="str">
        <f>IFERROR(__xludf.DUMMYFUNCTION("IFS(
  REGEXMATCH(A664&amp;B664, ""(?i)openai|gpt|gemini|anthropic|claude|mistral|cohere|rag|vector|llm|chatbot|ai-powered""), ""AI &amp; LLM"",
  REGEXMATCH(A664&amp;B664, ""(?i)twitter|instagram|facebook|linkedin|youtube|tiktok|threads|bluesky|pinterest|social vid"&amp;"eo|reels?|shorts?""), ""Social Media"",
  REGEXMATCH(A664&amp;B664, ""(?i)hubspot|pipedrive|stripe|shopify|woocommerce|sales|crm|invoice|order|leads?|recruitment|bamboohr|erpnext""), ""CRM &amp; Sales"",
  REGEXMATCH(A664&amp;B664, ""(?i)gmail|outlook|calendar|slack|"&amp;"discord|telegram|whatsapp|notion|trello|drive|sheets?|meeting|scheduler|appointment|mattermost""), ""Productivity &amp; Communication"",
  REGEXMATCH(A664&amp;B664, ""(?i)github|api|webhook|http|mysql|supabase|mongodb|redis|rss|pr|code review|incident|pagerduty|j"&amp;"ira""), ""Development &amp; Utilities"",
  TRUE, ""Others""
)"),"AI &amp; LLM")</f>
        <v>AI &amp; LLM</v>
      </c>
    </row>
    <row r="665" ht="15.75" customHeight="1">
      <c r="A665" s="14" t="s">
        <v>1316</v>
      </c>
      <c r="B665" s="15" t="s">
        <v>1317</v>
      </c>
      <c r="C665" s="16" t="s">
        <v>7</v>
      </c>
      <c r="D665" s="12" t="str">
        <f>IFERROR(__xludf.DUMMYFUNCTION("IFS(
  REGEXMATCH(A665&amp;B665, ""(?i)openai|gpt|gemini|anthropic|claude|mistral|cohere|rag|vector|llm|chatbot|ai-powered""), ""AI &amp; LLM"",
  REGEXMATCH(A665&amp;B665, ""(?i)twitter|instagram|facebook|linkedin|youtube|tiktok|threads|bluesky|pinterest|social vid"&amp;"eo|reels?|shorts?""), ""Social Media"",
  REGEXMATCH(A665&amp;B665, ""(?i)hubspot|pipedrive|stripe|shopify|woocommerce|sales|crm|invoice|order|leads?|recruitment|bamboohr|erpnext""), ""CRM &amp; Sales"",
  REGEXMATCH(A665&amp;B665, ""(?i)gmail|outlook|calendar|slack|"&amp;"discord|telegram|whatsapp|notion|trello|drive|sheets?|meeting|scheduler|appointment|mattermost""), ""Productivity &amp; Communication"",
  REGEXMATCH(A665&amp;B665, ""(?i)github|api|webhook|http|mysql|supabase|mongodb|redis|rss|pr|code review|incident|pagerduty|j"&amp;"ira""), ""Development &amp; Utilities"",
  TRUE, ""Others""
)"),"AI &amp; LLM")</f>
        <v>AI &amp; LLM</v>
      </c>
    </row>
    <row r="666" ht="15.75" customHeight="1">
      <c r="A666" s="14" t="s">
        <v>1318</v>
      </c>
      <c r="B666" s="15" t="s">
        <v>1319</v>
      </c>
      <c r="C666" s="16" t="s">
        <v>7</v>
      </c>
      <c r="D666" s="12" t="str">
        <f>IFERROR(__xludf.DUMMYFUNCTION("IFS(
  REGEXMATCH(A666&amp;B666, ""(?i)openai|gpt|gemini|anthropic|claude|mistral|cohere|rag|vector|llm|chatbot|ai-powered""), ""AI &amp; LLM"",
  REGEXMATCH(A666&amp;B666, ""(?i)twitter|instagram|facebook|linkedin|youtube|tiktok|threads|bluesky|pinterest|social vid"&amp;"eo|reels?|shorts?""), ""Social Media"",
  REGEXMATCH(A666&amp;B666, ""(?i)hubspot|pipedrive|stripe|shopify|woocommerce|sales|crm|invoice|order|leads?|recruitment|bamboohr|erpnext""), ""CRM &amp; Sales"",
  REGEXMATCH(A666&amp;B666, ""(?i)gmail|outlook|calendar|slack|"&amp;"discord|telegram|whatsapp|notion|trello|drive|sheets?|meeting|scheduler|appointment|mattermost""), ""Productivity &amp; Communication"",
  REGEXMATCH(A666&amp;B666, ""(?i)github|api|webhook|http|mysql|supabase|mongodb|redis|rss|pr|code review|incident|pagerduty|j"&amp;"ira""), ""Development &amp; Utilities"",
  TRUE, ""Others""
)"),"AI &amp; LLM")</f>
        <v>AI &amp; LLM</v>
      </c>
    </row>
    <row r="667" ht="15.75" customHeight="1">
      <c r="A667" s="14" t="s">
        <v>938</v>
      </c>
      <c r="B667" s="15" t="s">
        <v>1320</v>
      </c>
      <c r="C667" s="16" t="s">
        <v>7</v>
      </c>
      <c r="D667" s="12" t="str">
        <f>IFERROR(__xludf.DUMMYFUNCTION("IFS(
  REGEXMATCH(A667&amp;B667, ""(?i)openai|gpt|gemini|anthropic|claude|mistral|cohere|rag|vector|llm|chatbot|ai-powered""), ""AI &amp; LLM"",
  REGEXMATCH(A667&amp;B667, ""(?i)twitter|instagram|facebook|linkedin|youtube|tiktok|threads|bluesky|pinterest|social vid"&amp;"eo|reels?|shorts?""), ""Social Media"",
  REGEXMATCH(A667&amp;B667, ""(?i)hubspot|pipedrive|stripe|shopify|woocommerce|sales|crm|invoice|order|leads?|recruitment|bamboohr|erpnext""), ""CRM &amp; Sales"",
  REGEXMATCH(A667&amp;B667, ""(?i)gmail|outlook|calendar|slack|"&amp;"discord|telegram|whatsapp|notion|trello|drive|sheets?|meeting|scheduler|appointment|mattermost""), ""Productivity &amp; Communication"",
  REGEXMATCH(A667&amp;B667, ""(?i)github|api|webhook|http|mysql|supabase|mongodb|redis|rss|pr|code review|incident|pagerduty|j"&amp;"ira""), ""Development &amp; Utilities"",
  TRUE, ""Others""
)"),"AI &amp; LLM")</f>
        <v>AI &amp; LLM</v>
      </c>
    </row>
    <row r="668" ht="15.75" customHeight="1">
      <c r="A668" s="14" t="s">
        <v>1321</v>
      </c>
      <c r="B668" s="15" t="s">
        <v>1322</v>
      </c>
      <c r="C668" s="16" t="s">
        <v>7</v>
      </c>
      <c r="D668" s="12" t="str">
        <f>IFERROR(__xludf.DUMMYFUNCTION("IFS(
  REGEXMATCH(A668&amp;B668, ""(?i)openai|gpt|gemini|anthropic|claude|mistral|cohere|rag|vector|llm|chatbot|ai-powered""), ""AI &amp; LLM"",
  REGEXMATCH(A668&amp;B668, ""(?i)twitter|instagram|facebook|linkedin|youtube|tiktok|threads|bluesky|pinterest|social vid"&amp;"eo|reels?|shorts?""), ""Social Media"",
  REGEXMATCH(A668&amp;B668, ""(?i)hubspot|pipedrive|stripe|shopify|woocommerce|sales|crm|invoice|order|leads?|recruitment|bamboohr|erpnext""), ""CRM &amp; Sales"",
  REGEXMATCH(A668&amp;B668, ""(?i)gmail|outlook|calendar|slack|"&amp;"discord|telegram|whatsapp|notion|trello|drive|sheets?|meeting|scheduler|appointment|mattermost""), ""Productivity &amp; Communication"",
  REGEXMATCH(A668&amp;B668, ""(?i)github|api|webhook|http|mysql|supabase|mongodb|redis|rss|pr|code review|incident|pagerduty|j"&amp;"ira""), ""Development &amp; Utilities"",
  TRUE, ""Others""
)"),"AI &amp; LLM")</f>
        <v>AI &amp; LLM</v>
      </c>
    </row>
    <row r="669" ht="15.75" customHeight="1">
      <c r="A669" s="14" t="s">
        <v>1323</v>
      </c>
      <c r="B669" s="15" t="s">
        <v>1324</v>
      </c>
      <c r="C669" s="16" t="s">
        <v>7</v>
      </c>
      <c r="D669" s="12" t="str">
        <f>IFERROR(__xludf.DUMMYFUNCTION("IFS(
  REGEXMATCH(A669&amp;B669, ""(?i)openai|gpt|gemini|anthropic|claude|mistral|cohere|rag|vector|llm|chatbot|ai-powered""), ""AI &amp; LLM"",
  REGEXMATCH(A669&amp;B669, ""(?i)twitter|instagram|facebook|linkedin|youtube|tiktok|threads|bluesky|pinterest|social vid"&amp;"eo|reels?|shorts?""), ""Social Media"",
  REGEXMATCH(A669&amp;B669, ""(?i)hubspot|pipedrive|stripe|shopify|woocommerce|sales|crm|invoice|order|leads?|recruitment|bamboohr|erpnext""), ""CRM &amp; Sales"",
  REGEXMATCH(A669&amp;B669, ""(?i)gmail|outlook|calendar|slack|"&amp;"discord|telegram|whatsapp|notion|trello|drive|sheets?|meeting|scheduler|appointment|mattermost""), ""Productivity &amp; Communication"",
  REGEXMATCH(A669&amp;B669, ""(?i)github|api|webhook|http|mysql|supabase|mongodb|redis|rss|pr|code review|incident|pagerduty|j"&amp;"ira""), ""Development &amp; Utilities"",
  TRUE, ""Others""
)"),"AI &amp; LLM")</f>
        <v>AI &amp; LLM</v>
      </c>
    </row>
    <row r="670" ht="15.75" customHeight="1">
      <c r="A670" s="14" t="s">
        <v>1325</v>
      </c>
      <c r="B670" s="15" t="s">
        <v>1326</v>
      </c>
      <c r="C670" s="16" t="s">
        <v>7</v>
      </c>
      <c r="D670" s="12" t="str">
        <f>IFERROR(__xludf.DUMMYFUNCTION("IFS(
  REGEXMATCH(A670&amp;B670, ""(?i)openai|gpt|gemini|anthropic|claude|mistral|cohere|rag|vector|llm|chatbot|ai-powered""), ""AI &amp; LLM"",
  REGEXMATCH(A670&amp;B670, ""(?i)twitter|instagram|facebook|linkedin|youtube|tiktok|threads|bluesky|pinterest|social vid"&amp;"eo|reels?|shorts?""), ""Social Media"",
  REGEXMATCH(A670&amp;B670, ""(?i)hubspot|pipedrive|stripe|shopify|woocommerce|sales|crm|invoice|order|leads?|recruitment|bamboohr|erpnext""), ""CRM &amp; Sales"",
  REGEXMATCH(A670&amp;B670, ""(?i)gmail|outlook|calendar|slack|"&amp;"discord|telegram|whatsapp|notion|trello|drive|sheets?|meeting|scheduler|appointment|mattermost""), ""Productivity &amp; Communication"",
  REGEXMATCH(A670&amp;B670, ""(?i)github|api|webhook|http|mysql|supabase|mongodb|redis|rss|pr|code review|incident|pagerduty|j"&amp;"ira""), ""Development &amp; Utilities"",
  TRUE, ""Others""
)"),"AI &amp; LLM")</f>
        <v>AI &amp; LLM</v>
      </c>
    </row>
    <row r="671" ht="15.75" customHeight="1">
      <c r="A671" s="14" t="s">
        <v>1327</v>
      </c>
      <c r="B671" s="15" t="s">
        <v>1328</v>
      </c>
      <c r="C671" s="16" t="s">
        <v>7</v>
      </c>
      <c r="D671" s="12" t="str">
        <f>IFERROR(__xludf.DUMMYFUNCTION("IFS(
  REGEXMATCH(A671&amp;B671, ""(?i)openai|gpt|gemini|anthropic|claude|mistral|cohere|rag|vector|llm|chatbot|ai-powered""), ""AI &amp; LLM"",
  REGEXMATCH(A671&amp;B671, ""(?i)twitter|instagram|facebook|linkedin|youtube|tiktok|threads|bluesky|pinterest|social vid"&amp;"eo|reels?|shorts?""), ""Social Media"",
  REGEXMATCH(A671&amp;B671, ""(?i)hubspot|pipedrive|stripe|shopify|woocommerce|sales|crm|invoice|order|leads?|recruitment|bamboohr|erpnext""), ""CRM &amp; Sales"",
  REGEXMATCH(A671&amp;B671, ""(?i)gmail|outlook|calendar|slack|"&amp;"discord|telegram|whatsapp|notion|trello|drive|sheets?|meeting|scheduler|appointment|mattermost""), ""Productivity &amp; Communication"",
  REGEXMATCH(A671&amp;B671, ""(?i)github|api|webhook|http|mysql|supabase|mongodb|redis|rss|pr|code review|incident|pagerduty|j"&amp;"ira""), ""Development &amp; Utilities"",
  TRUE, ""Others""
)"),"AI &amp; LLM")</f>
        <v>AI &amp; LLM</v>
      </c>
    </row>
    <row r="672" ht="15.75" customHeight="1">
      <c r="A672" s="14" t="s">
        <v>1329</v>
      </c>
      <c r="B672" s="15" t="s">
        <v>1330</v>
      </c>
      <c r="C672" s="16" t="s">
        <v>7</v>
      </c>
      <c r="D672" s="12" t="str">
        <f>IFERROR(__xludf.DUMMYFUNCTION("IFS(
  REGEXMATCH(A672&amp;B672, ""(?i)openai|gpt|gemini|anthropic|claude|mistral|cohere|rag|vector|llm|chatbot|ai-powered""), ""AI &amp; LLM"",
  REGEXMATCH(A672&amp;B672, ""(?i)twitter|instagram|facebook|linkedin|youtube|tiktok|threads|bluesky|pinterest|social vid"&amp;"eo|reels?|shorts?""), ""Social Media"",
  REGEXMATCH(A672&amp;B672, ""(?i)hubspot|pipedrive|stripe|shopify|woocommerce|sales|crm|invoice|order|leads?|recruitment|bamboohr|erpnext""), ""CRM &amp; Sales"",
  REGEXMATCH(A672&amp;B672, ""(?i)gmail|outlook|calendar|slack|"&amp;"discord|telegram|whatsapp|notion|trello|drive|sheets?|meeting|scheduler|appointment|mattermost""), ""Productivity &amp; Communication"",
  REGEXMATCH(A672&amp;B672, ""(?i)github|api|webhook|http|mysql|supabase|mongodb|redis|rss|pr|code review|incident|pagerduty|j"&amp;"ira""), ""Development &amp; Utilities"",
  TRUE, ""Others""
)"),"AI &amp; LLM")</f>
        <v>AI &amp; LLM</v>
      </c>
    </row>
    <row r="673" ht="15.75" customHeight="1">
      <c r="A673" s="14" t="s">
        <v>1331</v>
      </c>
      <c r="B673" s="15" t="s">
        <v>1332</v>
      </c>
      <c r="C673" s="16" t="s">
        <v>7</v>
      </c>
      <c r="D673" s="12" t="str">
        <f>IFERROR(__xludf.DUMMYFUNCTION("IFS(
  REGEXMATCH(A673&amp;B673, ""(?i)openai|gpt|gemini|anthropic|claude|mistral|cohere|rag|vector|llm|chatbot|ai-powered""), ""AI &amp; LLM"",
  REGEXMATCH(A673&amp;B673, ""(?i)twitter|instagram|facebook|linkedin|youtube|tiktok|threads|bluesky|pinterest|social vid"&amp;"eo|reels?|shorts?""), ""Social Media"",
  REGEXMATCH(A673&amp;B673, ""(?i)hubspot|pipedrive|stripe|shopify|woocommerce|sales|crm|invoice|order|leads?|recruitment|bamboohr|erpnext""), ""CRM &amp; Sales"",
  REGEXMATCH(A673&amp;B673, ""(?i)gmail|outlook|calendar|slack|"&amp;"discord|telegram|whatsapp|notion|trello|drive|sheets?|meeting|scheduler|appointment|mattermost""), ""Productivity &amp; Communication"",
  REGEXMATCH(A673&amp;B673, ""(?i)github|api|webhook|http|mysql|supabase|mongodb|redis|rss|pr|code review|incident|pagerduty|j"&amp;"ira""), ""Development &amp; Utilities"",
  TRUE, ""Others""
)"),"AI &amp; LLM")</f>
        <v>AI &amp; LLM</v>
      </c>
    </row>
    <row r="674" ht="15.75" customHeight="1">
      <c r="A674" s="14" t="s">
        <v>1333</v>
      </c>
      <c r="B674" s="15" t="s">
        <v>1334</v>
      </c>
      <c r="C674" s="16" t="s">
        <v>7</v>
      </c>
      <c r="D674" s="12" t="str">
        <f>IFERROR(__xludf.DUMMYFUNCTION("IFS(
  REGEXMATCH(A674&amp;B674, ""(?i)openai|gpt|gemini|anthropic|claude|mistral|cohere|rag|vector|llm|chatbot|ai-powered""), ""AI &amp; LLM"",
  REGEXMATCH(A674&amp;B674, ""(?i)twitter|instagram|facebook|linkedin|youtube|tiktok|threads|bluesky|pinterest|social vid"&amp;"eo|reels?|shorts?""), ""Social Media"",
  REGEXMATCH(A674&amp;B674, ""(?i)hubspot|pipedrive|stripe|shopify|woocommerce|sales|crm|invoice|order|leads?|recruitment|bamboohr|erpnext""), ""CRM &amp; Sales"",
  REGEXMATCH(A674&amp;B674, ""(?i)gmail|outlook|calendar|slack|"&amp;"discord|telegram|whatsapp|notion|trello|drive|sheets?|meeting|scheduler|appointment|mattermost""), ""Productivity &amp; Communication"",
  REGEXMATCH(A674&amp;B674, ""(?i)github|api|webhook|http|mysql|supabase|mongodb|redis|rss|pr|code review|incident|pagerduty|j"&amp;"ira""), ""Development &amp; Utilities"",
  TRUE, ""Others""
)"),"AI &amp; LLM")</f>
        <v>AI &amp; LLM</v>
      </c>
    </row>
    <row r="675" ht="15.75" customHeight="1">
      <c r="A675" s="14" t="s">
        <v>1335</v>
      </c>
      <c r="B675" s="15" t="s">
        <v>1336</v>
      </c>
      <c r="C675" s="16" t="s">
        <v>7</v>
      </c>
      <c r="D675" s="12" t="str">
        <f>IFERROR(__xludf.DUMMYFUNCTION("IFS(
  REGEXMATCH(A675&amp;B675, ""(?i)openai|gpt|gemini|anthropic|claude|mistral|cohere|rag|vector|llm|chatbot|ai-powered""), ""AI &amp; LLM"",
  REGEXMATCH(A675&amp;B675, ""(?i)twitter|instagram|facebook|linkedin|youtube|tiktok|threads|bluesky|pinterest|social vid"&amp;"eo|reels?|shorts?""), ""Social Media"",
  REGEXMATCH(A675&amp;B675, ""(?i)hubspot|pipedrive|stripe|shopify|woocommerce|sales|crm|invoice|order|leads?|recruitment|bamboohr|erpnext""), ""CRM &amp; Sales"",
  REGEXMATCH(A675&amp;B675, ""(?i)gmail|outlook|calendar|slack|"&amp;"discord|telegram|whatsapp|notion|trello|drive|sheets?|meeting|scheduler|appointment|mattermost""), ""Productivity &amp; Communication"",
  REGEXMATCH(A675&amp;B675, ""(?i)github|api|webhook|http|mysql|supabase|mongodb|redis|rss|pr|code review|incident|pagerduty|j"&amp;"ira""), ""Development &amp; Utilities"",
  TRUE, ""Others""
)"),"Productivity &amp; Communication")</f>
        <v>Productivity &amp; Communication</v>
      </c>
    </row>
    <row r="676" ht="15.75" customHeight="1">
      <c r="A676" s="14" t="s">
        <v>1337</v>
      </c>
      <c r="B676" s="15" t="s">
        <v>1338</v>
      </c>
      <c r="C676" s="16" t="s">
        <v>7</v>
      </c>
      <c r="D676" s="12" t="str">
        <f>IFERROR(__xludf.DUMMYFUNCTION("IFS(
  REGEXMATCH(A676&amp;B676, ""(?i)openai|gpt|gemini|anthropic|claude|mistral|cohere|rag|vector|llm|chatbot|ai-powered""), ""AI &amp; LLM"",
  REGEXMATCH(A676&amp;B676, ""(?i)twitter|instagram|facebook|linkedin|youtube|tiktok|threads|bluesky|pinterest|social vid"&amp;"eo|reels?|shorts?""), ""Social Media"",
  REGEXMATCH(A676&amp;B676, ""(?i)hubspot|pipedrive|stripe|shopify|woocommerce|sales|crm|invoice|order|leads?|recruitment|bamboohr|erpnext""), ""CRM &amp; Sales"",
  REGEXMATCH(A676&amp;B676, ""(?i)gmail|outlook|calendar|slack|"&amp;"discord|telegram|whatsapp|notion|trello|drive|sheets?|meeting|scheduler|appointment|mattermost""), ""Productivity &amp; Communication"",
  REGEXMATCH(A676&amp;B676, ""(?i)github|api|webhook|http|mysql|supabase|mongodb|redis|rss|pr|code review|incident|pagerduty|j"&amp;"ira""), ""Development &amp; Utilities"",
  TRUE, ""Others""
)"),"AI &amp; LLM")</f>
        <v>AI &amp; LLM</v>
      </c>
    </row>
    <row r="677" ht="15.75" customHeight="1">
      <c r="A677" s="14" t="s">
        <v>1339</v>
      </c>
      <c r="B677" s="15" t="s">
        <v>1340</v>
      </c>
      <c r="C677" s="16" t="s">
        <v>7</v>
      </c>
      <c r="D677" s="12" t="str">
        <f>IFERROR(__xludf.DUMMYFUNCTION("IFS(
  REGEXMATCH(A677&amp;B677, ""(?i)openai|gpt|gemini|anthropic|claude|mistral|cohere|rag|vector|llm|chatbot|ai-powered""), ""AI &amp; LLM"",
  REGEXMATCH(A677&amp;B677, ""(?i)twitter|instagram|facebook|linkedin|youtube|tiktok|threads|bluesky|pinterest|social vid"&amp;"eo|reels?|shorts?""), ""Social Media"",
  REGEXMATCH(A677&amp;B677, ""(?i)hubspot|pipedrive|stripe|shopify|woocommerce|sales|crm|invoice|order|leads?|recruitment|bamboohr|erpnext""), ""CRM &amp; Sales"",
  REGEXMATCH(A677&amp;B677, ""(?i)gmail|outlook|calendar|slack|"&amp;"discord|telegram|whatsapp|notion|trello|drive|sheets?|meeting|scheduler|appointment|mattermost""), ""Productivity &amp; Communication"",
  REGEXMATCH(A677&amp;B677, ""(?i)github|api|webhook|http|mysql|supabase|mongodb|redis|rss|pr|code review|incident|pagerduty|j"&amp;"ira""), ""Development &amp; Utilities"",
  TRUE, ""Others""
)"),"Productivity &amp; Communication")</f>
        <v>Productivity &amp; Communication</v>
      </c>
    </row>
    <row r="678" ht="15.75" customHeight="1">
      <c r="A678" s="14" t="s">
        <v>1341</v>
      </c>
      <c r="B678" s="15" t="s">
        <v>1342</v>
      </c>
      <c r="C678" s="16" t="s">
        <v>7</v>
      </c>
      <c r="D678" s="12" t="str">
        <f>IFERROR(__xludf.DUMMYFUNCTION("IFS(
  REGEXMATCH(A678&amp;B678, ""(?i)openai|gpt|gemini|anthropic|claude|mistral|cohere|rag|vector|llm|chatbot|ai-powered""), ""AI &amp; LLM"",
  REGEXMATCH(A678&amp;B678, ""(?i)twitter|instagram|facebook|linkedin|youtube|tiktok|threads|bluesky|pinterest|social vid"&amp;"eo|reels?|shorts?""), ""Social Media"",
  REGEXMATCH(A678&amp;B678, ""(?i)hubspot|pipedrive|stripe|shopify|woocommerce|sales|crm|invoice|order|leads?|recruitment|bamboohr|erpnext""), ""CRM &amp; Sales"",
  REGEXMATCH(A678&amp;B678, ""(?i)gmail|outlook|calendar|slack|"&amp;"discord|telegram|whatsapp|notion|trello|drive|sheets?|meeting|scheduler|appointment|mattermost""), ""Productivity &amp; Communication"",
  REGEXMATCH(A678&amp;B678, ""(?i)github|api|webhook|http|mysql|supabase|mongodb|redis|rss|pr|code review|incident|pagerduty|j"&amp;"ira""), ""Development &amp; Utilities"",
  TRUE, ""Others""
)"),"AI &amp; LLM")</f>
        <v>AI &amp; LLM</v>
      </c>
    </row>
    <row r="679" ht="15.75" customHeight="1">
      <c r="A679" s="14" t="s">
        <v>1343</v>
      </c>
      <c r="B679" s="15" t="s">
        <v>1344</v>
      </c>
      <c r="C679" s="16" t="s">
        <v>7</v>
      </c>
      <c r="D679" s="12" t="str">
        <f>IFERROR(__xludf.DUMMYFUNCTION("IFS(
  REGEXMATCH(A679&amp;B679, ""(?i)openai|gpt|gemini|anthropic|claude|mistral|cohere|rag|vector|llm|chatbot|ai-powered""), ""AI &amp; LLM"",
  REGEXMATCH(A679&amp;B679, ""(?i)twitter|instagram|facebook|linkedin|youtube|tiktok|threads|bluesky|pinterest|social vid"&amp;"eo|reels?|shorts?""), ""Social Media"",
  REGEXMATCH(A679&amp;B679, ""(?i)hubspot|pipedrive|stripe|shopify|woocommerce|sales|crm|invoice|order|leads?|recruitment|bamboohr|erpnext""), ""CRM &amp; Sales"",
  REGEXMATCH(A679&amp;B679, ""(?i)gmail|outlook|calendar|slack|"&amp;"discord|telegram|whatsapp|notion|trello|drive|sheets?|meeting|scheduler|appointment|mattermost""), ""Productivity &amp; Communication"",
  REGEXMATCH(A679&amp;B679, ""(?i)github|api|webhook|http|mysql|supabase|mongodb|redis|rss|pr|code review|incident|pagerduty|j"&amp;"ira""), ""Development &amp; Utilities"",
  TRUE, ""Others""
)"),"Productivity &amp; Communication")</f>
        <v>Productivity &amp; Communication</v>
      </c>
    </row>
    <row r="680" ht="15.75" customHeight="1">
      <c r="A680" s="14" t="s">
        <v>1345</v>
      </c>
      <c r="B680" s="15" t="s">
        <v>1346</v>
      </c>
      <c r="C680" s="16" t="s">
        <v>7</v>
      </c>
      <c r="D680" s="12" t="str">
        <f>IFERROR(__xludf.DUMMYFUNCTION("IFS(
  REGEXMATCH(A680&amp;B680, ""(?i)openai|gpt|gemini|anthropic|claude|mistral|cohere|rag|vector|llm|chatbot|ai-powered""), ""AI &amp; LLM"",
  REGEXMATCH(A680&amp;B680, ""(?i)twitter|instagram|facebook|linkedin|youtube|tiktok|threads|bluesky|pinterest|social vid"&amp;"eo|reels?|shorts?""), ""Social Media"",
  REGEXMATCH(A680&amp;B680, ""(?i)hubspot|pipedrive|stripe|shopify|woocommerce|sales|crm|invoice|order|leads?|recruitment|bamboohr|erpnext""), ""CRM &amp; Sales"",
  REGEXMATCH(A680&amp;B680, ""(?i)gmail|outlook|calendar|slack|"&amp;"discord|telegram|whatsapp|notion|trello|drive|sheets?|meeting|scheduler|appointment|mattermost""), ""Productivity &amp; Communication"",
  REGEXMATCH(A680&amp;B680, ""(?i)github|api|webhook|http|mysql|supabase|mongodb|redis|rss|pr|code review|incident|pagerduty|j"&amp;"ira""), ""Development &amp; Utilities"",
  TRUE, ""Others""
)"),"AI &amp; LLM")</f>
        <v>AI &amp; LLM</v>
      </c>
    </row>
    <row r="681" ht="15.75" customHeight="1">
      <c r="A681" s="14" t="s">
        <v>1347</v>
      </c>
      <c r="B681" s="15" t="s">
        <v>1348</v>
      </c>
      <c r="C681" s="16" t="s">
        <v>7</v>
      </c>
      <c r="D681" s="12" t="str">
        <f>IFERROR(__xludf.DUMMYFUNCTION("IFS(
  REGEXMATCH(A681&amp;B681, ""(?i)openai|gpt|gemini|anthropic|claude|mistral|cohere|rag|vector|llm|chatbot|ai-powered""), ""AI &amp; LLM"",
  REGEXMATCH(A681&amp;B681, ""(?i)twitter|instagram|facebook|linkedin|youtube|tiktok|threads|bluesky|pinterest|social vid"&amp;"eo|reels?|shorts?""), ""Social Media"",
  REGEXMATCH(A681&amp;B681, ""(?i)hubspot|pipedrive|stripe|shopify|woocommerce|sales|crm|invoice|order|leads?|recruitment|bamboohr|erpnext""), ""CRM &amp; Sales"",
  REGEXMATCH(A681&amp;B681, ""(?i)gmail|outlook|calendar|slack|"&amp;"discord|telegram|whatsapp|notion|trello|drive|sheets?|meeting|scheduler|appointment|mattermost""), ""Productivity &amp; Communication"",
  REGEXMATCH(A681&amp;B681, ""(?i)github|api|webhook|http|mysql|supabase|mongodb|redis|rss|pr|code review|incident|pagerduty|j"&amp;"ira""), ""Development &amp; Utilities"",
  TRUE, ""Others""
)"),"AI &amp; LLM")</f>
        <v>AI &amp; LLM</v>
      </c>
    </row>
    <row r="682" ht="15.75" customHeight="1">
      <c r="A682" s="14" t="s">
        <v>1349</v>
      </c>
      <c r="B682" s="15" t="s">
        <v>1350</v>
      </c>
      <c r="C682" s="16" t="s">
        <v>7</v>
      </c>
      <c r="D682" s="12" t="str">
        <f>IFERROR(__xludf.DUMMYFUNCTION("IFS(
  REGEXMATCH(A682&amp;B682, ""(?i)openai|gpt|gemini|anthropic|claude|mistral|cohere|rag|vector|llm|chatbot|ai-powered""), ""AI &amp; LLM"",
  REGEXMATCH(A682&amp;B682, ""(?i)twitter|instagram|facebook|linkedin|youtube|tiktok|threads|bluesky|pinterest|social vid"&amp;"eo|reels?|shorts?""), ""Social Media"",
  REGEXMATCH(A682&amp;B682, ""(?i)hubspot|pipedrive|stripe|shopify|woocommerce|sales|crm|invoice|order|leads?|recruitment|bamboohr|erpnext""), ""CRM &amp; Sales"",
  REGEXMATCH(A682&amp;B682, ""(?i)gmail|outlook|calendar|slack|"&amp;"discord|telegram|whatsapp|notion|trello|drive|sheets?|meeting|scheduler|appointment|mattermost""), ""Productivity &amp; Communication"",
  REGEXMATCH(A682&amp;B682, ""(?i)github|api|webhook|http|mysql|supabase|mongodb|redis|rss|pr|code review|incident|pagerduty|j"&amp;"ira""), ""Development &amp; Utilities"",
  TRUE, ""Others""
)"),"AI &amp; LLM")</f>
        <v>AI &amp; LLM</v>
      </c>
    </row>
    <row r="683" ht="15.75" customHeight="1">
      <c r="A683" s="14" t="s">
        <v>1351</v>
      </c>
      <c r="B683" s="15" t="s">
        <v>1352</v>
      </c>
      <c r="C683" s="16" t="s">
        <v>7</v>
      </c>
      <c r="D683" s="12" t="str">
        <f>IFERROR(__xludf.DUMMYFUNCTION("IFS(
  REGEXMATCH(A683&amp;B683, ""(?i)openai|gpt|gemini|anthropic|claude|mistral|cohere|rag|vector|llm|chatbot|ai-powered""), ""AI &amp; LLM"",
  REGEXMATCH(A683&amp;B683, ""(?i)twitter|instagram|facebook|linkedin|youtube|tiktok|threads|bluesky|pinterest|social vid"&amp;"eo|reels?|shorts?""), ""Social Media"",
  REGEXMATCH(A683&amp;B683, ""(?i)hubspot|pipedrive|stripe|shopify|woocommerce|sales|crm|invoice|order|leads?|recruitment|bamboohr|erpnext""), ""CRM &amp; Sales"",
  REGEXMATCH(A683&amp;B683, ""(?i)gmail|outlook|calendar|slack|"&amp;"discord|telegram|whatsapp|notion|trello|drive|sheets?|meeting|scheduler|appointment|mattermost""), ""Productivity &amp; Communication"",
  REGEXMATCH(A683&amp;B683, ""(?i)github|api|webhook|http|mysql|supabase|mongodb|redis|rss|pr|code review|incident|pagerduty|j"&amp;"ira""), ""Development &amp; Utilities"",
  TRUE, ""Others""
)"),"AI &amp; LLM")</f>
        <v>AI &amp; LLM</v>
      </c>
    </row>
    <row r="684" ht="15.75" customHeight="1">
      <c r="A684" s="14" t="s">
        <v>1353</v>
      </c>
      <c r="B684" s="15" t="s">
        <v>1354</v>
      </c>
      <c r="C684" s="16" t="s">
        <v>7</v>
      </c>
      <c r="D684" s="12" t="str">
        <f>IFERROR(__xludf.DUMMYFUNCTION("IFS(
  REGEXMATCH(A684&amp;B684, ""(?i)openai|gpt|gemini|anthropic|claude|mistral|cohere|rag|vector|llm|chatbot|ai-powered""), ""AI &amp; LLM"",
  REGEXMATCH(A684&amp;B684, ""(?i)twitter|instagram|facebook|linkedin|youtube|tiktok|threads|bluesky|pinterest|social vid"&amp;"eo|reels?|shorts?""), ""Social Media"",
  REGEXMATCH(A684&amp;B684, ""(?i)hubspot|pipedrive|stripe|shopify|woocommerce|sales|crm|invoice|order|leads?|recruitment|bamboohr|erpnext""), ""CRM &amp; Sales"",
  REGEXMATCH(A684&amp;B684, ""(?i)gmail|outlook|calendar|slack|"&amp;"discord|telegram|whatsapp|notion|trello|drive|sheets?|meeting|scheduler|appointment|mattermost""), ""Productivity &amp; Communication"",
  REGEXMATCH(A684&amp;B684, ""(?i)github|api|webhook|http|mysql|supabase|mongodb|redis|rss|pr|code review|incident|pagerduty|j"&amp;"ira""), ""Development &amp; Utilities"",
  TRUE, ""Others""
)"),"AI &amp; LLM")</f>
        <v>AI &amp; LLM</v>
      </c>
    </row>
    <row r="685" ht="15.75" customHeight="1">
      <c r="A685" s="14" t="s">
        <v>1355</v>
      </c>
      <c r="B685" s="15" t="s">
        <v>1356</v>
      </c>
      <c r="C685" s="16" t="s">
        <v>7</v>
      </c>
      <c r="D685" s="12" t="str">
        <f>IFERROR(__xludf.DUMMYFUNCTION("IFS(
  REGEXMATCH(A685&amp;B685, ""(?i)openai|gpt|gemini|anthropic|claude|mistral|cohere|rag|vector|llm|chatbot|ai-powered""), ""AI &amp; LLM"",
  REGEXMATCH(A685&amp;B685, ""(?i)twitter|instagram|facebook|linkedin|youtube|tiktok|threads|bluesky|pinterest|social vid"&amp;"eo|reels?|shorts?""), ""Social Media"",
  REGEXMATCH(A685&amp;B685, ""(?i)hubspot|pipedrive|stripe|shopify|woocommerce|sales|crm|invoice|order|leads?|recruitment|bamboohr|erpnext""), ""CRM &amp; Sales"",
  REGEXMATCH(A685&amp;B685, ""(?i)gmail|outlook|calendar|slack|"&amp;"discord|telegram|whatsapp|notion|trello|drive|sheets?|meeting|scheduler|appointment|mattermost""), ""Productivity &amp; Communication"",
  REGEXMATCH(A685&amp;B685, ""(?i)github|api|webhook|http|mysql|supabase|mongodb|redis|rss|pr|code review|incident|pagerduty|j"&amp;"ira""), ""Development &amp; Utilities"",
  TRUE, ""Others""
)"),"AI &amp; LLM")</f>
        <v>AI &amp; LLM</v>
      </c>
    </row>
    <row r="686" ht="15.75" customHeight="1">
      <c r="A686" s="14" t="s">
        <v>1357</v>
      </c>
      <c r="B686" s="15" t="s">
        <v>1358</v>
      </c>
      <c r="C686" s="16" t="s">
        <v>7</v>
      </c>
      <c r="D686" s="12" t="str">
        <f>IFERROR(__xludf.DUMMYFUNCTION("IFS(
  REGEXMATCH(A686&amp;B686, ""(?i)openai|gpt|gemini|anthropic|claude|mistral|cohere|rag|vector|llm|chatbot|ai-powered""), ""AI &amp; LLM"",
  REGEXMATCH(A686&amp;B686, ""(?i)twitter|instagram|facebook|linkedin|youtube|tiktok|threads|bluesky|pinterest|social vid"&amp;"eo|reels?|shorts?""), ""Social Media"",
  REGEXMATCH(A686&amp;B686, ""(?i)hubspot|pipedrive|stripe|shopify|woocommerce|sales|crm|invoice|order|leads?|recruitment|bamboohr|erpnext""), ""CRM &amp; Sales"",
  REGEXMATCH(A686&amp;B686, ""(?i)gmail|outlook|calendar|slack|"&amp;"discord|telegram|whatsapp|notion|trello|drive|sheets?|meeting|scheduler|appointment|mattermost""), ""Productivity &amp; Communication"",
  REGEXMATCH(A686&amp;B686, ""(?i)github|api|webhook|http|mysql|supabase|mongodb|redis|rss|pr|code review|incident|pagerduty|j"&amp;"ira""), ""Development &amp; Utilities"",
  TRUE, ""Others""
)"),"Social Media")</f>
        <v>Social Media</v>
      </c>
    </row>
    <row r="687" ht="15.75" customHeight="1">
      <c r="A687" s="14" t="s">
        <v>1359</v>
      </c>
      <c r="B687" s="15" t="s">
        <v>1360</v>
      </c>
      <c r="C687" s="16" t="s">
        <v>7</v>
      </c>
      <c r="D687" s="12" t="str">
        <f>IFERROR(__xludf.DUMMYFUNCTION("IFS(
  REGEXMATCH(A687&amp;B687, ""(?i)openai|gpt|gemini|anthropic|claude|mistral|cohere|rag|vector|llm|chatbot|ai-powered""), ""AI &amp; LLM"",
  REGEXMATCH(A687&amp;B687, ""(?i)twitter|instagram|facebook|linkedin|youtube|tiktok|threads|bluesky|pinterest|social vid"&amp;"eo|reels?|shorts?""), ""Social Media"",
  REGEXMATCH(A687&amp;B687, ""(?i)hubspot|pipedrive|stripe|shopify|woocommerce|sales|crm|invoice|order|leads?|recruitment|bamboohr|erpnext""), ""CRM &amp; Sales"",
  REGEXMATCH(A687&amp;B687, ""(?i)gmail|outlook|calendar|slack|"&amp;"discord|telegram|whatsapp|notion|trello|drive|sheets?|meeting|scheduler|appointment|mattermost""), ""Productivity &amp; Communication"",
  REGEXMATCH(A687&amp;B687, ""(?i)github|api|webhook|http|mysql|supabase|mongodb|redis|rss|pr|code review|incident|pagerduty|j"&amp;"ira""), ""Development &amp; Utilities"",
  TRUE, ""Others""
)"),"AI &amp; LLM")</f>
        <v>AI &amp; LLM</v>
      </c>
    </row>
    <row r="688" ht="15.75" customHeight="1">
      <c r="A688" s="14" t="s">
        <v>1361</v>
      </c>
      <c r="B688" s="15" t="s">
        <v>1362</v>
      </c>
      <c r="C688" s="16" t="s">
        <v>7</v>
      </c>
      <c r="D688" s="12" t="str">
        <f>IFERROR(__xludf.DUMMYFUNCTION("IFS(
  REGEXMATCH(A688&amp;B688, ""(?i)openai|gpt|gemini|anthropic|claude|mistral|cohere|rag|vector|llm|chatbot|ai-powered""), ""AI &amp; LLM"",
  REGEXMATCH(A688&amp;B688, ""(?i)twitter|instagram|facebook|linkedin|youtube|tiktok|threads|bluesky|pinterest|social vid"&amp;"eo|reels?|shorts?""), ""Social Media"",
  REGEXMATCH(A688&amp;B688, ""(?i)hubspot|pipedrive|stripe|shopify|woocommerce|sales|crm|invoice|order|leads?|recruitment|bamboohr|erpnext""), ""CRM &amp; Sales"",
  REGEXMATCH(A688&amp;B688, ""(?i)gmail|outlook|calendar|slack|"&amp;"discord|telegram|whatsapp|notion|trello|drive|sheets?|meeting|scheduler|appointment|mattermost""), ""Productivity &amp; Communication"",
  REGEXMATCH(A688&amp;B688, ""(?i)github|api|webhook|http|mysql|supabase|mongodb|redis|rss|pr|code review|incident|pagerduty|j"&amp;"ira""), ""Development &amp; Utilities"",
  TRUE, ""Others""
)"),"Productivity &amp; Communication")</f>
        <v>Productivity &amp; Communication</v>
      </c>
    </row>
    <row r="689" ht="15.75" customHeight="1">
      <c r="A689" s="14" t="s">
        <v>1363</v>
      </c>
      <c r="B689" s="15" t="s">
        <v>1364</v>
      </c>
      <c r="C689" s="16" t="s">
        <v>7</v>
      </c>
      <c r="D689" s="12" t="str">
        <f>IFERROR(__xludf.DUMMYFUNCTION("IFS(
  REGEXMATCH(A689&amp;B689, ""(?i)openai|gpt|gemini|anthropic|claude|mistral|cohere|rag|vector|llm|chatbot|ai-powered""), ""AI &amp; LLM"",
  REGEXMATCH(A689&amp;B689, ""(?i)twitter|instagram|facebook|linkedin|youtube|tiktok|threads|bluesky|pinterest|social vid"&amp;"eo|reels?|shorts?""), ""Social Media"",
  REGEXMATCH(A689&amp;B689, ""(?i)hubspot|pipedrive|stripe|shopify|woocommerce|sales|crm|invoice|order|leads?|recruitment|bamboohr|erpnext""), ""CRM &amp; Sales"",
  REGEXMATCH(A689&amp;B689, ""(?i)gmail|outlook|calendar|slack|"&amp;"discord|telegram|whatsapp|notion|trello|drive|sheets?|meeting|scheduler|appointment|mattermost""), ""Productivity &amp; Communication"",
  REGEXMATCH(A689&amp;B689, ""(?i)github|api|webhook|http|mysql|supabase|mongodb|redis|rss|pr|code review|incident|pagerduty|j"&amp;"ira""), ""Development &amp; Utilities"",
  TRUE, ""Others""
)"),"AI &amp; LLM")</f>
        <v>AI &amp; LLM</v>
      </c>
    </row>
    <row r="690" ht="15.75" customHeight="1">
      <c r="A690" s="14" t="s">
        <v>1365</v>
      </c>
      <c r="B690" s="15" t="s">
        <v>1366</v>
      </c>
      <c r="C690" s="16" t="s">
        <v>7</v>
      </c>
      <c r="D690" s="12" t="str">
        <f>IFERROR(__xludf.DUMMYFUNCTION("IFS(
  REGEXMATCH(A690&amp;B690, ""(?i)openai|gpt|gemini|anthropic|claude|mistral|cohere|rag|vector|llm|chatbot|ai-powered""), ""AI &amp; LLM"",
  REGEXMATCH(A690&amp;B690, ""(?i)twitter|instagram|facebook|linkedin|youtube|tiktok|threads|bluesky|pinterest|social vid"&amp;"eo|reels?|shorts?""), ""Social Media"",
  REGEXMATCH(A690&amp;B690, ""(?i)hubspot|pipedrive|stripe|shopify|woocommerce|sales|crm|invoice|order|leads?|recruitment|bamboohr|erpnext""), ""CRM &amp; Sales"",
  REGEXMATCH(A690&amp;B690, ""(?i)gmail|outlook|calendar|slack|"&amp;"discord|telegram|whatsapp|notion|trello|drive|sheets?|meeting|scheduler|appointment|mattermost""), ""Productivity &amp; Communication"",
  REGEXMATCH(A690&amp;B690, ""(?i)github|api|webhook|http|mysql|supabase|mongodb|redis|rss|pr|code review|incident|pagerduty|j"&amp;"ira""), ""Development &amp; Utilities"",
  TRUE, ""Others""
)"),"Productivity &amp; Communication")</f>
        <v>Productivity &amp; Communication</v>
      </c>
    </row>
    <row r="691" ht="15.75" customHeight="1">
      <c r="A691" s="14" t="s">
        <v>1367</v>
      </c>
      <c r="B691" s="15" t="s">
        <v>1368</v>
      </c>
      <c r="C691" s="16" t="s">
        <v>7</v>
      </c>
      <c r="D691" s="12" t="str">
        <f>IFERROR(__xludf.DUMMYFUNCTION("IFS(
  REGEXMATCH(A691&amp;B691, ""(?i)openai|gpt|gemini|anthropic|claude|mistral|cohere|rag|vector|llm|chatbot|ai-powered""), ""AI &amp; LLM"",
  REGEXMATCH(A691&amp;B691, ""(?i)twitter|instagram|facebook|linkedin|youtube|tiktok|threads|bluesky|pinterest|social vid"&amp;"eo|reels?|shorts?""), ""Social Media"",
  REGEXMATCH(A691&amp;B691, ""(?i)hubspot|pipedrive|stripe|shopify|woocommerce|sales|crm|invoice|order|leads?|recruitment|bamboohr|erpnext""), ""CRM &amp; Sales"",
  REGEXMATCH(A691&amp;B691, ""(?i)gmail|outlook|calendar|slack|"&amp;"discord|telegram|whatsapp|notion|trello|drive|sheets?|meeting|scheduler|appointment|mattermost""), ""Productivity &amp; Communication"",
  REGEXMATCH(A691&amp;B691, ""(?i)github|api|webhook|http|mysql|supabase|mongodb|redis|rss|pr|code review|incident|pagerduty|j"&amp;"ira""), ""Development &amp; Utilities"",
  TRUE, ""Others""
)"),"Productivity &amp; Communication")</f>
        <v>Productivity &amp; Communication</v>
      </c>
    </row>
    <row r="692" ht="15.75" customHeight="1">
      <c r="A692" s="14" t="s">
        <v>1369</v>
      </c>
      <c r="B692" s="15" t="s">
        <v>1370</v>
      </c>
      <c r="C692" s="16" t="s">
        <v>7</v>
      </c>
      <c r="D692" s="12" t="str">
        <f>IFERROR(__xludf.DUMMYFUNCTION("IFS(
  REGEXMATCH(A692&amp;B692, ""(?i)openai|gpt|gemini|anthropic|claude|mistral|cohere|rag|vector|llm|chatbot|ai-powered""), ""AI &amp; LLM"",
  REGEXMATCH(A692&amp;B692, ""(?i)twitter|instagram|facebook|linkedin|youtube|tiktok|threads|bluesky|pinterest|social vid"&amp;"eo|reels?|shorts?""), ""Social Media"",
  REGEXMATCH(A692&amp;B692, ""(?i)hubspot|pipedrive|stripe|shopify|woocommerce|sales|crm|invoice|order|leads?|recruitment|bamboohr|erpnext""), ""CRM &amp; Sales"",
  REGEXMATCH(A692&amp;B692, ""(?i)gmail|outlook|calendar|slack|"&amp;"discord|telegram|whatsapp|notion|trello|drive|sheets?|meeting|scheduler|appointment|mattermost""), ""Productivity &amp; Communication"",
  REGEXMATCH(A692&amp;B692, ""(?i)github|api|webhook|http|mysql|supabase|mongodb|redis|rss|pr|code review|incident|pagerduty|j"&amp;"ira""), ""Development &amp; Utilities"",
  TRUE, ""Others""
)"),"AI &amp; LLM")</f>
        <v>AI &amp; LLM</v>
      </c>
    </row>
    <row r="693" ht="15.75" customHeight="1">
      <c r="A693" s="14" t="s">
        <v>1371</v>
      </c>
      <c r="B693" s="15" t="s">
        <v>1372</v>
      </c>
      <c r="C693" s="16" t="s">
        <v>7</v>
      </c>
      <c r="D693" s="12" t="str">
        <f>IFERROR(__xludf.DUMMYFUNCTION("IFS(
  REGEXMATCH(A693&amp;B693, ""(?i)openai|gpt|gemini|anthropic|claude|mistral|cohere|rag|vector|llm|chatbot|ai-powered""), ""AI &amp; LLM"",
  REGEXMATCH(A693&amp;B693, ""(?i)twitter|instagram|facebook|linkedin|youtube|tiktok|threads|bluesky|pinterest|social vid"&amp;"eo|reels?|shorts?""), ""Social Media"",
  REGEXMATCH(A693&amp;B693, ""(?i)hubspot|pipedrive|stripe|shopify|woocommerce|sales|crm|invoice|order|leads?|recruitment|bamboohr|erpnext""), ""CRM &amp; Sales"",
  REGEXMATCH(A693&amp;B693, ""(?i)gmail|outlook|calendar|slack|"&amp;"discord|telegram|whatsapp|notion|trello|drive|sheets?|meeting|scheduler|appointment|mattermost""), ""Productivity &amp; Communication"",
  REGEXMATCH(A693&amp;B693, ""(?i)github|api|webhook|http|mysql|supabase|mongodb|redis|rss|pr|code review|incident|pagerduty|j"&amp;"ira""), ""Development &amp; Utilities"",
  TRUE, ""Others""
)"),"Productivity &amp; Communication")</f>
        <v>Productivity &amp; Communication</v>
      </c>
    </row>
    <row r="694" ht="15.75" customHeight="1">
      <c r="A694" s="14" t="s">
        <v>1373</v>
      </c>
      <c r="B694" s="15" t="s">
        <v>1374</v>
      </c>
      <c r="C694" s="16" t="s">
        <v>7</v>
      </c>
      <c r="D694" s="12" t="str">
        <f>IFERROR(__xludf.DUMMYFUNCTION("IFS(
  REGEXMATCH(A694&amp;B694, ""(?i)openai|gpt|gemini|anthropic|claude|mistral|cohere|rag|vector|llm|chatbot|ai-powered""), ""AI &amp; LLM"",
  REGEXMATCH(A694&amp;B694, ""(?i)twitter|instagram|facebook|linkedin|youtube|tiktok|threads|bluesky|pinterest|social vid"&amp;"eo|reels?|shorts?""), ""Social Media"",
  REGEXMATCH(A694&amp;B694, ""(?i)hubspot|pipedrive|stripe|shopify|woocommerce|sales|crm|invoice|order|leads?|recruitment|bamboohr|erpnext""), ""CRM &amp; Sales"",
  REGEXMATCH(A694&amp;B694, ""(?i)gmail|outlook|calendar|slack|"&amp;"discord|telegram|whatsapp|notion|trello|drive|sheets?|meeting|scheduler|appointment|mattermost""), ""Productivity &amp; Communication"",
  REGEXMATCH(A694&amp;B694, ""(?i)github|api|webhook|http|mysql|supabase|mongodb|redis|rss|pr|code review|incident|pagerduty|j"&amp;"ira""), ""Development &amp; Utilities"",
  TRUE, ""Others""
)"),"AI &amp; LLM")</f>
        <v>AI &amp; LLM</v>
      </c>
    </row>
    <row r="695" ht="15.75" customHeight="1">
      <c r="A695" s="14" t="s">
        <v>1375</v>
      </c>
      <c r="B695" s="15" t="s">
        <v>1376</v>
      </c>
      <c r="C695" s="16" t="s">
        <v>7</v>
      </c>
      <c r="D695" s="12" t="str">
        <f>IFERROR(__xludf.DUMMYFUNCTION("IFS(
  REGEXMATCH(A695&amp;B695, ""(?i)openai|gpt|gemini|anthropic|claude|mistral|cohere|rag|vector|llm|chatbot|ai-powered""), ""AI &amp; LLM"",
  REGEXMATCH(A695&amp;B695, ""(?i)twitter|instagram|facebook|linkedin|youtube|tiktok|threads|bluesky|pinterest|social vid"&amp;"eo|reels?|shorts?""), ""Social Media"",
  REGEXMATCH(A695&amp;B695, ""(?i)hubspot|pipedrive|stripe|shopify|woocommerce|sales|crm|invoice|order|leads?|recruitment|bamboohr|erpnext""), ""CRM &amp; Sales"",
  REGEXMATCH(A695&amp;B695, ""(?i)gmail|outlook|calendar|slack|"&amp;"discord|telegram|whatsapp|notion|trello|drive|sheets?|meeting|scheduler|appointment|mattermost""), ""Productivity &amp; Communication"",
  REGEXMATCH(A695&amp;B695, ""(?i)github|api|webhook|http|mysql|supabase|mongodb|redis|rss|pr|code review|incident|pagerduty|j"&amp;"ira""), ""Development &amp; Utilities"",
  TRUE, ""Others""
)"),"AI &amp; LLM")</f>
        <v>AI &amp; LLM</v>
      </c>
    </row>
    <row r="696" ht="15.75" customHeight="1">
      <c r="A696" s="14" t="s">
        <v>1377</v>
      </c>
      <c r="B696" s="15" t="s">
        <v>1378</v>
      </c>
      <c r="C696" s="16" t="s">
        <v>7</v>
      </c>
      <c r="D696" s="12" t="str">
        <f>IFERROR(__xludf.DUMMYFUNCTION("IFS(
  REGEXMATCH(A696&amp;B696, ""(?i)openai|gpt|gemini|anthropic|claude|mistral|cohere|rag|vector|llm|chatbot|ai-powered""), ""AI &amp; LLM"",
  REGEXMATCH(A696&amp;B696, ""(?i)twitter|instagram|facebook|linkedin|youtube|tiktok|threads|bluesky|pinterest|social vid"&amp;"eo|reels?|shorts?""), ""Social Media"",
  REGEXMATCH(A696&amp;B696, ""(?i)hubspot|pipedrive|stripe|shopify|woocommerce|sales|crm|invoice|order|leads?|recruitment|bamboohr|erpnext""), ""CRM &amp; Sales"",
  REGEXMATCH(A696&amp;B696, ""(?i)gmail|outlook|calendar|slack|"&amp;"discord|telegram|whatsapp|notion|trello|drive|sheets?|meeting|scheduler|appointment|mattermost""), ""Productivity &amp; Communication"",
  REGEXMATCH(A696&amp;B696, ""(?i)github|api|webhook|http|mysql|supabase|mongodb|redis|rss|pr|code review|incident|pagerduty|j"&amp;"ira""), ""Development &amp; Utilities"",
  TRUE, ""Others""
)"),"AI &amp; LLM")</f>
        <v>AI &amp; LLM</v>
      </c>
    </row>
    <row r="697" ht="15.75" customHeight="1">
      <c r="A697" s="14" t="s">
        <v>1379</v>
      </c>
      <c r="B697" s="15" t="s">
        <v>1380</v>
      </c>
      <c r="C697" s="16" t="s">
        <v>7</v>
      </c>
      <c r="D697" s="12" t="str">
        <f>IFERROR(__xludf.DUMMYFUNCTION("IFS(
  REGEXMATCH(A697&amp;B697, ""(?i)openai|gpt|gemini|anthropic|claude|mistral|cohere|rag|vector|llm|chatbot|ai-powered""), ""AI &amp; LLM"",
  REGEXMATCH(A697&amp;B697, ""(?i)twitter|instagram|facebook|linkedin|youtube|tiktok|threads|bluesky|pinterest|social vid"&amp;"eo|reels?|shorts?""), ""Social Media"",
  REGEXMATCH(A697&amp;B697, ""(?i)hubspot|pipedrive|stripe|shopify|woocommerce|sales|crm|invoice|order|leads?|recruitment|bamboohr|erpnext""), ""CRM &amp; Sales"",
  REGEXMATCH(A697&amp;B697, ""(?i)gmail|outlook|calendar|slack|"&amp;"discord|telegram|whatsapp|notion|trello|drive|sheets?|meeting|scheduler|appointment|mattermost""), ""Productivity &amp; Communication"",
  REGEXMATCH(A697&amp;B697, ""(?i)github|api|webhook|http|mysql|supabase|mongodb|redis|rss|pr|code review|incident|pagerduty|j"&amp;"ira""), ""Development &amp; Utilities"",
  TRUE, ""Others""
)"),"AI &amp; LLM")</f>
        <v>AI &amp; LLM</v>
      </c>
    </row>
    <row r="698" ht="15.75" customHeight="1">
      <c r="A698" s="14" t="s">
        <v>1381</v>
      </c>
      <c r="B698" s="15" t="s">
        <v>1382</v>
      </c>
      <c r="C698" s="16" t="s">
        <v>7</v>
      </c>
      <c r="D698" s="12" t="str">
        <f>IFERROR(__xludf.DUMMYFUNCTION("IFS(
  REGEXMATCH(A698&amp;B698, ""(?i)openai|gpt|gemini|anthropic|claude|mistral|cohere|rag|vector|llm|chatbot|ai-powered""), ""AI &amp; LLM"",
  REGEXMATCH(A698&amp;B698, ""(?i)twitter|instagram|facebook|linkedin|youtube|tiktok|threads|bluesky|pinterest|social vid"&amp;"eo|reels?|shorts?""), ""Social Media"",
  REGEXMATCH(A698&amp;B698, ""(?i)hubspot|pipedrive|stripe|shopify|woocommerce|sales|crm|invoice|order|leads?|recruitment|bamboohr|erpnext""), ""CRM &amp; Sales"",
  REGEXMATCH(A698&amp;B698, ""(?i)gmail|outlook|calendar|slack|"&amp;"discord|telegram|whatsapp|notion|trello|drive|sheets?|meeting|scheduler|appointment|mattermost""), ""Productivity &amp; Communication"",
  REGEXMATCH(A698&amp;B698, ""(?i)github|api|webhook|http|mysql|supabase|mongodb|redis|rss|pr|code review|incident|pagerduty|j"&amp;"ira""), ""Development &amp; Utilities"",
  TRUE, ""Others""
)"),"AI &amp; LLM")</f>
        <v>AI &amp; LLM</v>
      </c>
    </row>
    <row r="699" ht="15.75" customHeight="1">
      <c r="A699" s="14" t="s">
        <v>1337</v>
      </c>
      <c r="B699" s="15" t="s">
        <v>1383</v>
      </c>
      <c r="C699" s="16" t="s">
        <v>7</v>
      </c>
      <c r="D699" s="12" t="str">
        <f>IFERROR(__xludf.DUMMYFUNCTION("IFS(
  REGEXMATCH(A699&amp;B699, ""(?i)openai|gpt|gemini|anthropic|claude|mistral|cohere|rag|vector|llm|chatbot|ai-powered""), ""AI &amp; LLM"",
  REGEXMATCH(A699&amp;B699, ""(?i)twitter|instagram|facebook|linkedin|youtube|tiktok|threads|bluesky|pinterest|social vid"&amp;"eo|reels?|shorts?""), ""Social Media"",
  REGEXMATCH(A699&amp;B699, ""(?i)hubspot|pipedrive|stripe|shopify|woocommerce|sales|crm|invoice|order|leads?|recruitment|bamboohr|erpnext""), ""CRM &amp; Sales"",
  REGEXMATCH(A699&amp;B699, ""(?i)gmail|outlook|calendar|slack|"&amp;"discord|telegram|whatsapp|notion|trello|drive|sheets?|meeting|scheduler|appointment|mattermost""), ""Productivity &amp; Communication"",
  REGEXMATCH(A699&amp;B699, ""(?i)github|api|webhook|http|mysql|supabase|mongodb|redis|rss|pr|code review|incident|pagerduty|j"&amp;"ira""), ""Development &amp; Utilities"",
  TRUE, ""Others""
)"),"AI &amp; LLM")</f>
        <v>AI &amp; LLM</v>
      </c>
    </row>
    <row r="700" ht="15.75" customHeight="1">
      <c r="A700" s="14" t="s">
        <v>1384</v>
      </c>
      <c r="B700" s="15" t="s">
        <v>1385</v>
      </c>
      <c r="C700" s="16" t="s">
        <v>7</v>
      </c>
      <c r="D700" s="12" t="str">
        <f>IFERROR(__xludf.DUMMYFUNCTION("IFS(
  REGEXMATCH(A700&amp;B700, ""(?i)openai|gpt|gemini|anthropic|claude|mistral|cohere|rag|vector|llm|chatbot|ai-powered""), ""AI &amp; LLM"",
  REGEXMATCH(A700&amp;B700, ""(?i)twitter|instagram|facebook|linkedin|youtube|tiktok|threads|bluesky|pinterest|social vid"&amp;"eo|reels?|shorts?""), ""Social Media"",
  REGEXMATCH(A700&amp;B700, ""(?i)hubspot|pipedrive|stripe|shopify|woocommerce|sales|crm|invoice|order|leads?|recruitment|bamboohr|erpnext""), ""CRM &amp; Sales"",
  REGEXMATCH(A700&amp;B700, ""(?i)gmail|outlook|calendar|slack|"&amp;"discord|telegram|whatsapp|notion|trello|drive|sheets?|meeting|scheduler|appointment|mattermost""), ""Productivity &amp; Communication"",
  REGEXMATCH(A700&amp;B700, ""(?i)github|api|webhook|http|mysql|supabase|mongodb|redis|rss|pr|code review|incident|pagerduty|j"&amp;"ira""), ""Development &amp; Utilities"",
  TRUE, ""Others""
)"),"Development &amp; Utilities")</f>
        <v>Development &amp; Utilities</v>
      </c>
    </row>
    <row r="701" ht="15.75" customHeight="1">
      <c r="A701" s="14" t="s">
        <v>1386</v>
      </c>
      <c r="B701" s="15" t="s">
        <v>1387</v>
      </c>
      <c r="C701" s="16" t="s">
        <v>7</v>
      </c>
      <c r="D701" s="12" t="str">
        <f>IFERROR(__xludf.DUMMYFUNCTION("IFS(
  REGEXMATCH(A701&amp;B701, ""(?i)openai|gpt|gemini|anthropic|claude|mistral|cohere|rag|vector|llm|chatbot|ai-powered""), ""AI &amp; LLM"",
  REGEXMATCH(A701&amp;B701, ""(?i)twitter|instagram|facebook|linkedin|youtube|tiktok|threads|bluesky|pinterest|social vid"&amp;"eo|reels?|shorts?""), ""Social Media"",
  REGEXMATCH(A701&amp;B701, ""(?i)hubspot|pipedrive|stripe|shopify|woocommerce|sales|crm|invoice|order|leads?|recruitment|bamboohr|erpnext""), ""CRM &amp; Sales"",
  REGEXMATCH(A701&amp;B701, ""(?i)gmail|outlook|calendar|slack|"&amp;"discord|telegram|whatsapp|notion|trello|drive|sheets?|meeting|scheduler|appointment|mattermost""), ""Productivity &amp; Communication"",
  REGEXMATCH(A701&amp;B701, ""(?i)github|api|webhook|http|mysql|supabase|mongodb|redis|rss|pr|code review|incident|pagerduty|j"&amp;"ira""), ""Development &amp; Utilities"",
  TRUE, ""Others""
)"),"AI &amp; LLM")</f>
        <v>AI &amp; LLM</v>
      </c>
    </row>
    <row r="702" ht="15.75" customHeight="1">
      <c r="A702" s="14" t="s">
        <v>1388</v>
      </c>
      <c r="B702" s="15" t="s">
        <v>1389</v>
      </c>
      <c r="C702" s="16" t="s">
        <v>7</v>
      </c>
      <c r="D702" s="12" t="str">
        <f>IFERROR(__xludf.DUMMYFUNCTION("IFS(
  REGEXMATCH(A702&amp;B702, ""(?i)openai|gpt|gemini|anthropic|claude|mistral|cohere|rag|vector|llm|chatbot|ai-powered""), ""AI &amp; LLM"",
  REGEXMATCH(A702&amp;B702, ""(?i)twitter|instagram|facebook|linkedin|youtube|tiktok|threads|bluesky|pinterest|social vid"&amp;"eo|reels?|shorts?""), ""Social Media"",
  REGEXMATCH(A702&amp;B702, ""(?i)hubspot|pipedrive|stripe|shopify|woocommerce|sales|crm|invoice|order|leads?|recruitment|bamboohr|erpnext""), ""CRM &amp; Sales"",
  REGEXMATCH(A702&amp;B702, ""(?i)gmail|outlook|calendar|slack|"&amp;"discord|telegram|whatsapp|notion|trello|drive|sheets?|meeting|scheduler|appointment|mattermost""), ""Productivity &amp; Communication"",
  REGEXMATCH(A702&amp;B702, ""(?i)github|api|webhook|http|mysql|supabase|mongodb|redis|rss|pr|code review|incident|pagerduty|j"&amp;"ira""), ""Development &amp; Utilities"",
  TRUE, ""Others""
)"),"AI &amp; LLM")</f>
        <v>AI &amp; LLM</v>
      </c>
    </row>
    <row r="703" ht="15.75" customHeight="1">
      <c r="A703" s="14" t="s">
        <v>1390</v>
      </c>
      <c r="B703" s="15" t="s">
        <v>1391</v>
      </c>
      <c r="C703" s="16" t="s">
        <v>7</v>
      </c>
      <c r="D703" s="12" t="str">
        <f>IFERROR(__xludf.DUMMYFUNCTION("IFS(
  REGEXMATCH(A703&amp;B703, ""(?i)openai|gpt|gemini|anthropic|claude|mistral|cohere|rag|vector|llm|chatbot|ai-powered""), ""AI &amp; LLM"",
  REGEXMATCH(A703&amp;B703, ""(?i)twitter|instagram|facebook|linkedin|youtube|tiktok|threads|bluesky|pinterest|social vid"&amp;"eo|reels?|shorts?""), ""Social Media"",
  REGEXMATCH(A703&amp;B703, ""(?i)hubspot|pipedrive|stripe|shopify|woocommerce|sales|crm|invoice|order|leads?|recruitment|bamboohr|erpnext""), ""CRM &amp; Sales"",
  REGEXMATCH(A703&amp;B703, ""(?i)gmail|outlook|calendar|slack|"&amp;"discord|telegram|whatsapp|notion|trello|drive|sheets?|meeting|scheduler|appointment|mattermost""), ""Productivity &amp; Communication"",
  REGEXMATCH(A703&amp;B703, ""(?i)github|api|webhook|http|mysql|supabase|mongodb|redis|rss|pr|code review|incident|pagerduty|j"&amp;"ira""), ""Development &amp; Utilities"",
  TRUE, ""Others""
)"),"AI &amp; LLM")</f>
        <v>AI &amp; LLM</v>
      </c>
    </row>
    <row r="704" ht="15.75" customHeight="1">
      <c r="A704" s="14" t="s">
        <v>1392</v>
      </c>
      <c r="B704" s="15" t="s">
        <v>1393</v>
      </c>
      <c r="C704" s="16" t="s">
        <v>7</v>
      </c>
      <c r="D704" s="12" t="str">
        <f>IFERROR(__xludf.DUMMYFUNCTION("IFS(
  REGEXMATCH(A704&amp;B704, ""(?i)openai|gpt|gemini|anthropic|claude|mistral|cohere|rag|vector|llm|chatbot|ai-powered""), ""AI &amp; LLM"",
  REGEXMATCH(A704&amp;B704, ""(?i)twitter|instagram|facebook|linkedin|youtube|tiktok|threads|bluesky|pinterest|social vid"&amp;"eo|reels?|shorts?""), ""Social Media"",
  REGEXMATCH(A704&amp;B704, ""(?i)hubspot|pipedrive|stripe|shopify|woocommerce|sales|crm|invoice|order|leads?|recruitment|bamboohr|erpnext""), ""CRM &amp; Sales"",
  REGEXMATCH(A704&amp;B704, ""(?i)gmail|outlook|calendar|slack|"&amp;"discord|telegram|whatsapp|notion|trello|drive|sheets?|meeting|scheduler|appointment|mattermost""), ""Productivity &amp; Communication"",
  REGEXMATCH(A704&amp;B704, ""(?i)github|api|webhook|http|mysql|supabase|mongodb|redis|rss|pr|code review|incident|pagerduty|j"&amp;"ira""), ""Development &amp; Utilities"",
  TRUE, ""Others""
)"),"Productivity &amp; Communication")</f>
        <v>Productivity &amp; Communication</v>
      </c>
    </row>
    <row r="705" ht="15.75" customHeight="1">
      <c r="A705" s="14" t="s">
        <v>1394</v>
      </c>
      <c r="B705" s="15" t="s">
        <v>1395</v>
      </c>
      <c r="C705" s="16" t="s">
        <v>7</v>
      </c>
      <c r="D705" s="12" t="str">
        <f>IFERROR(__xludf.DUMMYFUNCTION("IFS(
  REGEXMATCH(A705&amp;B705, ""(?i)openai|gpt|gemini|anthropic|claude|mistral|cohere|rag|vector|llm|chatbot|ai-powered""), ""AI &amp; LLM"",
  REGEXMATCH(A705&amp;B705, ""(?i)twitter|instagram|facebook|linkedin|youtube|tiktok|threads|bluesky|pinterest|social vid"&amp;"eo|reels?|shorts?""), ""Social Media"",
  REGEXMATCH(A705&amp;B705, ""(?i)hubspot|pipedrive|stripe|shopify|woocommerce|sales|crm|invoice|order|leads?|recruitment|bamboohr|erpnext""), ""CRM &amp; Sales"",
  REGEXMATCH(A705&amp;B705, ""(?i)gmail|outlook|calendar|slack|"&amp;"discord|telegram|whatsapp|notion|trello|drive|sheets?|meeting|scheduler|appointment|mattermost""), ""Productivity &amp; Communication"",
  REGEXMATCH(A705&amp;B705, ""(?i)github|api|webhook|http|mysql|supabase|mongodb|redis|rss|pr|code review|incident|pagerduty|j"&amp;"ira""), ""Development &amp; Utilities"",
  TRUE, ""Others""
)"),"AI &amp; LLM")</f>
        <v>AI &amp; LLM</v>
      </c>
    </row>
    <row r="706" ht="15.75" customHeight="1">
      <c r="A706" s="14" t="s">
        <v>1396</v>
      </c>
      <c r="B706" s="15" t="s">
        <v>1397</v>
      </c>
      <c r="C706" s="16" t="s">
        <v>7</v>
      </c>
      <c r="D706" s="12" t="str">
        <f>IFERROR(__xludf.DUMMYFUNCTION("IFS(
  REGEXMATCH(A706&amp;B706, ""(?i)openai|gpt|gemini|anthropic|claude|mistral|cohere|rag|vector|llm|chatbot|ai-powered""), ""AI &amp; LLM"",
  REGEXMATCH(A706&amp;B706, ""(?i)twitter|instagram|facebook|linkedin|youtube|tiktok|threads|bluesky|pinterest|social vid"&amp;"eo|reels?|shorts?""), ""Social Media"",
  REGEXMATCH(A706&amp;B706, ""(?i)hubspot|pipedrive|stripe|shopify|woocommerce|sales|crm|invoice|order|leads?|recruitment|bamboohr|erpnext""), ""CRM &amp; Sales"",
  REGEXMATCH(A706&amp;B706, ""(?i)gmail|outlook|calendar|slack|"&amp;"discord|telegram|whatsapp|notion|trello|drive|sheets?|meeting|scheduler|appointment|mattermost""), ""Productivity &amp; Communication"",
  REGEXMATCH(A706&amp;B706, ""(?i)github|api|webhook|http|mysql|supabase|mongodb|redis|rss|pr|code review|incident|pagerduty|j"&amp;"ira""), ""Development &amp; Utilities"",
  TRUE, ""Others""
)"),"AI &amp; LLM")</f>
        <v>AI &amp; LLM</v>
      </c>
    </row>
    <row r="707" ht="15.75" customHeight="1">
      <c r="A707" s="14" t="s">
        <v>1398</v>
      </c>
      <c r="B707" s="15" t="s">
        <v>1399</v>
      </c>
      <c r="C707" s="16" t="s">
        <v>7</v>
      </c>
      <c r="D707" s="12" t="str">
        <f>IFERROR(__xludf.DUMMYFUNCTION("IFS(
  REGEXMATCH(A707&amp;B707, ""(?i)openai|gpt|gemini|anthropic|claude|mistral|cohere|rag|vector|llm|chatbot|ai-powered""), ""AI &amp; LLM"",
  REGEXMATCH(A707&amp;B707, ""(?i)twitter|instagram|facebook|linkedin|youtube|tiktok|threads|bluesky|pinterest|social vid"&amp;"eo|reels?|shorts?""), ""Social Media"",
  REGEXMATCH(A707&amp;B707, ""(?i)hubspot|pipedrive|stripe|shopify|woocommerce|sales|crm|invoice|order|leads?|recruitment|bamboohr|erpnext""), ""CRM &amp; Sales"",
  REGEXMATCH(A707&amp;B707, ""(?i)gmail|outlook|calendar|slack|"&amp;"discord|telegram|whatsapp|notion|trello|drive|sheets?|meeting|scheduler|appointment|mattermost""), ""Productivity &amp; Communication"",
  REGEXMATCH(A707&amp;B707, ""(?i)github|api|webhook|http|mysql|supabase|mongodb|redis|rss|pr|code review|incident|pagerduty|j"&amp;"ira""), ""Development &amp; Utilities"",
  TRUE, ""Others""
)"),"AI &amp; LLM")</f>
        <v>AI &amp; LLM</v>
      </c>
    </row>
    <row r="708" ht="15.75" customHeight="1">
      <c r="A708" s="14" t="s">
        <v>1400</v>
      </c>
      <c r="B708" s="15" t="s">
        <v>1401</v>
      </c>
      <c r="C708" s="16" t="s">
        <v>7</v>
      </c>
      <c r="D708" s="12" t="str">
        <f>IFERROR(__xludf.DUMMYFUNCTION("IFS(
  REGEXMATCH(A708&amp;B708, ""(?i)openai|gpt|gemini|anthropic|claude|mistral|cohere|rag|vector|llm|chatbot|ai-powered""), ""AI &amp; LLM"",
  REGEXMATCH(A708&amp;B708, ""(?i)twitter|instagram|facebook|linkedin|youtube|tiktok|threads|bluesky|pinterest|social vid"&amp;"eo|reels?|shorts?""), ""Social Media"",
  REGEXMATCH(A708&amp;B708, ""(?i)hubspot|pipedrive|stripe|shopify|woocommerce|sales|crm|invoice|order|leads?|recruitment|bamboohr|erpnext""), ""CRM &amp; Sales"",
  REGEXMATCH(A708&amp;B708, ""(?i)gmail|outlook|calendar|slack|"&amp;"discord|telegram|whatsapp|notion|trello|drive|sheets?|meeting|scheduler|appointment|mattermost""), ""Productivity &amp; Communication"",
  REGEXMATCH(A708&amp;B708, ""(?i)github|api|webhook|http|mysql|supabase|mongodb|redis|rss|pr|code review|incident|pagerduty|j"&amp;"ira""), ""Development &amp; Utilities"",
  TRUE, ""Others""
)"),"AI &amp; LLM")</f>
        <v>AI &amp; LLM</v>
      </c>
    </row>
    <row r="709" ht="15.75" customHeight="1">
      <c r="A709" s="14" t="s">
        <v>1402</v>
      </c>
      <c r="B709" s="15" t="s">
        <v>1403</v>
      </c>
      <c r="C709" s="16" t="s">
        <v>7</v>
      </c>
      <c r="D709" s="12" t="str">
        <f>IFERROR(__xludf.DUMMYFUNCTION("IFS(
  REGEXMATCH(A709&amp;B709, ""(?i)openai|gpt|gemini|anthropic|claude|mistral|cohere|rag|vector|llm|chatbot|ai-powered""), ""AI &amp; LLM"",
  REGEXMATCH(A709&amp;B709, ""(?i)twitter|instagram|facebook|linkedin|youtube|tiktok|threads|bluesky|pinterest|social vid"&amp;"eo|reels?|shorts?""), ""Social Media"",
  REGEXMATCH(A709&amp;B709, ""(?i)hubspot|pipedrive|stripe|shopify|woocommerce|sales|crm|invoice|order|leads?|recruitment|bamboohr|erpnext""), ""CRM &amp; Sales"",
  REGEXMATCH(A709&amp;B709, ""(?i)gmail|outlook|calendar|slack|"&amp;"discord|telegram|whatsapp|notion|trello|drive|sheets?|meeting|scheduler|appointment|mattermost""), ""Productivity &amp; Communication"",
  REGEXMATCH(A709&amp;B709, ""(?i)github|api|webhook|http|mysql|supabase|mongodb|redis|rss|pr|code review|incident|pagerduty|j"&amp;"ira""), ""Development &amp; Utilities"",
  TRUE, ""Others""
)"),"AI &amp; LLM")</f>
        <v>AI &amp; LLM</v>
      </c>
    </row>
    <row r="710" ht="15.75" customHeight="1">
      <c r="A710" s="14" t="s">
        <v>1404</v>
      </c>
      <c r="B710" s="15" t="s">
        <v>1405</v>
      </c>
      <c r="C710" s="16" t="s">
        <v>7</v>
      </c>
      <c r="D710" s="12" t="str">
        <f>IFERROR(__xludf.DUMMYFUNCTION("IFS(
  REGEXMATCH(A710&amp;B710, ""(?i)openai|gpt|gemini|anthropic|claude|mistral|cohere|rag|vector|llm|chatbot|ai-powered""), ""AI &amp; LLM"",
  REGEXMATCH(A710&amp;B710, ""(?i)twitter|instagram|facebook|linkedin|youtube|tiktok|threads|bluesky|pinterest|social vid"&amp;"eo|reels?|shorts?""), ""Social Media"",
  REGEXMATCH(A710&amp;B710, ""(?i)hubspot|pipedrive|stripe|shopify|woocommerce|sales|crm|invoice|order|leads?|recruitment|bamboohr|erpnext""), ""CRM &amp; Sales"",
  REGEXMATCH(A710&amp;B710, ""(?i)gmail|outlook|calendar|slack|"&amp;"discord|telegram|whatsapp|notion|trello|drive|sheets?|meeting|scheduler|appointment|mattermost""), ""Productivity &amp; Communication"",
  REGEXMATCH(A710&amp;B710, ""(?i)github|api|webhook|http|mysql|supabase|mongodb|redis|rss|pr|code review|incident|pagerduty|j"&amp;"ira""), ""Development &amp; Utilities"",
  TRUE, ""Others""
)"),"AI &amp; LLM")</f>
        <v>AI &amp; LLM</v>
      </c>
    </row>
    <row r="711" ht="15.75" customHeight="1">
      <c r="A711" s="14" t="s">
        <v>1406</v>
      </c>
      <c r="B711" s="15" t="s">
        <v>1407</v>
      </c>
      <c r="C711" s="16" t="s">
        <v>7</v>
      </c>
      <c r="D711" s="12" t="str">
        <f>IFERROR(__xludf.DUMMYFUNCTION("IFS(
  REGEXMATCH(A711&amp;B711, ""(?i)openai|gpt|gemini|anthropic|claude|mistral|cohere|rag|vector|llm|chatbot|ai-powered""), ""AI &amp; LLM"",
  REGEXMATCH(A711&amp;B711, ""(?i)twitter|instagram|facebook|linkedin|youtube|tiktok|threads|bluesky|pinterest|social vid"&amp;"eo|reels?|shorts?""), ""Social Media"",
  REGEXMATCH(A711&amp;B711, ""(?i)hubspot|pipedrive|stripe|shopify|woocommerce|sales|crm|invoice|order|leads?|recruitment|bamboohr|erpnext""), ""CRM &amp; Sales"",
  REGEXMATCH(A711&amp;B711, ""(?i)gmail|outlook|calendar|slack|"&amp;"discord|telegram|whatsapp|notion|trello|drive|sheets?|meeting|scheduler|appointment|mattermost""), ""Productivity &amp; Communication"",
  REGEXMATCH(A711&amp;B711, ""(?i)github|api|webhook|http|mysql|supabase|mongodb|redis|rss|pr|code review|incident|pagerduty|j"&amp;"ira""), ""Development &amp; Utilities"",
  TRUE, ""Others""
)"),"AI &amp; LLM")</f>
        <v>AI &amp; LLM</v>
      </c>
    </row>
    <row r="712" ht="15.75" customHeight="1">
      <c r="A712" s="14" t="s">
        <v>1408</v>
      </c>
      <c r="B712" s="15" t="s">
        <v>1409</v>
      </c>
      <c r="C712" s="16" t="s">
        <v>7</v>
      </c>
      <c r="D712" s="12" t="str">
        <f>IFERROR(__xludf.DUMMYFUNCTION("IFS(
  REGEXMATCH(A712&amp;B712, ""(?i)openai|gpt|gemini|anthropic|claude|mistral|cohere|rag|vector|llm|chatbot|ai-powered""), ""AI &amp; LLM"",
  REGEXMATCH(A712&amp;B712, ""(?i)twitter|instagram|facebook|linkedin|youtube|tiktok|threads|bluesky|pinterest|social vid"&amp;"eo|reels?|shorts?""), ""Social Media"",
  REGEXMATCH(A712&amp;B712, ""(?i)hubspot|pipedrive|stripe|shopify|woocommerce|sales|crm|invoice|order|leads?|recruitment|bamboohr|erpnext""), ""CRM &amp; Sales"",
  REGEXMATCH(A712&amp;B712, ""(?i)gmail|outlook|calendar|slack|"&amp;"discord|telegram|whatsapp|notion|trello|drive|sheets?|meeting|scheduler|appointment|mattermost""), ""Productivity &amp; Communication"",
  REGEXMATCH(A712&amp;B712, ""(?i)github|api|webhook|http|mysql|supabase|mongodb|redis|rss|pr|code review|incident|pagerduty|j"&amp;"ira""), ""Development &amp; Utilities"",
  TRUE, ""Others""
)"),"AI &amp; LLM")</f>
        <v>AI &amp; LLM</v>
      </c>
    </row>
    <row r="713" ht="15.75" customHeight="1">
      <c r="A713" s="14" t="s">
        <v>1410</v>
      </c>
      <c r="B713" s="15" t="s">
        <v>1411</v>
      </c>
      <c r="C713" s="16" t="s">
        <v>7</v>
      </c>
      <c r="D713" s="12" t="str">
        <f>IFERROR(__xludf.DUMMYFUNCTION("IFS(
  REGEXMATCH(A713&amp;B713, ""(?i)openai|gpt|gemini|anthropic|claude|mistral|cohere|rag|vector|llm|chatbot|ai-powered""), ""AI &amp; LLM"",
  REGEXMATCH(A713&amp;B713, ""(?i)twitter|instagram|facebook|linkedin|youtube|tiktok|threads|bluesky|pinterest|social vid"&amp;"eo|reels?|shorts?""), ""Social Media"",
  REGEXMATCH(A713&amp;B713, ""(?i)hubspot|pipedrive|stripe|shopify|woocommerce|sales|crm|invoice|order|leads?|recruitment|bamboohr|erpnext""), ""CRM &amp; Sales"",
  REGEXMATCH(A713&amp;B713, ""(?i)gmail|outlook|calendar|slack|"&amp;"discord|telegram|whatsapp|notion|trello|drive|sheets?|meeting|scheduler|appointment|mattermost""), ""Productivity &amp; Communication"",
  REGEXMATCH(A713&amp;B713, ""(?i)github|api|webhook|http|mysql|supabase|mongodb|redis|rss|pr|code review|incident|pagerduty|j"&amp;"ira""), ""Development &amp; Utilities"",
  TRUE, ""Others""
)"),"AI &amp; LLM")</f>
        <v>AI &amp; LLM</v>
      </c>
    </row>
    <row r="714" ht="15.75" customHeight="1">
      <c r="A714" s="14" t="s">
        <v>1412</v>
      </c>
      <c r="B714" s="15" t="s">
        <v>1413</v>
      </c>
      <c r="C714" s="16" t="s">
        <v>7</v>
      </c>
      <c r="D714" s="12" t="str">
        <f>IFERROR(__xludf.DUMMYFUNCTION("IFS(
  REGEXMATCH(A714&amp;B714, ""(?i)openai|gpt|gemini|anthropic|claude|mistral|cohere|rag|vector|llm|chatbot|ai-powered""), ""AI &amp; LLM"",
  REGEXMATCH(A714&amp;B714, ""(?i)twitter|instagram|facebook|linkedin|youtube|tiktok|threads|bluesky|pinterest|social vid"&amp;"eo|reels?|shorts?""), ""Social Media"",
  REGEXMATCH(A714&amp;B714, ""(?i)hubspot|pipedrive|stripe|shopify|woocommerce|sales|crm|invoice|order|leads?|recruitment|bamboohr|erpnext""), ""CRM &amp; Sales"",
  REGEXMATCH(A714&amp;B714, ""(?i)gmail|outlook|calendar|slack|"&amp;"discord|telegram|whatsapp|notion|trello|drive|sheets?|meeting|scheduler|appointment|mattermost""), ""Productivity &amp; Communication"",
  REGEXMATCH(A714&amp;B714, ""(?i)github|api|webhook|http|mysql|supabase|mongodb|redis|rss|pr|code review|incident|pagerduty|j"&amp;"ira""), ""Development &amp; Utilities"",
  TRUE, ""Others""
)"),"AI &amp; LLM")</f>
        <v>AI &amp; LLM</v>
      </c>
    </row>
    <row r="715" ht="15.75" customHeight="1">
      <c r="A715" s="14" t="s">
        <v>1214</v>
      </c>
      <c r="B715" s="15" t="s">
        <v>1414</v>
      </c>
      <c r="C715" s="16" t="s">
        <v>7</v>
      </c>
      <c r="D715" s="12" t="str">
        <f>IFERROR(__xludf.DUMMYFUNCTION("IFS(
  REGEXMATCH(A715&amp;B715, ""(?i)openai|gpt|gemini|anthropic|claude|mistral|cohere|rag|vector|llm|chatbot|ai-powered""), ""AI &amp; LLM"",
  REGEXMATCH(A715&amp;B715, ""(?i)twitter|instagram|facebook|linkedin|youtube|tiktok|threads|bluesky|pinterest|social vid"&amp;"eo|reels?|shorts?""), ""Social Media"",
  REGEXMATCH(A715&amp;B715, ""(?i)hubspot|pipedrive|stripe|shopify|woocommerce|sales|crm|invoice|order|leads?|recruitment|bamboohr|erpnext""), ""CRM &amp; Sales"",
  REGEXMATCH(A715&amp;B715, ""(?i)gmail|outlook|calendar|slack|"&amp;"discord|telegram|whatsapp|notion|trello|drive|sheets?|meeting|scheduler|appointment|mattermost""), ""Productivity &amp; Communication"",
  REGEXMATCH(A715&amp;B715, ""(?i)github|api|webhook|http|mysql|supabase|mongodb|redis|rss|pr|code review|incident|pagerduty|j"&amp;"ira""), ""Development &amp; Utilities"",
  TRUE, ""Others""
)"),"AI &amp; LLM")</f>
        <v>AI &amp; LLM</v>
      </c>
    </row>
    <row r="716" ht="15.75" customHeight="1">
      <c r="A716" s="14" t="s">
        <v>1415</v>
      </c>
      <c r="B716" s="15" t="s">
        <v>1416</v>
      </c>
      <c r="C716" s="16" t="s">
        <v>7</v>
      </c>
      <c r="D716" s="12" t="str">
        <f>IFERROR(__xludf.DUMMYFUNCTION("IFS(
  REGEXMATCH(A716&amp;B716, ""(?i)openai|gpt|gemini|anthropic|claude|mistral|cohere|rag|vector|llm|chatbot|ai-powered""), ""AI &amp; LLM"",
  REGEXMATCH(A716&amp;B716, ""(?i)twitter|instagram|facebook|linkedin|youtube|tiktok|threads|bluesky|pinterest|social vid"&amp;"eo|reels?|shorts?""), ""Social Media"",
  REGEXMATCH(A716&amp;B716, ""(?i)hubspot|pipedrive|stripe|shopify|woocommerce|sales|crm|invoice|order|leads?|recruitment|bamboohr|erpnext""), ""CRM &amp; Sales"",
  REGEXMATCH(A716&amp;B716, ""(?i)gmail|outlook|calendar|slack|"&amp;"discord|telegram|whatsapp|notion|trello|drive|sheets?|meeting|scheduler|appointment|mattermost""), ""Productivity &amp; Communication"",
  REGEXMATCH(A716&amp;B716, ""(?i)github|api|webhook|http|mysql|supabase|mongodb|redis|rss|pr|code review|incident|pagerduty|j"&amp;"ira""), ""Development &amp; Utilities"",
  TRUE, ""Others""
)"),"Productivity &amp; Communication")</f>
        <v>Productivity &amp; Communication</v>
      </c>
    </row>
    <row r="717" ht="15.75" customHeight="1">
      <c r="A717" s="14" t="s">
        <v>1417</v>
      </c>
      <c r="B717" s="15" t="s">
        <v>1418</v>
      </c>
      <c r="C717" s="16" t="s">
        <v>7</v>
      </c>
      <c r="D717" s="12" t="str">
        <f>IFERROR(__xludf.DUMMYFUNCTION("IFS(
  REGEXMATCH(A717&amp;B717, ""(?i)openai|gpt|gemini|anthropic|claude|mistral|cohere|rag|vector|llm|chatbot|ai-powered""), ""AI &amp; LLM"",
  REGEXMATCH(A717&amp;B717, ""(?i)twitter|instagram|facebook|linkedin|youtube|tiktok|threads|bluesky|pinterest|social vid"&amp;"eo|reels?|shorts?""), ""Social Media"",
  REGEXMATCH(A717&amp;B717, ""(?i)hubspot|pipedrive|stripe|shopify|woocommerce|sales|crm|invoice|order|leads?|recruitment|bamboohr|erpnext""), ""CRM &amp; Sales"",
  REGEXMATCH(A717&amp;B717, ""(?i)gmail|outlook|calendar|slack|"&amp;"discord|telegram|whatsapp|notion|trello|drive|sheets?|meeting|scheduler|appointment|mattermost""), ""Productivity &amp; Communication"",
  REGEXMATCH(A717&amp;B717, ""(?i)github|api|webhook|http|mysql|supabase|mongodb|redis|rss|pr|code review|incident|pagerduty|j"&amp;"ira""), ""Development &amp; Utilities"",
  TRUE, ""Others""
)"),"CRM &amp; Sales")</f>
        <v>CRM &amp; Sales</v>
      </c>
    </row>
    <row r="718" ht="15.75" customHeight="1">
      <c r="A718" s="14" t="s">
        <v>1419</v>
      </c>
      <c r="B718" s="15" t="s">
        <v>1420</v>
      </c>
      <c r="C718" s="16" t="s">
        <v>7</v>
      </c>
      <c r="D718" s="12" t="str">
        <f>IFERROR(__xludf.DUMMYFUNCTION("IFS(
  REGEXMATCH(A718&amp;B718, ""(?i)openai|gpt|gemini|anthropic|claude|mistral|cohere|rag|vector|llm|chatbot|ai-powered""), ""AI &amp; LLM"",
  REGEXMATCH(A718&amp;B718, ""(?i)twitter|instagram|facebook|linkedin|youtube|tiktok|threads|bluesky|pinterest|social vid"&amp;"eo|reels?|shorts?""), ""Social Media"",
  REGEXMATCH(A718&amp;B718, ""(?i)hubspot|pipedrive|stripe|shopify|woocommerce|sales|crm|invoice|order|leads?|recruitment|bamboohr|erpnext""), ""CRM &amp; Sales"",
  REGEXMATCH(A718&amp;B718, ""(?i)gmail|outlook|calendar|slack|"&amp;"discord|telegram|whatsapp|notion|trello|drive|sheets?|meeting|scheduler|appointment|mattermost""), ""Productivity &amp; Communication"",
  REGEXMATCH(A718&amp;B718, ""(?i)github|api|webhook|http|mysql|supabase|mongodb|redis|rss|pr|code review|incident|pagerduty|j"&amp;"ira""), ""Development &amp; Utilities"",
  TRUE, ""Others""
)"),"AI &amp; LLM")</f>
        <v>AI &amp; LLM</v>
      </c>
    </row>
    <row r="719" ht="15.75" customHeight="1">
      <c r="A719" s="14" t="s">
        <v>1421</v>
      </c>
      <c r="B719" s="15" t="s">
        <v>1422</v>
      </c>
      <c r="C719" s="16" t="s">
        <v>7</v>
      </c>
      <c r="D719" s="12" t="str">
        <f>IFERROR(__xludf.DUMMYFUNCTION("IFS(
  REGEXMATCH(A719&amp;B719, ""(?i)openai|gpt|gemini|anthropic|claude|mistral|cohere|rag|vector|llm|chatbot|ai-powered""), ""AI &amp; LLM"",
  REGEXMATCH(A719&amp;B719, ""(?i)twitter|instagram|facebook|linkedin|youtube|tiktok|threads|bluesky|pinterest|social vid"&amp;"eo|reels?|shorts?""), ""Social Media"",
  REGEXMATCH(A719&amp;B719, ""(?i)hubspot|pipedrive|stripe|shopify|woocommerce|sales|crm|invoice|order|leads?|recruitment|bamboohr|erpnext""), ""CRM &amp; Sales"",
  REGEXMATCH(A719&amp;B719, ""(?i)gmail|outlook|calendar|slack|"&amp;"discord|telegram|whatsapp|notion|trello|drive|sheets?|meeting|scheduler|appointment|mattermost""), ""Productivity &amp; Communication"",
  REGEXMATCH(A719&amp;B719, ""(?i)github|api|webhook|http|mysql|supabase|mongodb|redis|rss|pr|code review|incident|pagerduty|j"&amp;"ira""), ""Development &amp; Utilities"",
  TRUE, ""Others""
)"),"Social Media")</f>
        <v>Social Media</v>
      </c>
    </row>
    <row r="720" ht="15.75" customHeight="1">
      <c r="A720" s="14" t="s">
        <v>1423</v>
      </c>
      <c r="B720" s="15" t="s">
        <v>1424</v>
      </c>
      <c r="C720" s="16" t="s">
        <v>7</v>
      </c>
      <c r="D720" s="12" t="str">
        <f>IFERROR(__xludf.DUMMYFUNCTION("IFS(
  REGEXMATCH(A720&amp;B720, ""(?i)openai|gpt|gemini|anthropic|claude|mistral|cohere|rag|vector|llm|chatbot|ai-powered""), ""AI &amp; LLM"",
  REGEXMATCH(A720&amp;B720, ""(?i)twitter|instagram|facebook|linkedin|youtube|tiktok|threads|bluesky|pinterest|social vid"&amp;"eo|reels?|shorts?""), ""Social Media"",
  REGEXMATCH(A720&amp;B720, ""(?i)hubspot|pipedrive|stripe|shopify|woocommerce|sales|crm|invoice|order|leads?|recruitment|bamboohr|erpnext""), ""CRM &amp; Sales"",
  REGEXMATCH(A720&amp;B720, ""(?i)gmail|outlook|calendar|slack|"&amp;"discord|telegram|whatsapp|notion|trello|drive|sheets?|meeting|scheduler|appointment|mattermost""), ""Productivity &amp; Communication"",
  REGEXMATCH(A720&amp;B720, ""(?i)github|api|webhook|http|mysql|supabase|mongodb|redis|rss|pr|code review|incident|pagerduty|j"&amp;"ira""), ""Development &amp; Utilities"",
  TRUE, ""Others""
)"),"CRM &amp; Sales")</f>
        <v>CRM &amp; Sales</v>
      </c>
    </row>
    <row r="721" ht="15.75" customHeight="1">
      <c r="A721" s="14" t="s">
        <v>1425</v>
      </c>
      <c r="B721" s="15" t="s">
        <v>1426</v>
      </c>
      <c r="C721" s="16" t="s">
        <v>7</v>
      </c>
      <c r="D721" s="12" t="str">
        <f>IFERROR(__xludf.DUMMYFUNCTION("IFS(
  REGEXMATCH(A721&amp;B721, ""(?i)openai|gpt|gemini|anthropic|claude|mistral|cohere|rag|vector|llm|chatbot|ai-powered""), ""AI &amp; LLM"",
  REGEXMATCH(A721&amp;B721, ""(?i)twitter|instagram|facebook|linkedin|youtube|tiktok|threads|bluesky|pinterest|social vid"&amp;"eo|reels?|shorts?""), ""Social Media"",
  REGEXMATCH(A721&amp;B721, ""(?i)hubspot|pipedrive|stripe|shopify|woocommerce|sales|crm|invoice|order|leads?|recruitment|bamboohr|erpnext""), ""CRM &amp; Sales"",
  REGEXMATCH(A721&amp;B721, ""(?i)gmail|outlook|calendar|slack|"&amp;"discord|telegram|whatsapp|notion|trello|drive|sheets?|meeting|scheduler|appointment|mattermost""), ""Productivity &amp; Communication"",
  REGEXMATCH(A721&amp;B721, ""(?i)github|api|webhook|http|mysql|supabase|mongodb|redis|rss|pr|code review|incident|pagerduty|j"&amp;"ira""), ""Development &amp; Utilities"",
  TRUE, ""Others""
)"),"AI &amp; LLM")</f>
        <v>AI &amp; LLM</v>
      </c>
    </row>
    <row r="722" ht="15.75" customHeight="1">
      <c r="A722" s="14" t="s">
        <v>1427</v>
      </c>
      <c r="B722" s="15" t="s">
        <v>1428</v>
      </c>
      <c r="C722" s="16" t="s">
        <v>7</v>
      </c>
      <c r="D722" s="12" t="str">
        <f>IFERROR(__xludf.DUMMYFUNCTION("IFS(
  REGEXMATCH(A722&amp;B722, ""(?i)openai|gpt|gemini|anthropic|claude|mistral|cohere|rag|vector|llm|chatbot|ai-powered""), ""AI &amp; LLM"",
  REGEXMATCH(A722&amp;B722, ""(?i)twitter|instagram|facebook|linkedin|youtube|tiktok|threads|bluesky|pinterest|social vid"&amp;"eo|reels?|shorts?""), ""Social Media"",
  REGEXMATCH(A722&amp;B722, ""(?i)hubspot|pipedrive|stripe|shopify|woocommerce|sales|crm|invoice|order|leads?|recruitment|bamboohr|erpnext""), ""CRM &amp; Sales"",
  REGEXMATCH(A722&amp;B722, ""(?i)gmail|outlook|calendar|slack|"&amp;"discord|telegram|whatsapp|notion|trello|drive|sheets?|meeting|scheduler|appointment|mattermost""), ""Productivity &amp; Communication"",
  REGEXMATCH(A722&amp;B722, ""(?i)github|api|webhook|http|mysql|supabase|mongodb|redis|rss|pr|code review|incident|pagerduty|j"&amp;"ira""), ""Development &amp; Utilities"",
  TRUE, ""Others""
)"),"AI &amp; LLM")</f>
        <v>AI &amp; LLM</v>
      </c>
    </row>
    <row r="723" ht="15.75" customHeight="1">
      <c r="A723" s="14" t="s">
        <v>690</v>
      </c>
      <c r="B723" s="15" t="s">
        <v>1429</v>
      </c>
      <c r="C723" s="16" t="s">
        <v>7</v>
      </c>
      <c r="D723" s="12" t="str">
        <f>IFERROR(__xludf.DUMMYFUNCTION("IFS(
  REGEXMATCH(A723&amp;B723, ""(?i)openai|gpt|gemini|anthropic|claude|mistral|cohere|rag|vector|llm|chatbot|ai-powered""), ""AI &amp; LLM"",
  REGEXMATCH(A723&amp;B723, ""(?i)twitter|instagram|facebook|linkedin|youtube|tiktok|threads|bluesky|pinterest|social vid"&amp;"eo|reels?|shorts?""), ""Social Media"",
  REGEXMATCH(A723&amp;B723, ""(?i)hubspot|pipedrive|stripe|shopify|woocommerce|sales|crm|invoice|order|leads?|recruitment|bamboohr|erpnext""), ""CRM &amp; Sales"",
  REGEXMATCH(A723&amp;B723, ""(?i)gmail|outlook|calendar|slack|"&amp;"discord|telegram|whatsapp|notion|trello|drive|sheets?|meeting|scheduler|appointment|mattermost""), ""Productivity &amp; Communication"",
  REGEXMATCH(A723&amp;B723, ""(?i)github|api|webhook|http|mysql|supabase|mongodb|redis|rss|pr|code review|incident|pagerduty|j"&amp;"ira""), ""Development &amp; Utilities"",
  TRUE, ""Others""
)"),"AI &amp; LLM")</f>
        <v>AI &amp; LLM</v>
      </c>
    </row>
    <row r="724" ht="15.75" customHeight="1">
      <c r="A724" s="14" t="s">
        <v>1430</v>
      </c>
      <c r="B724" s="15" t="s">
        <v>1431</v>
      </c>
      <c r="C724" s="16" t="s">
        <v>7</v>
      </c>
      <c r="D724" s="12" t="str">
        <f>IFERROR(__xludf.DUMMYFUNCTION("IFS(
  REGEXMATCH(A724&amp;B724, ""(?i)openai|gpt|gemini|anthropic|claude|mistral|cohere|rag|vector|llm|chatbot|ai-powered""), ""AI &amp; LLM"",
  REGEXMATCH(A724&amp;B724, ""(?i)twitter|instagram|facebook|linkedin|youtube|tiktok|threads|bluesky|pinterest|social vid"&amp;"eo|reels?|shorts?""), ""Social Media"",
  REGEXMATCH(A724&amp;B724, ""(?i)hubspot|pipedrive|stripe|shopify|woocommerce|sales|crm|invoice|order|leads?|recruitment|bamboohr|erpnext""), ""CRM &amp; Sales"",
  REGEXMATCH(A724&amp;B724, ""(?i)gmail|outlook|calendar|slack|"&amp;"discord|telegram|whatsapp|notion|trello|drive|sheets?|meeting|scheduler|appointment|mattermost""), ""Productivity &amp; Communication"",
  REGEXMATCH(A724&amp;B724, ""(?i)github|api|webhook|http|mysql|supabase|mongodb|redis|rss|pr|code review|incident|pagerduty|j"&amp;"ira""), ""Development &amp; Utilities"",
  TRUE, ""Others""
)"),"Development &amp; Utilities")</f>
        <v>Development &amp; Utilities</v>
      </c>
    </row>
    <row r="725" ht="15.75" customHeight="1">
      <c r="A725" s="14" t="s">
        <v>1432</v>
      </c>
      <c r="B725" s="15" t="s">
        <v>1433</v>
      </c>
      <c r="C725" s="16" t="s">
        <v>7</v>
      </c>
      <c r="D725" s="12" t="str">
        <f>IFERROR(__xludf.DUMMYFUNCTION("IFS(
  REGEXMATCH(A725&amp;B725, ""(?i)openai|gpt|gemini|anthropic|claude|mistral|cohere|rag|vector|llm|chatbot|ai-powered""), ""AI &amp; LLM"",
  REGEXMATCH(A725&amp;B725, ""(?i)twitter|instagram|facebook|linkedin|youtube|tiktok|threads|bluesky|pinterest|social vid"&amp;"eo|reels?|shorts?""), ""Social Media"",
  REGEXMATCH(A725&amp;B725, ""(?i)hubspot|pipedrive|stripe|shopify|woocommerce|sales|crm|invoice|order|leads?|recruitment|bamboohr|erpnext""), ""CRM &amp; Sales"",
  REGEXMATCH(A725&amp;B725, ""(?i)gmail|outlook|calendar|slack|"&amp;"discord|telegram|whatsapp|notion|trello|drive|sheets?|meeting|scheduler|appointment|mattermost""), ""Productivity &amp; Communication"",
  REGEXMATCH(A725&amp;B725, ""(?i)github|api|webhook|http|mysql|supabase|mongodb|redis|rss|pr|code review|incident|pagerduty|j"&amp;"ira""), ""Development &amp; Utilities"",
  TRUE, ""Others""
)"),"AI &amp; LLM")</f>
        <v>AI &amp; LLM</v>
      </c>
    </row>
    <row r="726" ht="15.75" customHeight="1">
      <c r="A726" s="14" t="s">
        <v>1434</v>
      </c>
      <c r="B726" s="15" t="s">
        <v>1435</v>
      </c>
      <c r="C726" s="16" t="s">
        <v>7</v>
      </c>
      <c r="D726" s="12" t="str">
        <f>IFERROR(__xludf.DUMMYFUNCTION("IFS(
  REGEXMATCH(A726&amp;B726, ""(?i)openai|gpt|gemini|anthropic|claude|mistral|cohere|rag|vector|llm|chatbot|ai-powered""), ""AI &amp; LLM"",
  REGEXMATCH(A726&amp;B726, ""(?i)twitter|instagram|facebook|linkedin|youtube|tiktok|threads|bluesky|pinterest|social vid"&amp;"eo|reels?|shorts?""), ""Social Media"",
  REGEXMATCH(A726&amp;B726, ""(?i)hubspot|pipedrive|stripe|shopify|woocommerce|sales|crm|invoice|order|leads?|recruitment|bamboohr|erpnext""), ""CRM &amp; Sales"",
  REGEXMATCH(A726&amp;B726, ""(?i)gmail|outlook|calendar|slack|"&amp;"discord|telegram|whatsapp|notion|trello|drive|sheets?|meeting|scheduler|appointment|mattermost""), ""Productivity &amp; Communication"",
  REGEXMATCH(A726&amp;B726, ""(?i)github|api|webhook|http|mysql|supabase|mongodb|redis|rss|pr|code review|incident|pagerduty|j"&amp;"ira""), ""Development &amp; Utilities"",
  TRUE, ""Others""
)"),"AI &amp; LLM")</f>
        <v>AI &amp; LLM</v>
      </c>
    </row>
    <row r="727" ht="15.75" customHeight="1">
      <c r="A727" s="14" t="s">
        <v>1436</v>
      </c>
      <c r="B727" s="15" t="s">
        <v>1437</v>
      </c>
      <c r="C727" s="16" t="s">
        <v>7</v>
      </c>
      <c r="D727" s="12" t="str">
        <f>IFERROR(__xludf.DUMMYFUNCTION("IFS(
  REGEXMATCH(A727&amp;B727, ""(?i)openai|gpt|gemini|anthropic|claude|mistral|cohere|rag|vector|llm|chatbot|ai-powered""), ""AI &amp; LLM"",
  REGEXMATCH(A727&amp;B727, ""(?i)twitter|instagram|facebook|linkedin|youtube|tiktok|threads|bluesky|pinterest|social vid"&amp;"eo|reels?|shorts?""), ""Social Media"",
  REGEXMATCH(A727&amp;B727, ""(?i)hubspot|pipedrive|stripe|shopify|woocommerce|sales|crm|invoice|order|leads?|recruitment|bamboohr|erpnext""), ""CRM &amp; Sales"",
  REGEXMATCH(A727&amp;B727, ""(?i)gmail|outlook|calendar|slack|"&amp;"discord|telegram|whatsapp|notion|trello|drive|sheets?|meeting|scheduler|appointment|mattermost""), ""Productivity &amp; Communication"",
  REGEXMATCH(A727&amp;B727, ""(?i)github|api|webhook|http|mysql|supabase|mongodb|redis|rss|pr|code review|incident|pagerduty|j"&amp;"ira""), ""Development &amp; Utilities"",
  TRUE, ""Others""
)"),"AI &amp; LLM")</f>
        <v>AI &amp; LLM</v>
      </c>
    </row>
    <row r="728" ht="15.75" customHeight="1">
      <c r="A728" s="14" t="s">
        <v>1438</v>
      </c>
      <c r="B728" s="15" t="s">
        <v>1439</v>
      </c>
      <c r="C728" s="16" t="s">
        <v>7</v>
      </c>
      <c r="D728" s="12" t="str">
        <f>IFERROR(__xludf.DUMMYFUNCTION("IFS(
  REGEXMATCH(A728&amp;B728, ""(?i)openai|gpt|gemini|anthropic|claude|mistral|cohere|rag|vector|llm|chatbot|ai-powered""), ""AI &amp; LLM"",
  REGEXMATCH(A728&amp;B728, ""(?i)twitter|instagram|facebook|linkedin|youtube|tiktok|threads|bluesky|pinterest|social vid"&amp;"eo|reels?|shorts?""), ""Social Media"",
  REGEXMATCH(A728&amp;B728, ""(?i)hubspot|pipedrive|stripe|shopify|woocommerce|sales|crm|invoice|order|leads?|recruitment|bamboohr|erpnext""), ""CRM &amp; Sales"",
  REGEXMATCH(A728&amp;B728, ""(?i)gmail|outlook|calendar|slack|"&amp;"discord|telegram|whatsapp|notion|trello|drive|sheets?|meeting|scheduler|appointment|mattermost""), ""Productivity &amp; Communication"",
  REGEXMATCH(A728&amp;B728, ""(?i)github|api|webhook|http|mysql|supabase|mongodb|redis|rss|pr|code review|incident|pagerduty|j"&amp;"ira""), ""Development &amp; Utilities"",
  TRUE, ""Others""
)"),"AI &amp; LLM")</f>
        <v>AI &amp; LLM</v>
      </c>
    </row>
    <row r="729" ht="15.75" customHeight="1">
      <c r="A729" s="14" t="s">
        <v>1440</v>
      </c>
      <c r="B729" s="15" t="s">
        <v>1441</v>
      </c>
      <c r="C729" s="16" t="s">
        <v>7</v>
      </c>
      <c r="D729" s="12" t="str">
        <f>IFERROR(__xludf.DUMMYFUNCTION("IFS(
  REGEXMATCH(A729&amp;B729, ""(?i)openai|gpt|gemini|anthropic|claude|mistral|cohere|rag|vector|llm|chatbot|ai-powered""), ""AI &amp; LLM"",
  REGEXMATCH(A729&amp;B729, ""(?i)twitter|instagram|facebook|linkedin|youtube|tiktok|threads|bluesky|pinterest|social vid"&amp;"eo|reels?|shorts?""), ""Social Media"",
  REGEXMATCH(A729&amp;B729, ""(?i)hubspot|pipedrive|stripe|shopify|woocommerce|sales|crm|invoice|order|leads?|recruitment|bamboohr|erpnext""), ""CRM &amp; Sales"",
  REGEXMATCH(A729&amp;B729, ""(?i)gmail|outlook|calendar|slack|"&amp;"discord|telegram|whatsapp|notion|trello|drive|sheets?|meeting|scheduler|appointment|mattermost""), ""Productivity &amp; Communication"",
  REGEXMATCH(A729&amp;B729, ""(?i)github|api|webhook|http|mysql|supabase|mongodb|redis|rss|pr|code review|incident|pagerduty|j"&amp;"ira""), ""Development &amp; Utilities"",
  TRUE, ""Others""
)"),"AI &amp; LLM")</f>
        <v>AI &amp; LLM</v>
      </c>
    </row>
    <row r="730" ht="15.75" customHeight="1">
      <c r="A730" s="14" t="s">
        <v>1442</v>
      </c>
      <c r="B730" s="15" t="s">
        <v>1443</v>
      </c>
      <c r="C730" s="16" t="s">
        <v>7</v>
      </c>
      <c r="D730" s="12" t="str">
        <f>IFERROR(__xludf.DUMMYFUNCTION("IFS(
  REGEXMATCH(A730&amp;B730, ""(?i)openai|gpt|gemini|anthropic|claude|mistral|cohere|rag|vector|llm|chatbot|ai-powered""), ""AI &amp; LLM"",
  REGEXMATCH(A730&amp;B730, ""(?i)twitter|instagram|facebook|linkedin|youtube|tiktok|threads|bluesky|pinterest|social vid"&amp;"eo|reels?|shorts?""), ""Social Media"",
  REGEXMATCH(A730&amp;B730, ""(?i)hubspot|pipedrive|stripe|shopify|woocommerce|sales|crm|invoice|order|leads?|recruitment|bamboohr|erpnext""), ""CRM &amp; Sales"",
  REGEXMATCH(A730&amp;B730, ""(?i)gmail|outlook|calendar|slack|"&amp;"discord|telegram|whatsapp|notion|trello|drive|sheets?|meeting|scheduler|appointment|mattermost""), ""Productivity &amp; Communication"",
  REGEXMATCH(A730&amp;B730, ""(?i)github|api|webhook|http|mysql|supabase|mongodb|redis|rss|pr|code review|incident|pagerduty|j"&amp;"ira""), ""Development &amp; Utilities"",
  TRUE, ""Others""
)"),"AI &amp; LLM")</f>
        <v>AI &amp; LLM</v>
      </c>
    </row>
    <row r="731" ht="15.75" customHeight="1">
      <c r="A731" s="14" t="s">
        <v>1444</v>
      </c>
      <c r="B731" s="15" t="s">
        <v>1445</v>
      </c>
      <c r="C731" s="16" t="s">
        <v>7</v>
      </c>
      <c r="D731" s="12" t="str">
        <f>IFERROR(__xludf.DUMMYFUNCTION("IFS(
  REGEXMATCH(A731&amp;B731, ""(?i)openai|gpt|gemini|anthropic|claude|mistral|cohere|rag|vector|llm|chatbot|ai-powered""), ""AI &amp; LLM"",
  REGEXMATCH(A731&amp;B731, ""(?i)twitter|instagram|facebook|linkedin|youtube|tiktok|threads|bluesky|pinterest|social vid"&amp;"eo|reels?|shorts?""), ""Social Media"",
  REGEXMATCH(A731&amp;B731, ""(?i)hubspot|pipedrive|stripe|shopify|woocommerce|sales|crm|invoice|order|leads?|recruitment|bamboohr|erpnext""), ""CRM &amp; Sales"",
  REGEXMATCH(A731&amp;B731, ""(?i)gmail|outlook|calendar|slack|"&amp;"discord|telegram|whatsapp|notion|trello|drive|sheets?|meeting|scheduler|appointment|mattermost""), ""Productivity &amp; Communication"",
  REGEXMATCH(A731&amp;B731, ""(?i)github|api|webhook|http|mysql|supabase|mongodb|redis|rss|pr|code review|incident|pagerduty|j"&amp;"ira""), ""Development &amp; Utilities"",
  TRUE, ""Others""
)"),"AI &amp; LLM")</f>
        <v>AI &amp; LLM</v>
      </c>
    </row>
    <row r="732" ht="15.75" customHeight="1">
      <c r="A732" s="14" t="s">
        <v>1446</v>
      </c>
      <c r="B732" s="15" t="s">
        <v>1447</v>
      </c>
      <c r="C732" s="16" t="s">
        <v>7</v>
      </c>
      <c r="D732" s="12" t="str">
        <f>IFERROR(__xludf.DUMMYFUNCTION("IFS(
  REGEXMATCH(A732&amp;B732, ""(?i)openai|gpt|gemini|anthropic|claude|mistral|cohere|rag|vector|llm|chatbot|ai-powered""), ""AI &amp; LLM"",
  REGEXMATCH(A732&amp;B732, ""(?i)twitter|instagram|facebook|linkedin|youtube|tiktok|threads|bluesky|pinterest|social vid"&amp;"eo|reels?|shorts?""), ""Social Media"",
  REGEXMATCH(A732&amp;B732, ""(?i)hubspot|pipedrive|stripe|shopify|woocommerce|sales|crm|invoice|order|leads?|recruitment|bamboohr|erpnext""), ""CRM &amp; Sales"",
  REGEXMATCH(A732&amp;B732, ""(?i)gmail|outlook|calendar|slack|"&amp;"discord|telegram|whatsapp|notion|trello|drive|sheets?|meeting|scheduler|appointment|mattermost""), ""Productivity &amp; Communication"",
  REGEXMATCH(A732&amp;B732, ""(?i)github|api|webhook|http|mysql|supabase|mongodb|redis|rss|pr|code review|incident|pagerduty|j"&amp;"ira""), ""Development &amp; Utilities"",
  TRUE, ""Others""
)"),"AI &amp; LLM")</f>
        <v>AI &amp; LLM</v>
      </c>
    </row>
    <row r="733" ht="15.75" customHeight="1">
      <c r="A733" s="14" t="s">
        <v>1448</v>
      </c>
      <c r="B733" s="15" t="s">
        <v>1449</v>
      </c>
      <c r="C733" s="16" t="s">
        <v>7</v>
      </c>
      <c r="D733" s="12" t="str">
        <f>IFERROR(__xludf.DUMMYFUNCTION("IFS(
  REGEXMATCH(A733&amp;B733, ""(?i)openai|gpt|gemini|anthropic|claude|mistral|cohere|rag|vector|llm|chatbot|ai-powered""), ""AI &amp; LLM"",
  REGEXMATCH(A733&amp;B733, ""(?i)twitter|instagram|facebook|linkedin|youtube|tiktok|threads|bluesky|pinterest|social vid"&amp;"eo|reels?|shorts?""), ""Social Media"",
  REGEXMATCH(A733&amp;B733, ""(?i)hubspot|pipedrive|stripe|shopify|woocommerce|sales|crm|invoice|order|leads?|recruitment|bamboohr|erpnext""), ""CRM &amp; Sales"",
  REGEXMATCH(A733&amp;B733, ""(?i)gmail|outlook|calendar|slack|"&amp;"discord|telegram|whatsapp|notion|trello|drive|sheets?|meeting|scheduler|appointment|mattermost""), ""Productivity &amp; Communication"",
  REGEXMATCH(A733&amp;B733, ""(?i)github|api|webhook|http|mysql|supabase|mongodb|redis|rss|pr|code review|incident|pagerduty|j"&amp;"ira""), ""Development &amp; Utilities"",
  TRUE, ""Others""
)"),"Productivity &amp; Communication")</f>
        <v>Productivity &amp; Communication</v>
      </c>
    </row>
    <row r="734" ht="15.75" customHeight="1">
      <c r="A734" s="14" t="s">
        <v>1450</v>
      </c>
      <c r="B734" s="15" t="s">
        <v>1451</v>
      </c>
      <c r="C734" s="16" t="s">
        <v>7</v>
      </c>
      <c r="D734" s="12" t="str">
        <f>IFERROR(__xludf.DUMMYFUNCTION("IFS(
  REGEXMATCH(A734&amp;B734, ""(?i)openai|gpt|gemini|anthropic|claude|mistral|cohere|rag|vector|llm|chatbot|ai-powered""), ""AI &amp; LLM"",
  REGEXMATCH(A734&amp;B734, ""(?i)twitter|instagram|facebook|linkedin|youtube|tiktok|threads|bluesky|pinterest|social vid"&amp;"eo|reels?|shorts?""), ""Social Media"",
  REGEXMATCH(A734&amp;B734, ""(?i)hubspot|pipedrive|stripe|shopify|woocommerce|sales|crm|invoice|order|leads?|recruitment|bamboohr|erpnext""), ""CRM &amp; Sales"",
  REGEXMATCH(A734&amp;B734, ""(?i)gmail|outlook|calendar|slack|"&amp;"discord|telegram|whatsapp|notion|trello|drive|sheets?|meeting|scheduler|appointment|mattermost""), ""Productivity &amp; Communication"",
  REGEXMATCH(A734&amp;B734, ""(?i)github|api|webhook|http|mysql|supabase|mongodb|redis|rss|pr|code review|incident|pagerduty|j"&amp;"ira""), ""Development &amp; Utilities"",
  TRUE, ""Others""
)"),"AI &amp; LLM")</f>
        <v>AI &amp; LLM</v>
      </c>
    </row>
    <row r="735" ht="15.75" customHeight="1">
      <c r="A735" s="14" t="s">
        <v>1452</v>
      </c>
      <c r="B735" s="15" t="s">
        <v>1453</v>
      </c>
      <c r="C735" s="16" t="s">
        <v>7</v>
      </c>
      <c r="D735" s="12" t="str">
        <f>IFERROR(__xludf.DUMMYFUNCTION("IFS(
  REGEXMATCH(A735&amp;B735, ""(?i)openai|gpt|gemini|anthropic|claude|mistral|cohere|rag|vector|llm|chatbot|ai-powered""), ""AI &amp; LLM"",
  REGEXMATCH(A735&amp;B735, ""(?i)twitter|instagram|facebook|linkedin|youtube|tiktok|threads|bluesky|pinterest|social vid"&amp;"eo|reels?|shorts?""), ""Social Media"",
  REGEXMATCH(A735&amp;B735, ""(?i)hubspot|pipedrive|stripe|shopify|woocommerce|sales|crm|invoice|order|leads?|recruitment|bamboohr|erpnext""), ""CRM &amp; Sales"",
  REGEXMATCH(A735&amp;B735, ""(?i)gmail|outlook|calendar|slack|"&amp;"discord|telegram|whatsapp|notion|trello|drive|sheets?|meeting|scheduler|appointment|mattermost""), ""Productivity &amp; Communication"",
  REGEXMATCH(A735&amp;B735, ""(?i)github|api|webhook|http|mysql|supabase|mongodb|redis|rss|pr|code review|incident|pagerduty|j"&amp;"ira""), ""Development &amp; Utilities"",
  TRUE, ""Others""
)"),"Productivity &amp; Communication")</f>
        <v>Productivity &amp; Communication</v>
      </c>
    </row>
    <row r="736" ht="15.75" customHeight="1">
      <c r="A736" s="14" t="s">
        <v>1454</v>
      </c>
      <c r="B736" s="15" t="s">
        <v>1455</v>
      </c>
      <c r="C736" s="16" t="s">
        <v>7</v>
      </c>
      <c r="D736" s="12" t="str">
        <f>IFERROR(__xludf.DUMMYFUNCTION("IFS(
  REGEXMATCH(A736&amp;B736, ""(?i)openai|gpt|gemini|anthropic|claude|mistral|cohere|rag|vector|llm|chatbot|ai-powered""), ""AI &amp; LLM"",
  REGEXMATCH(A736&amp;B736, ""(?i)twitter|instagram|facebook|linkedin|youtube|tiktok|threads|bluesky|pinterest|social vid"&amp;"eo|reels?|shorts?""), ""Social Media"",
  REGEXMATCH(A736&amp;B736, ""(?i)hubspot|pipedrive|stripe|shopify|woocommerce|sales|crm|invoice|order|leads?|recruitment|bamboohr|erpnext""), ""CRM &amp; Sales"",
  REGEXMATCH(A736&amp;B736, ""(?i)gmail|outlook|calendar|slack|"&amp;"discord|telegram|whatsapp|notion|trello|drive|sheets?|meeting|scheduler|appointment|mattermost""), ""Productivity &amp; Communication"",
  REGEXMATCH(A736&amp;B736, ""(?i)github|api|webhook|http|mysql|supabase|mongodb|redis|rss|pr|code review|incident|pagerduty|j"&amp;"ira""), ""Development &amp; Utilities"",
  TRUE, ""Others""
)"),"AI &amp; LLM")</f>
        <v>AI &amp; LLM</v>
      </c>
    </row>
    <row r="737" ht="15.75" customHeight="1">
      <c r="A737" s="14" t="s">
        <v>186</v>
      </c>
      <c r="B737" s="15" t="s">
        <v>1456</v>
      </c>
      <c r="C737" s="16" t="s">
        <v>7</v>
      </c>
      <c r="D737" s="12" t="str">
        <f>IFERROR(__xludf.DUMMYFUNCTION("IFS(
  REGEXMATCH(A737&amp;B737, ""(?i)openai|gpt|gemini|anthropic|claude|mistral|cohere|rag|vector|llm|chatbot|ai-powered""), ""AI &amp; LLM"",
  REGEXMATCH(A737&amp;B737, ""(?i)twitter|instagram|facebook|linkedin|youtube|tiktok|threads|bluesky|pinterest|social vid"&amp;"eo|reels?|shorts?""), ""Social Media"",
  REGEXMATCH(A737&amp;B737, ""(?i)hubspot|pipedrive|stripe|shopify|woocommerce|sales|crm|invoice|order|leads?|recruitment|bamboohr|erpnext""), ""CRM &amp; Sales"",
  REGEXMATCH(A737&amp;B737, ""(?i)gmail|outlook|calendar|slack|"&amp;"discord|telegram|whatsapp|notion|trello|drive|sheets?|meeting|scheduler|appointment|mattermost""), ""Productivity &amp; Communication"",
  REGEXMATCH(A737&amp;B737, ""(?i)github|api|webhook|http|mysql|supabase|mongodb|redis|rss|pr|code review|incident|pagerduty|j"&amp;"ira""), ""Development &amp; Utilities"",
  TRUE, ""Others""
)"),"AI &amp; LLM")</f>
        <v>AI &amp; LLM</v>
      </c>
    </row>
    <row r="738" ht="15.75" customHeight="1">
      <c r="A738" s="14" t="s">
        <v>1457</v>
      </c>
      <c r="B738" s="15" t="s">
        <v>1458</v>
      </c>
      <c r="C738" s="16" t="s">
        <v>7</v>
      </c>
      <c r="D738" s="12" t="str">
        <f>IFERROR(__xludf.DUMMYFUNCTION("IFS(
  REGEXMATCH(A738&amp;B738, ""(?i)openai|gpt|gemini|anthropic|claude|mistral|cohere|rag|vector|llm|chatbot|ai-powered""), ""AI &amp; LLM"",
  REGEXMATCH(A738&amp;B738, ""(?i)twitter|instagram|facebook|linkedin|youtube|tiktok|threads|bluesky|pinterest|social vid"&amp;"eo|reels?|shorts?""), ""Social Media"",
  REGEXMATCH(A738&amp;B738, ""(?i)hubspot|pipedrive|stripe|shopify|woocommerce|sales|crm|invoice|order|leads?|recruitment|bamboohr|erpnext""), ""CRM &amp; Sales"",
  REGEXMATCH(A738&amp;B738, ""(?i)gmail|outlook|calendar|slack|"&amp;"discord|telegram|whatsapp|notion|trello|drive|sheets?|meeting|scheduler|appointment|mattermost""), ""Productivity &amp; Communication"",
  REGEXMATCH(A738&amp;B738, ""(?i)github|api|webhook|http|mysql|supabase|mongodb|redis|rss|pr|code review|incident|pagerduty|j"&amp;"ira""), ""Development &amp; Utilities"",
  TRUE, ""Others""
)"),"Productivity &amp; Communication")</f>
        <v>Productivity &amp; Communication</v>
      </c>
    </row>
    <row r="739" ht="15.75" customHeight="1">
      <c r="A739" s="14" t="s">
        <v>1459</v>
      </c>
      <c r="B739" s="15" t="s">
        <v>1460</v>
      </c>
      <c r="C739" s="16" t="s">
        <v>7</v>
      </c>
      <c r="D739" s="12" t="str">
        <f>IFERROR(__xludf.DUMMYFUNCTION("IFS(
  REGEXMATCH(A739&amp;B739, ""(?i)openai|gpt|gemini|anthropic|claude|mistral|cohere|rag|vector|llm|chatbot|ai-powered""), ""AI &amp; LLM"",
  REGEXMATCH(A739&amp;B739, ""(?i)twitter|instagram|facebook|linkedin|youtube|tiktok|threads|bluesky|pinterest|social vid"&amp;"eo|reels?|shorts?""), ""Social Media"",
  REGEXMATCH(A739&amp;B739, ""(?i)hubspot|pipedrive|stripe|shopify|woocommerce|sales|crm|invoice|order|leads?|recruitment|bamboohr|erpnext""), ""CRM &amp; Sales"",
  REGEXMATCH(A739&amp;B739, ""(?i)gmail|outlook|calendar|slack|"&amp;"discord|telegram|whatsapp|notion|trello|drive|sheets?|meeting|scheduler|appointment|mattermost""), ""Productivity &amp; Communication"",
  REGEXMATCH(A739&amp;B739, ""(?i)github|api|webhook|http|mysql|supabase|mongodb|redis|rss|pr|code review|incident|pagerduty|j"&amp;"ira""), ""Development &amp; Utilities"",
  TRUE, ""Others""
)"),"AI &amp; LLM")</f>
        <v>AI &amp; LLM</v>
      </c>
    </row>
    <row r="740" ht="15.75" customHeight="1">
      <c r="A740" s="14" t="s">
        <v>1461</v>
      </c>
      <c r="B740" s="15" t="s">
        <v>1462</v>
      </c>
      <c r="C740" s="16" t="s">
        <v>7</v>
      </c>
      <c r="D740" s="12" t="str">
        <f>IFERROR(__xludf.DUMMYFUNCTION("IFS(
  REGEXMATCH(A740&amp;B740, ""(?i)openai|gpt|gemini|anthropic|claude|mistral|cohere|rag|vector|llm|chatbot|ai-powered""), ""AI &amp; LLM"",
  REGEXMATCH(A740&amp;B740, ""(?i)twitter|instagram|facebook|linkedin|youtube|tiktok|threads|bluesky|pinterest|social vid"&amp;"eo|reels?|shorts?""), ""Social Media"",
  REGEXMATCH(A740&amp;B740, ""(?i)hubspot|pipedrive|stripe|shopify|woocommerce|sales|crm|invoice|order|leads?|recruitment|bamboohr|erpnext""), ""CRM &amp; Sales"",
  REGEXMATCH(A740&amp;B740, ""(?i)gmail|outlook|calendar|slack|"&amp;"discord|telegram|whatsapp|notion|trello|drive|sheets?|meeting|scheduler|appointment|mattermost""), ""Productivity &amp; Communication"",
  REGEXMATCH(A740&amp;B740, ""(?i)github|api|webhook|http|mysql|supabase|mongodb|redis|rss|pr|code review|incident|pagerduty|j"&amp;"ira""), ""Development &amp; Utilities"",
  TRUE, ""Others""
)"),"AI &amp; LLM")</f>
        <v>AI &amp; LLM</v>
      </c>
    </row>
    <row r="741" ht="15.75" customHeight="1">
      <c r="A741" s="14" t="s">
        <v>1463</v>
      </c>
      <c r="B741" s="15" t="s">
        <v>1464</v>
      </c>
      <c r="C741" s="16" t="s">
        <v>7</v>
      </c>
      <c r="D741" s="12" t="str">
        <f>IFERROR(__xludf.DUMMYFUNCTION("IFS(
  REGEXMATCH(A741&amp;B741, ""(?i)openai|gpt|gemini|anthropic|claude|mistral|cohere|rag|vector|llm|chatbot|ai-powered""), ""AI &amp; LLM"",
  REGEXMATCH(A741&amp;B741, ""(?i)twitter|instagram|facebook|linkedin|youtube|tiktok|threads|bluesky|pinterest|social vid"&amp;"eo|reels?|shorts?""), ""Social Media"",
  REGEXMATCH(A741&amp;B741, ""(?i)hubspot|pipedrive|stripe|shopify|woocommerce|sales|crm|invoice|order|leads?|recruitment|bamboohr|erpnext""), ""CRM &amp; Sales"",
  REGEXMATCH(A741&amp;B741, ""(?i)gmail|outlook|calendar|slack|"&amp;"discord|telegram|whatsapp|notion|trello|drive|sheets?|meeting|scheduler|appointment|mattermost""), ""Productivity &amp; Communication"",
  REGEXMATCH(A741&amp;B741, ""(?i)github|api|webhook|http|mysql|supabase|mongodb|redis|rss|pr|code review|incident|pagerduty|j"&amp;"ira""), ""Development &amp; Utilities"",
  TRUE, ""Others""
)"),"AI &amp; LLM")</f>
        <v>AI &amp; LLM</v>
      </c>
    </row>
    <row r="742" ht="15.75" customHeight="1">
      <c r="A742" s="14" t="s">
        <v>1465</v>
      </c>
      <c r="B742" s="15" t="s">
        <v>1466</v>
      </c>
      <c r="C742" s="16" t="s">
        <v>7</v>
      </c>
      <c r="D742" s="12" t="str">
        <f>IFERROR(__xludf.DUMMYFUNCTION("IFS(
  REGEXMATCH(A742&amp;B742, ""(?i)openai|gpt|gemini|anthropic|claude|mistral|cohere|rag|vector|llm|chatbot|ai-powered""), ""AI &amp; LLM"",
  REGEXMATCH(A742&amp;B742, ""(?i)twitter|instagram|facebook|linkedin|youtube|tiktok|threads|bluesky|pinterest|social vid"&amp;"eo|reels?|shorts?""), ""Social Media"",
  REGEXMATCH(A742&amp;B742, ""(?i)hubspot|pipedrive|stripe|shopify|woocommerce|sales|crm|invoice|order|leads?|recruitment|bamboohr|erpnext""), ""CRM &amp; Sales"",
  REGEXMATCH(A742&amp;B742, ""(?i)gmail|outlook|calendar|slack|"&amp;"discord|telegram|whatsapp|notion|trello|drive|sheets?|meeting|scheduler|appointment|mattermost""), ""Productivity &amp; Communication"",
  REGEXMATCH(A742&amp;B742, ""(?i)github|api|webhook|http|mysql|supabase|mongodb|redis|rss|pr|code review|incident|pagerduty|j"&amp;"ira""), ""Development &amp; Utilities"",
  TRUE, ""Others""
)"),"Development &amp; Utilities")</f>
        <v>Development &amp; Utilities</v>
      </c>
    </row>
    <row r="743" ht="15.75" customHeight="1">
      <c r="A743" s="14" t="s">
        <v>1467</v>
      </c>
      <c r="B743" s="15" t="s">
        <v>1468</v>
      </c>
      <c r="C743" s="16" t="s">
        <v>7</v>
      </c>
      <c r="D743" s="12" t="str">
        <f>IFERROR(__xludf.DUMMYFUNCTION("IFS(
  REGEXMATCH(A743&amp;B743, ""(?i)openai|gpt|gemini|anthropic|claude|mistral|cohere|rag|vector|llm|chatbot|ai-powered""), ""AI &amp; LLM"",
  REGEXMATCH(A743&amp;B743, ""(?i)twitter|instagram|facebook|linkedin|youtube|tiktok|threads|bluesky|pinterest|social vid"&amp;"eo|reels?|shorts?""), ""Social Media"",
  REGEXMATCH(A743&amp;B743, ""(?i)hubspot|pipedrive|stripe|shopify|woocommerce|sales|crm|invoice|order|leads?|recruitment|bamboohr|erpnext""), ""CRM &amp; Sales"",
  REGEXMATCH(A743&amp;B743, ""(?i)gmail|outlook|calendar|slack|"&amp;"discord|telegram|whatsapp|notion|trello|drive|sheets?|meeting|scheduler|appointment|mattermost""), ""Productivity &amp; Communication"",
  REGEXMATCH(A743&amp;B743, ""(?i)github|api|webhook|http|mysql|supabase|mongodb|redis|rss|pr|code review|incident|pagerduty|j"&amp;"ira""), ""Development &amp; Utilities"",
  TRUE, ""Others""
)"),"CRM &amp; Sales")</f>
        <v>CRM &amp; Sales</v>
      </c>
    </row>
    <row r="744" ht="15.75" customHeight="1">
      <c r="A744" s="14" t="s">
        <v>1469</v>
      </c>
      <c r="B744" s="15" t="s">
        <v>1470</v>
      </c>
      <c r="C744" s="16" t="s">
        <v>7</v>
      </c>
      <c r="D744" s="12" t="str">
        <f>IFERROR(__xludf.DUMMYFUNCTION("IFS(
  REGEXMATCH(A744&amp;B744, ""(?i)openai|gpt|gemini|anthropic|claude|mistral|cohere|rag|vector|llm|chatbot|ai-powered""), ""AI &amp; LLM"",
  REGEXMATCH(A744&amp;B744, ""(?i)twitter|instagram|facebook|linkedin|youtube|tiktok|threads|bluesky|pinterest|social vid"&amp;"eo|reels?|shorts?""), ""Social Media"",
  REGEXMATCH(A744&amp;B744, ""(?i)hubspot|pipedrive|stripe|shopify|woocommerce|sales|crm|invoice|order|leads?|recruitment|bamboohr|erpnext""), ""CRM &amp; Sales"",
  REGEXMATCH(A744&amp;B744, ""(?i)gmail|outlook|calendar|slack|"&amp;"discord|telegram|whatsapp|notion|trello|drive|sheets?|meeting|scheduler|appointment|mattermost""), ""Productivity &amp; Communication"",
  REGEXMATCH(A744&amp;B744, ""(?i)github|api|webhook|http|mysql|supabase|mongodb|redis|rss|pr|code review|incident|pagerduty|j"&amp;"ira""), ""Development &amp; Utilities"",
  TRUE, ""Others""
)"),"Development &amp; Utilities")</f>
        <v>Development &amp; Utilities</v>
      </c>
    </row>
    <row r="745" ht="15.75" customHeight="1">
      <c r="A745" s="14" t="s">
        <v>1471</v>
      </c>
      <c r="B745" s="15" t="s">
        <v>1472</v>
      </c>
      <c r="C745" s="16" t="s">
        <v>7</v>
      </c>
      <c r="D745" s="12" t="str">
        <f>IFERROR(__xludf.DUMMYFUNCTION("IFS(
  REGEXMATCH(A745&amp;B745, ""(?i)openai|gpt|gemini|anthropic|claude|mistral|cohere|rag|vector|llm|chatbot|ai-powered""), ""AI &amp; LLM"",
  REGEXMATCH(A745&amp;B745, ""(?i)twitter|instagram|facebook|linkedin|youtube|tiktok|threads|bluesky|pinterest|social vid"&amp;"eo|reels?|shorts?""), ""Social Media"",
  REGEXMATCH(A745&amp;B745, ""(?i)hubspot|pipedrive|stripe|shopify|woocommerce|sales|crm|invoice|order|leads?|recruitment|bamboohr|erpnext""), ""CRM &amp; Sales"",
  REGEXMATCH(A745&amp;B745, ""(?i)gmail|outlook|calendar|slack|"&amp;"discord|telegram|whatsapp|notion|trello|drive|sheets?|meeting|scheduler|appointment|mattermost""), ""Productivity &amp; Communication"",
  REGEXMATCH(A745&amp;B745, ""(?i)github|api|webhook|http|mysql|supabase|mongodb|redis|rss|pr|code review|incident|pagerduty|j"&amp;"ira""), ""Development &amp; Utilities"",
  TRUE, ""Others""
)"),"AI &amp; LLM")</f>
        <v>AI &amp; LLM</v>
      </c>
    </row>
    <row r="746" ht="15.75" customHeight="1">
      <c r="A746" s="14" t="s">
        <v>1473</v>
      </c>
      <c r="B746" s="15" t="s">
        <v>1474</v>
      </c>
      <c r="C746" s="16" t="s">
        <v>7</v>
      </c>
      <c r="D746" s="12" t="str">
        <f>IFERROR(__xludf.DUMMYFUNCTION("IFS(
  REGEXMATCH(A746&amp;B746, ""(?i)openai|gpt|gemini|anthropic|claude|mistral|cohere|rag|vector|llm|chatbot|ai-powered""), ""AI &amp; LLM"",
  REGEXMATCH(A746&amp;B746, ""(?i)twitter|instagram|facebook|linkedin|youtube|tiktok|threads|bluesky|pinterest|social vid"&amp;"eo|reels?|shorts?""), ""Social Media"",
  REGEXMATCH(A746&amp;B746, ""(?i)hubspot|pipedrive|stripe|shopify|woocommerce|sales|crm|invoice|order|leads?|recruitment|bamboohr|erpnext""), ""CRM &amp; Sales"",
  REGEXMATCH(A746&amp;B746, ""(?i)gmail|outlook|calendar|slack|"&amp;"discord|telegram|whatsapp|notion|trello|drive|sheets?|meeting|scheduler|appointment|mattermost""), ""Productivity &amp; Communication"",
  REGEXMATCH(A746&amp;B746, ""(?i)github|api|webhook|http|mysql|supabase|mongodb|redis|rss|pr|code review|incident|pagerduty|j"&amp;"ira""), ""Development &amp; Utilities"",
  TRUE, ""Others""
)"),"AI &amp; LLM")</f>
        <v>AI &amp; LLM</v>
      </c>
    </row>
    <row r="747" ht="15.75" customHeight="1">
      <c r="A747" s="14" t="s">
        <v>1475</v>
      </c>
      <c r="B747" s="15" t="s">
        <v>1476</v>
      </c>
      <c r="C747" s="16" t="s">
        <v>7</v>
      </c>
      <c r="D747" s="12" t="str">
        <f>IFERROR(__xludf.DUMMYFUNCTION("IFS(
  REGEXMATCH(A747&amp;B747, ""(?i)openai|gpt|gemini|anthropic|claude|mistral|cohere|rag|vector|llm|chatbot|ai-powered""), ""AI &amp; LLM"",
  REGEXMATCH(A747&amp;B747, ""(?i)twitter|instagram|facebook|linkedin|youtube|tiktok|threads|bluesky|pinterest|social vid"&amp;"eo|reels?|shorts?""), ""Social Media"",
  REGEXMATCH(A747&amp;B747, ""(?i)hubspot|pipedrive|stripe|shopify|woocommerce|sales|crm|invoice|order|leads?|recruitment|bamboohr|erpnext""), ""CRM &amp; Sales"",
  REGEXMATCH(A747&amp;B747, ""(?i)gmail|outlook|calendar|slack|"&amp;"discord|telegram|whatsapp|notion|trello|drive|sheets?|meeting|scheduler|appointment|mattermost""), ""Productivity &amp; Communication"",
  REGEXMATCH(A747&amp;B747, ""(?i)github|api|webhook|http|mysql|supabase|mongodb|redis|rss|pr|code review|incident|pagerduty|j"&amp;"ira""), ""Development &amp; Utilities"",
  TRUE, ""Others""
)"),"Productivity &amp; Communication")</f>
        <v>Productivity &amp; Communication</v>
      </c>
    </row>
    <row r="748" ht="15.75" customHeight="1">
      <c r="A748" s="14" t="s">
        <v>1477</v>
      </c>
      <c r="B748" s="15" t="s">
        <v>1478</v>
      </c>
      <c r="C748" s="16" t="s">
        <v>7</v>
      </c>
      <c r="D748" s="12" t="str">
        <f>IFERROR(__xludf.DUMMYFUNCTION("IFS(
  REGEXMATCH(A748&amp;B748, ""(?i)openai|gpt|gemini|anthropic|claude|mistral|cohere|rag|vector|llm|chatbot|ai-powered""), ""AI &amp; LLM"",
  REGEXMATCH(A748&amp;B748, ""(?i)twitter|instagram|facebook|linkedin|youtube|tiktok|threads|bluesky|pinterest|social vid"&amp;"eo|reels?|shorts?""), ""Social Media"",
  REGEXMATCH(A748&amp;B748, ""(?i)hubspot|pipedrive|stripe|shopify|woocommerce|sales|crm|invoice|order|leads?|recruitment|bamboohr|erpnext""), ""CRM &amp; Sales"",
  REGEXMATCH(A748&amp;B748, ""(?i)gmail|outlook|calendar|slack|"&amp;"discord|telegram|whatsapp|notion|trello|drive|sheets?|meeting|scheduler|appointment|mattermost""), ""Productivity &amp; Communication"",
  REGEXMATCH(A748&amp;B748, ""(?i)github|api|webhook|http|mysql|supabase|mongodb|redis|rss|pr|code review|incident|pagerduty|j"&amp;"ira""), ""Development &amp; Utilities"",
  TRUE, ""Others""
)"),"AI &amp; LLM")</f>
        <v>AI &amp; LLM</v>
      </c>
    </row>
    <row r="749" ht="15.75" customHeight="1">
      <c r="A749" s="14" t="s">
        <v>1479</v>
      </c>
      <c r="B749" s="15" t="s">
        <v>1480</v>
      </c>
      <c r="C749" s="16" t="s">
        <v>7</v>
      </c>
      <c r="D749" s="12" t="str">
        <f>IFERROR(__xludf.DUMMYFUNCTION("IFS(
  REGEXMATCH(A749&amp;B749, ""(?i)openai|gpt|gemini|anthropic|claude|mistral|cohere|rag|vector|llm|chatbot|ai-powered""), ""AI &amp; LLM"",
  REGEXMATCH(A749&amp;B749, ""(?i)twitter|instagram|facebook|linkedin|youtube|tiktok|threads|bluesky|pinterest|social vid"&amp;"eo|reels?|shorts?""), ""Social Media"",
  REGEXMATCH(A749&amp;B749, ""(?i)hubspot|pipedrive|stripe|shopify|woocommerce|sales|crm|invoice|order|leads?|recruitment|bamboohr|erpnext""), ""CRM &amp; Sales"",
  REGEXMATCH(A749&amp;B749, ""(?i)gmail|outlook|calendar|slack|"&amp;"discord|telegram|whatsapp|notion|trello|drive|sheets?|meeting|scheduler|appointment|mattermost""), ""Productivity &amp; Communication"",
  REGEXMATCH(A749&amp;B749, ""(?i)github|api|webhook|http|mysql|supabase|mongodb|redis|rss|pr|code review|incident|pagerduty|j"&amp;"ira""), ""Development &amp; Utilities"",
  TRUE, ""Others""
)"),"AI &amp; LLM")</f>
        <v>AI &amp; LLM</v>
      </c>
    </row>
    <row r="750" ht="15.75" customHeight="1">
      <c r="A750" s="14" t="s">
        <v>1481</v>
      </c>
      <c r="B750" s="15" t="s">
        <v>1482</v>
      </c>
      <c r="C750" s="16" t="s">
        <v>7</v>
      </c>
      <c r="D750" s="12" t="str">
        <f>IFERROR(__xludf.DUMMYFUNCTION("IFS(
  REGEXMATCH(A750&amp;B750, ""(?i)openai|gpt|gemini|anthropic|claude|mistral|cohere|rag|vector|llm|chatbot|ai-powered""), ""AI &amp; LLM"",
  REGEXMATCH(A750&amp;B750, ""(?i)twitter|instagram|facebook|linkedin|youtube|tiktok|threads|bluesky|pinterest|social vid"&amp;"eo|reels?|shorts?""), ""Social Media"",
  REGEXMATCH(A750&amp;B750, ""(?i)hubspot|pipedrive|stripe|shopify|woocommerce|sales|crm|invoice|order|leads?|recruitment|bamboohr|erpnext""), ""CRM &amp; Sales"",
  REGEXMATCH(A750&amp;B750, ""(?i)gmail|outlook|calendar|slack|"&amp;"discord|telegram|whatsapp|notion|trello|drive|sheets?|meeting|scheduler|appointment|mattermost""), ""Productivity &amp; Communication"",
  REGEXMATCH(A750&amp;B750, ""(?i)github|api|webhook|http|mysql|supabase|mongodb|redis|rss|pr|code review|incident|pagerduty|j"&amp;"ira""), ""Development &amp; Utilities"",
  TRUE, ""Others""
)"),"AI &amp; LLM")</f>
        <v>AI &amp; LLM</v>
      </c>
    </row>
    <row r="751" ht="15.75" customHeight="1">
      <c r="A751" s="14" t="s">
        <v>1483</v>
      </c>
      <c r="B751" s="15" t="s">
        <v>1484</v>
      </c>
      <c r="C751" s="16" t="s">
        <v>7</v>
      </c>
      <c r="D751" s="12" t="str">
        <f>IFERROR(__xludf.DUMMYFUNCTION("IFS(
  REGEXMATCH(A751&amp;B751, ""(?i)openai|gpt|gemini|anthropic|claude|mistral|cohere|rag|vector|llm|chatbot|ai-powered""), ""AI &amp; LLM"",
  REGEXMATCH(A751&amp;B751, ""(?i)twitter|instagram|facebook|linkedin|youtube|tiktok|threads|bluesky|pinterest|social vid"&amp;"eo|reels?|shorts?""), ""Social Media"",
  REGEXMATCH(A751&amp;B751, ""(?i)hubspot|pipedrive|stripe|shopify|woocommerce|sales|crm|invoice|order|leads?|recruitment|bamboohr|erpnext""), ""CRM &amp; Sales"",
  REGEXMATCH(A751&amp;B751, ""(?i)gmail|outlook|calendar|slack|"&amp;"discord|telegram|whatsapp|notion|trello|drive|sheets?|meeting|scheduler|appointment|mattermost""), ""Productivity &amp; Communication"",
  REGEXMATCH(A751&amp;B751, ""(?i)github|api|webhook|http|mysql|supabase|mongodb|redis|rss|pr|code review|incident|pagerduty|j"&amp;"ira""), ""Development &amp; Utilities"",
  TRUE, ""Others""
)"),"AI &amp; LLM")</f>
        <v>AI &amp; LLM</v>
      </c>
    </row>
    <row r="752" ht="15.75" customHeight="1">
      <c r="A752" s="14" t="s">
        <v>1216</v>
      </c>
      <c r="B752" s="15" t="s">
        <v>1485</v>
      </c>
      <c r="C752" s="16" t="s">
        <v>7</v>
      </c>
      <c r="D752" s="12" t="str">
        <f>IFERROR(__xludf.DUMMYFUNCTION("IFS(
  REGEXMATCH(A752&amp;B752, ""(?i)openai|gpt|gemini|anthropic|claude|mistral|cohere|rag|vector|llm|chatbot|ai-powered""), ""AI &amp; LLM"",
  REGEXMATCH(A752&amp;B752, ""(?i)twitter|instagram|facebook|linkedin|youtube|tiktok|threads|bluesky|pinterest|social vid"&amp;"eo|reels?|shorts?""), ""Social Media"",
  REGEXMATCH(A752&amp;B752, ""(?i)hubspot|pipedrive|stripe|shopify|woocommerce|sales|crm|invoice|order|leads?|recruitment|bamboohr|erpnext""), ""CRM &amp; Sales"",
  REGEXMATCH(A752&amp;B752, ""(?i)gmail|outlook|calendar|slack|"&amp;"discord|telegram|whatsapp|notion|trello|drive|sheets?|meeting|scheduler|appointment|mattermost""), ""Productivity &amp; Communication"",
  REGEXMATCH(A752&amp;B752, ""(?i)github|api|webhook|http|mysql|supabase|mongodb|redis|rss|pr|code review|incident|pagerduty|j"&amp;"ira""), ""Development &amp; Utilities"",
  TRUE, ""Others""
)"),"Social Media")</f>
        <v>Social Media</v>
      </c>
    </row>
    <row r="753" ht="15.75" customHeight="1">
      <c r="A753" s="14" t="s">
        <v>1486</v>
      </c>
      <c r="B753" s="15" t="s">
        <v>1487</v>
      </c>
      <c r="C753" s="16" t="s">
        <v>7</v>
      </c>
      <c r="D753" s="12" t="str">
        <f>IFERROR(__xludf.DUMMYFUNCTION("IFS(
  REGEXMATCH(A753&amp;B753, ""(?i)openai|gpt|gemini|anthropic|claude|mistral|cohere|rag|vector|llm|chatbot|ai-powered""), ""AI &amp; LLM"",
  REGEXMATCH(A753&amp;B753, ""(?i)twitter|instagram|facebook|linkedin|youtube|tiktok|threads|bluesky|pinterest|social vid"&amp;"eo|reels?|shorts?""), ""Social Media"",
  REGEXMATCH(A753&amp;B753, ""(?i)hubspot|pipedrive|stripe|shopify|woocommerce|sales|crm|invoice|order|leads?|recruitment|bamboohr|erpnext""), ""CRM &amp; Sales"",
  REGEXMATCH(A753&amp;B753, ""(?i)gmail|outlook|calendar|slack|"&amp;"discord|telegram|whatsapp|notion|trello|drive|sheets?|meeting|scheduler|appointment|mattermost""), ""Productivity &amp; Communication"",
  REGEXMATCH(A753&amp;B753, ""(?i)github|api|webhook|http|mysql|supabase|mongodb|redis|rss|pr|code review|incident|pagerduty|j"&amp;"ira""), ""Development &amp; Utilities"",
  TRUE, ""Others""
)"),"CRM &amp; Sales")</f>
        <v>CRM &amp; Sales</v>
      </c>
    </row>
    <row r="754" ht="15.75" customHeight="1">
      <c r="A754" s="14" t="s">
        <v>1488</v>
      </c>
      <c r="B754" s="15" t="s">
        <v>1489</v>
      </c>
      <c r="C754" s="16" t="s">
        <v>7</v>
      </c>
      <c r="D754" s="12" t="str">
        <f>IFERROR(__xludf.DUMMYFUNCTION("IFS(
  REGEXMATCH(A754&amp;B754, ""(?i)openai|gpt|gemini|anthropic|claude|mistral|cohere|rag|vector|llm|chatbot|ai-powered""), ""AI &amp; LLM"",
  REGEXMATCH(A754&amp;B754, ""(?i)twitter|instagram|facebook|linkedin|youtube|tiktok|threads|bluesky|pinterest|social vid"&amp;"eo|reels?|shorts?""), ""Social Media"",
  REGEXMATCH(A754&amp;B754, ""(?i)hubspot|pipedrive|stripe|shopify|woocommerce|sales|crm|invoice|order|leads?|recruitment|bamboohr|erpnext""), ""CRM &amp; Sales"",
  REGEXMATCH(A754&amp;B754, ""(?i)gmail|outlook|calendar|slack|"&amp;"discord|telegram|whatsapp|notion|trello|drive|sheets?|meeting|scheduler|appointment|mattermost""), ""Productivity &amp; Communication"",
  REGEXMATCH(A754&amp;B754, ""(?i)github|api|webhook|http|mysql|supabase|mongodb|redis|rss|pr|code review|incident|pagerduty|j"&amp;"ira""), ""Development &amp; Utilities"",
  TRUE, ""Others""
)"),"AI &amp; LLM")</f>
        <v>AI &amp; LLM</v>
      </c>
    </row>
    <row r="755" ht="15.75" customHeight="1">
      <c r="A755" s="14" t="s">
        <v>1490</v>
      </c>
      <c r="B755" s="15" t="s">
        <v>1491</v>
      </c>
      <c r="C755" s="16" t="s">
        <v>7</v>
      </c>
      <c r="D755" s="12" t="str">
        <f>IFERROR(__xludf.DUMMYFUNCTION("IFS(
  REGEXMATCH(A755&amp;B755, ""(?i)openai|gpt|gemini|anthropic|claude|mistral|cohere|rag|vector|llm|chatbot|ai-powered""), ""AI &amp; LLM"",
  REGEXMATCH(A755&amp;B755, ""(?i)twitter|instagram|facebook|linkedin|youtube|tiktok|threads|bluesky|pinterest|social vid"&amp;"eo|reels?|shorts?""), ""Social Media"",
  REGEXMATCH(A755&amp;B755, ""(?i)hubspot|pipedrive|stripe|shopify|woocommerce|sales|crm|invoice|order|leads?|recruitment|bamboohr|erpnext""), ""CRM &amp; Sales"",
  REGEXMATCH(A755&amp;B755, ""(?i)gmail|outlook|calendar|slack|"&amp;"discord|telegram|whatsapp|notion|trello|drive|sheets?|meeting|scheduler|appointment|mattermost""), ""Productivity &amp; Communication"",
  REGEXMATCH(A755&amp;B755, ""(?i)github|api|webhook|http|mysql|supabase|mongodb|redis|rss|pr|code review|incident|pagerduty|j"&amp;"ira""), ""Development &amp; Utilities"",
  TRUE, ""Others""
)"),"AI &amp; LLM")</f>
        <v>AI &amp; LLM</v>
      </c>
    </row>
    <row r="756" ht="15.75" customHeight="1">
      <c r="A756" s="14" t="s">
        <v>1492</v>
      </c>
      <c r="B756" s="15" t="s">
        <v>1493</v>
      </c>
      <c r="C756" s="16" t="s">
        <v>7</v>
      </c>
      <c r="D756" s="12" t="str">
        <f>IFERROR(__xludf.DUMMYFUNCTION("IFS(
  REGEXMATCH(A756&amp;B756, ""(?i)openai|gpt|gemini|anthropic|claude|mistral|cohere|rag|vector|llm|chatbot|ai-powered""), ""AI &amp; LLM"",
  REGEXMATCH(A756&amp;B756, ""(?i)twitter|instagram|facebook|linkedin|youtube|tiktok|threads|bluesky|pinterest|social vid"&amp;"eo|reels?|shorts?""), ""Social Media"",
  REGEXMATCH(A756&amp;B756, ""(?i)hubspot|pipedrive|stripe|shopify|woocommerce|sales|crm|invoice|order|leads?|recruitment|bamboohr|erpnext""), ""CRM &amp; Sales"",
  REGEXMATCH(A756&amp;B756, ""(?i)gmail|outlook|calendar|slack|"&amp;"discord|telegram|whatsapp|notion|trello|drive|sheets?|meeting|scheduler|appointment|mattermost""), ""Productivity &amp; Communication"",
  REGEXMATCH(A756&amp;B756, ""(?i)github|api|webhook|http|mysql|supabase|mongodb|redis|rss|pr|code review|incident|pagerduty|j"&amp;"ira""), ""Development &amp; Utilities"",
  TRUE, ""Others""
)"),"AI &amp; LLM")</f>
        <v>AI &amp; LLM</v>
      </c>
    </row>
    <row r="757" ht="15.75" customHeight="1">
      <c r="A757" s="14" t="s">
        <v>1494</v>
      </c>
      <c r="B757" s="15" t="s">
        <v>1495</v>
      </c>
      <c r="C757" s="16" t="s">
        <v>7</v>
      </c>
      <c r="D757" s="12" t="str">
        <f>IFERROR(__xludf.DUMMYFUNCTION("IFS(
  REGEXMATCH(A757&amp;B757, ""(?i)openai|gpt|gemini|anthropic|claude|mistral|cohere|rag|vector|llm|chatbot|ai-powered""), ""AI &amp; LLM"",
  REGEXMATCH(A757&amp;B757, ""(?i)twitter|instagram|facebook|linkedin|youtube|tiktok|threads|bluesky|pinterest|social vid"&amp;"eo|reels?|shorts?""), ""Social Media"",
  REGEXMATCH(A757&amp;B757, ""(?i)hubspot|pipedrive|stripe|shopify|woocommerce|sales|crm|invoice|order|leads?|recruitment|bamboohr|erpnext""), ""CRM &amp; Sales"",
  REGEXMATCH(A757&amp;B757, ""(?i)gmail|outlook|calendar|slack|"&amp;"discord|telegram|whatsapp|notion|trello|drive|sheets?|meeting|scheduler|appointment|mattermost""), ""Productivity &amp; Communication"",
  REGEXMATCH(A757&amp;B757, ""(?i)github|api|webhook|http|mysql|supabase|mongodb|redis|rss|pr|code review|incident|pagerduty|j"&amp;"ira""), ""Development &amp; Utilities"",
  TRUE, ""Others""
)"),"AI &amp; LLM")</f>
        <v>AI &amp; LLM</v>
      </c>
    </row>
    <row r="758" ht="15.75" customHeight="1">
      <c r="A758" s="14" t="s">
        <v>1496</v>
      </c>
      <c r="B758" s="15" t="s">
        <v>1497</v>
      </c>
      <c r="C758" s="16" t="s">
        <v>7</v>
      </c>
      <c r="D758" s="12" t="str">
        <f>IFERROR(__xludf.DUMMYFUNCTION("IFS(
  REGEXMATCH(A758&amp;B758, ""(?i)openai|gpt|gemini|anthropic|claude|mistral|cohere|rag|vector|llm|chatbot|ai-powered""), ""AI &amp; LLM"",
  REGEXMATCH(A758&amp;B758, ""(?i)twitter|instagram|facebook|linkedin|youtube|tiktok|threads|bluesky|pinterest|social vid"&amp;"eo|reels?|shorts?""), ""Social Media"",
  REGEXMATCH(A758&amp;B758, ""(?i)hubspot|pipedrive|stripe|shopify|woocommerce|sales|crm|invoice|order|leads?|recruitment|bamboohr|erpnext""), ""CRM &amp; Sales"",
  REGEXMATCH(A758&amp;B758, ""(?i)gmail|outlook|calendar|slack|"&amp;"discord|telegram|whatsapp|notion|trello|drive|sheets?|meeting|scheduler|appointment|mattermost""), ""Productivity &amp; Communication"",
  REGEXMATCH(A758&amp;B758, ""(?i)github|api|webhook|http|mysql|supabase|mongodb|redis|rss|pr|code review|incident|pagerduty|j"&amp;"ira""), ""Development &amp; Utilities"",
  TRUE, ""Others""
)"),"AI &amp; LLM")</f>
        <v>AI &amp; LLM</v>
      </c>
    </row>
    <row r="759" ht="15.75" customHeight="1">
      <c r="A759" s="14" t="s">
        <v>1498</v>
      </c>
      <c r="B759" s="15" t="s">
        <v>1499</v>
      </c>
      <c r="C759" s="16" t="s">
        <v>7</v>
      </c>
      <c r="D759" s="12" t="str">
        <f>IFERROR(__xludf.DUMMYFUNCTION("IFS(
  REGEXMATCH(A759&amp;B759, ""(?i)openai|gpt|gemini|anthropic|claude|mistral|cohere|rag|vector|llm|chatbot|ai-powered""), ""AI &amp; LLM"",
  REGEXMATCH(A759&amp;B759, ""(?i)twitter|instagram|facebook|linkedin|youtube|tiktok|threads|bluesky|pinterest|social vid"&amp;"eo|reels?|shorts?""), ""Social Media"",
  REGEXMATCH(A759&amp;B759, ""(?i)hubspot|pipedrive|stripe|shopify|woocommerce|sales|crm|invoice|order|leads?|recruitment|bamboohr|erpnext""), ""CRM &amp; Sales"",
  REGEXMATCH(A759&amp;B759, ""(?i)gmail|outlook|calendar|slack|"&amp;"discord|telegram|whatsapp|notion|trello|drive|sheets?|meeting|scheduler|appointment|mattermost""), ""Productivity &amp; Communication"",
  REGEXMATCH(A759&amp;B759, ""(?i)github|api|webhook|http|mysql|supabase|mongodb|redis|rss|pr|code review|incident|pagerduty|j"&amp;"ira""), ""Development &amp; Utilities"",
  TRUE, ""Others""
)"),"AI &amp; LLM")</f>
        <v>AI &amp; LLM</v>
      </c>
    </row>
    <row r="760" ht="15.75" customHeight="1">
      <c r="A760" s="14" t="s">
        <v>1500</v>
      </c>
      <c r="B760" s="15" t="s">
        <v>1501</v>
      </c>
      <c r="C760" s="16" t="s">
        <v>7</v>
      </c>
      <c r="D760" s="12" t="str">
        <f>IFERROR(__xludf.DUMMYFUNCTION("IFS(
  REGEXMATCH(A760&amp;B760, ""(?i)openai|gpt|gemini|anthropic|claude|mistral|cohere|rag|vector|llm|chatbot|ai-powered""), ""AI &amp; LLM"",
  REGEXMATCH(A760&amp;B760, ""(?i)twitter|instagram|facebook|linkedin|youtube|tiktok|threads|bluesky|pinterest|social vid"&amp;"eo|reels?|shorts?""), ""Social Media"",
  REGEXMATCH(A760&amp;B760, ""(?i)hubspot|pipedrive|stripe|shopify|woocommerce|sales|crm|invoice|order|leads?|recruitment|bamboohr|erpnext""), ""CRM &amp; Sales"",
  REGEXMATCH(A760&amp;B760, ""(?i)gmail|outlook|calendar|slack|"&amp;"discord|telegram|whatsapp|notion|trello|drive|sheets?|meeting|scheduler|appointment|mattermost""), ""Productivity &amp; Communication"",
  REGEXMATCH(A760&amp;B760, ""(?i)github|api|webhook|http|mysql|supabase|mongodb|redis|rss|pr|code review|incident|pagerduty|j"&amp;"ira""), ""Development &amp; Utilities"",
  TRUE, ""Others""
)"),"Productivity &amp; Communication")</f>
        <v>Productivity &amp; Communication</v>
      </c>
    </row>
    <row r="761" ht="15.75" customHeight="1">
      <c r="A761" s="14" t="s">
        <v>1502</v>
      </c>
      <c r="B761" s="15" t="s">
        <v>1503</v>
      </c>
      <c r="C761" s="16" t="s">
        <v>7</v>
      </c>
      <c r="D761" s="12" t="str">
        <f>IFERROR(__xludf.DUMMYFUNCTION("IFS(
  REGEXMATCH(A761&amp;B761, ""(?i)openai|gpt|gemini|anthropic|claude|mistral|cohere|rag|vector|llm|chatbot|ai-powered""), ""AI &amp; LLM"",
  REGEXMATCH(A761&amp;B761, ""(?i)twitter|instagram|facebook|linkedin|youtube|tiktok|threads|bluesky|pinterest|social vid"&amp;"eo|reels?|shorts?""), ""Social Media"",
  REGEXMATCH(A761&amp;B761, ""(?i)hubspot|pipedrive|stripe|shopify|woocommerce|sales|crm|invoice|order|leads?|recruitment|bamboohr|erpnext""), ""CRM &amp; Sales"",
  REGEXMATCH(A761&amp;B761, ""(?i)gmail|outlook|calendar|slack|"&amp;"discord|telegram|whatsapp|notion|trello|drive|sheets?|meeting|scheduler|appointment|mattermost""), ""Productivity &amp; Communication"",
  REGEXMATCH(A761&amp;B761, ""(?i)github|api|webhook|http|mysql|supabase|mongodb|redis|rss|pr|code review|incident|pagerduty|j"&amp;"ira""), ""Development &amp; Utilities"",
  TRUE, ""Others""
)"),"Development &amp; Utilities")</f>
        <v>Development &amp; Utilities</v>
      </c>
    </row>
    <row r="762" ht="15.75" customHeight="1">
      <c r="A762" s="14" t="s">
        <v>1504</v>
      </c>
      <c r="B762" s="15" t="s">
        <v>1505</v>
      </c>
      <c r="C762" s="16" t="s">
        <v>7</v>
      </c>
      <c r="D762" s="12" t="str">
        <f>IFERROR(__xludf.DUMMYFUNCTION("IFS(
  REGEXMATCH(A762&amp;B762, ""(?i)openai|gpt|gemini|anthropic|claude|mistral|cohere|rag|vector|llm|chatbot|ai-powered""), ""AI &amp; LLM"",
  REGEXMATCH(A762&amp;B762, ""(?i)twitter|instagram|facebook|linkedin|youtube|tiktok|threads|bluesky|pinterest|social vid"&amp;"eo|reels?|shorts?""), ""Social Media"",
  REGEXMATCH(A762&amp;B762, ""(?i)hubspot|pipedrive|stripe|shopify|woocommerce|sales|crm|invoice|order|leads?|recruitment|bamboohr|erpnext""), ""CRM &amp; Sales"",
  REGEXMATCH(A762&amp;B762, ""(?i)gmail|outlook|calendar|slack|"&amp;"discord|telegram|whatsapp|notion|trello|drive|sheets?|meeting|scheduler|appointment|mattermost""), ""Productivity &amp; Communication"",
  REGEXMATCH(A762&amp;B762, ""(?i)github|api|webhook|http|mysql|supabase|mongodb|redis|rss|pr|code review|incident|pagerduty|j"&amp;"ira""), ""Development &amp; Utilities"",
  TRUE, ""Others""
)"),"AI &amp; LLM")</f>
        <v>AI &amp; LLM</v>
      </c>
    </row>
    <row r="763" ht="15.75" customHeight="1">
      <c r="A763" s="14" t="s">
        <v>1506</v>
      </c>
      <c r="B763" s="15" t="s">
        <v>1507</v>
      </c>
      <c r="C763" s="16" t="s">
        <v>7</v>
      </c>
      <c r="D763" s="12" t="str">
        <f>IFERROR(__xludf.DUMMYFUNCTION("IFS(
  REGEXMATCH(A763&amp;B763, ""(?i)openai|gpt|gemini|anthropic|claude|mistral|cohere|rag|vector|llm|chatbot|ai-powered""), ""AI &amp; LLM"",
  REGEXMATCH(A763&amp;B763, ""(?i)twitter|instagram|facebook|linkedin|youtube|tiktok|threads|bluesky|pinterest|social vid"&amp;"eo|reels?|shorts?""), ""Social Media"",
  REGEXMATCH(A763&amp;B763, ""(?i)hubspot|pipedrive|stripe|shopify|woocommerce|sales|crm|invoice|order|leads?|recruitment|bamboohr|erpnext""), ""CRM &amp; Sales"",
  REGEXMATCH(A763&amp;B763, ""(?i)gmail|outlook|calendar|slack|"&amp;"discord|telegram|whatsapp|notion|trello|drive|sheets?|meeting|scheduler|appointment|mattermost""), ""Productivity &amp; Communication"",
  REGEXMATCH(A763&amp;B763, ""(?i)github|api|webhook|http|mysql|supabase|mongodb|redis|rss|pr|code review|incident|pagerduty|j"&amp;"ira""), ""Development &amp; Utilities"",
  TRUE, ""Others""
)"),"AI &amp; LLM")</f>
        <v>AI &amp; LLM</v>
      </c>
    </row>
    <row r="764" ht="15.75" customHeight="1">
      <c r="A764" s="14" t="s">
        <v>1508</v>
      </c>
      <c r="B764" s="15" t="s">
        <v>1509</v>
      </c>
      <c r="C764" s="16" t="s">
        <v>7</v>
      </c>
      <c r="D764" s="12" t="str">
        <f>IFERROR(__xludf.DUMMYFUNCTION("IFS(
  REGEXMATCH(A764&amp;B764, ""(?i)openai|gpt|gemini|anthropic|claude|mistral|cohere|rag|vector|llm|chatbot|ai-powered""), ""AI &amp; LLM"",
  REGEXMATCH(A764&amp;B764, ""(?i)twitter|instagram|facebook|linkedin|youtube|tiktok|threads|bluesky|pinterest|social vid"&amp;"eo|reels?|shorts?""), ""Social Media"",
  REGEXMATCH(A764&amp;B764, ""(?i)hubspot|pipedrive|stripe|shopify|woocommerce|sales|crm|invoice|order|leads?|recruitment|bamboohr|erpnext""), ""CRM &amp; Sales"",
  REGEXMATCH(A764&amp;B764, ""(?i)gmail|outlook|calendar|slack|"&amp;"discord|telegram|whatsapp|notion|trello|drive|sheets?|meeting|scheduler|appointment|mattermost""), ""Productivity &amp; Communication"",
  REGEXMATCH(A764&amp;B764, ""(?i)github|api|webhook|http|mysql|supabase|mongodb|redis|rss|pr|code review|incident|pagerduty|j"&amp;"ira""), ""Development &amp; Utilities"",
  TRUE, ""Others""
)"),"AI &amp; LLM")</f>
        <v>AI &amp; LLM</v>
      </c>
    </row>
    <row r="765" ht="15.75" customHeight="1">
      <c r="A765" s="14" t="s">
        <v>1510</v>
      </c>
      <c r="B765" s="15" t="s">
        <v>1511</v>
      </c>
      <c r="C765" s="16" t="s">
        <v>7</v>
      </c>
      <c r="D765" s="12" t="str">
        <f>IFERROR(__xludf.DUMMYFUNCTION("IFS(
  REGEXMATCH(A765&amp;B765, ""(?i)openai|gpt|gemini|anthropic|claude|mistral|cohere|rag|vector|llm|chatbot|ai-powered""), ""AI &amp; LLM"",
  REGEXMATCH(A765&amp;B765, ""(?i)twitter|instagram|facebook|linkedin|youtube|tiktok|threads|bluesky|pinterest|social vid"&amp;"eo|reels?|shorts?""), ""Social Media"",
  REGEXMATCH(A765&amp;B765, ""(?i)hubspot|pipedrive|stripe|shopify|woocommerce|sales|crm|invoice|order|leads?|recruitment|bamboohr|erpnext""), ""CRM &amp; Sales"",
  REGEXMATCH(A765&amp;B765, ""(?i)gmail|outlook|calendar|slack|"&amp;"discord|telegram|whatsapp|notion|trello|drive|sheets?|meeting|scheduler|appointment|mattermost""), ""Productivity &amp; Communication"",
  REGEXMATCH(A765&amp;B765, ""(?i)github|api|webhook|http|mysql|supabase|mongodb|redis|rss|pr|code review|incident|pagerduty|j"&amp;"ira""), ""Development &amp; Utilities"",
  TRUE, ""Others""
)"),"Development &amp; Utilities")</f>
        <v>Development &amp; Utilities</v>
      </c>
    </row>
    <row r="766" ht="15.75" customHeight="1">
      <c r="A766" s="14" t="s">
        <v>1512</v>
      </c>
      <c r="B766" s="15" t="s">
        <v>1513</v>
      </c>
      <c r="C766" s="16" t="s">
        <v>7</v>
      </c>
      <c r="D766" s="12" t="str">
        <f>IFERROR(__xludf.DUMMYFUNCTION("IFS(
  REGEXMATCH(A766&amp;B766, ""(?i)openai|gpt|gemini|anthropic|claude|mistral|cohere|rag|vector|llm|chatbot|ai-powered""), ""AI &amp; LLM"",
  REGEXMATCH(A766&amp;B766, ""(?i)twitter|instagram|facebook|linkedin|youtube|tiktok|threads|bluesky|pinterest|social vid"&amp;"eo|reels?|shorts?""), ""Social Media"",
  REGEXMATCH(A766&amp;B766, ""(?i)hubspot|pipedrive|stripe|shopify|woocommerce|sales|crm|invoice|order|leads?|recruitment|bamboohr|erpnext""), ""CRM &amp; Sales"",
  REGEXMATCH(A766&amp;B766, ""(?i)gmail|outlook|calendar|slack|"&amp;"discord|telegram|whatsapp|notion|trello|drive|sheets?|meeting|scheduler|appointment|mattermost""), ""Productivity &amp; Communication"",
  REGEXMATCH(A766&amp;B766, ""(?i)github|api|webhook|http|mysql|supabase|mongodb|redis|rss|pr|code review|incident|pagerduty|j"&amp;"ira""), ""Development &amp; Utilities"",
  TRUE, ""Others""
)"),"AI &amp; LLM")</f>
        <v>AI &amp; LLM</v>
      </c>
    </row>
    <row r="767" ht="15.75" customHeight="1">
      <c r="A767" s="14" t="s">
        <v>1514</v>
      </c>
      <c r="B767" s="15" t="s">
        <v>1515</v>
      </c>
      <c r="C767" s="16" t="s">
        <v>7</v>
      </c>
      <c r="D767" s="12" t="str">
        <f>IFERROR(__xludf.DUMMYFUNCTION("IFS(
  REGEXMATCH(A767&amp;B767, ""(?i)openai|gpt|gemini|anthropic|claude|mistral|cohere|rag|vector|llm|chatbot|ai-powered""), ""AI &amp; LLM"",
  REGEXMATCH(A767&amp;B767, ""(?i)twitter|instagram|facebook|linkedin|youtube|tiktok|threads|bluesky|pinterest|social vid"&amp;"eo|reels?|shorts?""), ""Social Media"",
  REGEXMATCH(A767&amp;B767, ""(?i)hubspot|pipedrive|stripe|shopify|woocommerce|sales|crm|invoice|order|leads?|recruitment|bamboohr|erpnext""), ""CRM &amp; Sales"",
  REGEXMATCH(A767&amp;B767, ""(?i)gmail|outlook|calendar|slack|"&amp;"discord|telegram|whatsapp|notion|trello|drive|sheets?|meeting|scheduler|appointment|mattermost""), ""Productivity &amp; Communication"",
  REGEXMATCH(A767&amp;B767, ""(?i)github|api|webhook|http|mysql|supabase|mongodb|redis|rss|pr|code review|incident|pagerduty|j"&amp;"ira""), ""Development &amp; Utilities"",
  TRUE, ""Others""
)"),"Productivity &amp; Communication")</f>
        <v>Productivity &amp; Communication</v>
      </c>
    </row>
    <row r="768" ht="15.75" customHeight="1">
      <c r="A768" s="14" t="s">
        <v>1516</v>
      </c>
      <c r="B768" s="15" t="s">
        <v>1517</v>
      </c>
      <c r="C768" s="16" t="s">
        <v>7</v>
      </c>
      <c r="D768" s="12" t="str">
        <f>IFERROR(__xludf.DUMMYFUNCTION("IFS(
  REGEXMATCH(A768&amp;B768, ""(?i)openai|gpt|gemini|anthropic|claude|mistral|cohere|rag|vector|llm|chatbot|ai-powered""), ""AI &amp; LLM"",
  REGEXMATCH(A768&amp;B768, ""(?i)twitter|instagram|facebook|linkedin|youtube|tiktok|threads|bluesky|pinterest|social vid"&amp;"eo|reels?|shorts?""), ""Social Media"",
  REGEXMATCH(A768&amp;B768, ""(?i)hubspot|pipedrive|stripe|shopify|woocommerce|sales|crm|invoice|order|leads?|recruitment|bamboohr|erpnext""), ""CRM &amp; Sales"",
  REGEXMATCH(A768&amp;B768, ""(?i)gmail|outlook|calendar|slack|"&amp;"discord|telegram|whatsapp|notion|trello|drive|sheets?|meeting|scheduler|appointment|mattermost""), ""Productivity &amp; Communication"",
  REGEXMATCH(A768&amp;B768, ""(?i)github|api|webhook|http|mysql|supabase|mongodb|redis|rss|pr|code review|incident|pagerduty|j"&amp;"ira""), ""Development &amp; Utilities"",
  TRUE, ""Others""
)"),"AI &amp; LLM")</f>
        <v>AI &amp; LLM</v>
      </c>
    </row>
    <row r="769" ht="15.75" customHeight="1">
      <c r="A769" s="14" t="s">
        <v>1518</v>
      </c>
      <c r="B769" s="15" t="s">
        <v>1519</v>
      </c>
      <c r="C769" s="16" t="s">
        <v>7</v>
      </c>
      <c r="D769" s="12" t="str">
        <f>IFERROR(__xludf.DUMMYFUNCTION("IFS(
  REGEXMATCH(A769&amp;B769, ""(?i)openai|gpt|gemini|anthropic|claude|mistral|cohere|rag|vector|llm|chatbot|ai-powered""), ""AI &amp; LLM"",
  REGEXMATCH(A769&amp;B769, ""(?i)twitter|instagram|facebook|linkedin|youtube|tiktok|threads|bluesky|pinterest|social vid"&amp;"eo|reels?|shorts?""), ""Social Media"",
  REGEXMATCH(A769&amp;B769, ""(?i)hubspot|pipedrive|stripe|shopify|woocommerce|sales|crm|invoice|order|leads?|recruitment|bamboohr|erpnext""), ""CRM &amp; Sales"",
  REGEXMATCH(A769&amp;B769, ""(?i)gmail|outlook|calendar|slack|"&amp;"discord|telegram|whatsapp|notion|trello|drive|sheets?|meeting|scheduler|appointment|mattermost""), ""Productivity &amp; Communication"",
  REGEXMATCH(A769&amp;B769, ""(?i)github|api|webhook|http|mysql|supabase|mongodb|redis|rss|pr|code review|incident|pagerduty|j"&amp;"ira""), ""Development &amp; Utilities"",
  TRUE, ""Others""
)"),"Productivity &amp; Communication")</f>
        <v>Productivity &amp; Communication</v>
      </c>
    </row>
    <row r="770" ht="15.75" customHeight="1">
      <c r="A770" s="14" t="s">
        <v>1520</v>
      </c>
      <c r="B770" s="15" t="s">
        <v>1521</v>
      </c>
      <c r="C770" s="16" t="s">
        <v>7</v>
      </c>
      <c r="D770" s="12" t="str">
        <f>IFERROR(__xludf.DUMMYFUNCTION("IFS(
  REGEXMATCH(A770&amp;B770, ""(?i)openai|gpt|gemini|anthropic|claude|mistral|cohere|rag|vector|llm|chatbot|ai-powered""), ""AI &amp; LLM"",
  REGEXMATCH(A770&amp;B770, ""(?i)twitter|instagram|facebook|linkedin|youtube|tiktok|threads|bluesky|pinterest|social vid"&amp;"eo|reels?|shorts?""), ""Social Media"",
  REGEXMATCH(A770&amp;B770, ""(?i)hubspot|pipedrive|stripe|shopify|woocommerce|sales|crm|invoice|order|leads?|recruitment|bamboohr|erpnext""), ""CRM &amp; Sales"",
  REGEXMATCH(A770&amp;B770, ""(?i)gmail|outlook|calendar|slack|"&amp;"discord|telegram|whatsapp|notion|trello|drive|sheets?|meeting|scheduler|appointment|mattermost""), ""Productivity &amp; Communication"",
  REGEXMATCH(A770&amp;B770, ""(?i)github|api|webhook|http|mysql|supabase|mongodb|redis|rss|pr|code review|incident|pagerduty|j"&amp;"ira""), ""Development &amp; Utilities"",
  TRUE, ""Others""
)"),"AI &amp; LLM")</f>
        <v>AI &amp; LLM</v>
      </c>
    </row>
    <row r="771" ht="15.75" customHeight="1">
      <c r="A771" s="14" t="s">
        <v>1522</v>
      </c>
      <c r="B771" s="15" t="s">
        <v>1523</v>
      </c>
      <c r="C771" s="16" t="s">
        <v>7</v>
      </c>
      <c r="D771" s="12" t="str">
        <f>IFERROR(__xludf.DUMMYFUNCTION("IFS(
  REGEXMATCH(A771&amp;B771, ""(?i)openai|gpt|gemini|anthropic|claude|mistral|cohere|rag|vector|llm|chatbot|ai-powered""), ""AI &amp; LLM"",
  REGEXMATCH(A771&amp;B771, ""(?i)twitter|instagram|facebook|linkedin|youtube|tiktok|threads|bluesky|pinterest|social vid"&amp;"eo|reels?|shorts?""), ""Social Media"",
  REGEXMATCH(A771&amp;B771, ""(?i)hubspot|pipedrive|stripe|shopify|woocommerce|sales|crm|invoice|order|leads?|recruitment|bamboohr|erpnext""), ""CRM &amp; Sales"",
  REGEXMATCH(A771&amp;B771, ""(?i)gmail|outlook|calendar|slack|"&amp;"discord|telegram|whatsapp|notion|trello|drive|sheets?|meeting|scheduler|appointment|mattermost""), ""Productivity &amp; Communication"",
  REGEXMATCH(A771&amp;B771, ""(?i)github|api|webhook|http|mysql|supabase|mongodb|redis|rss|pr|code review|incident|pagerduty|j"&amp;"ira""), ""Development &amp; Utilities"",
  TRUE, ""Others""
)"),"AI &amp; LLM")</f>
        <v>AI &amp; LLM</v>
      </c>
    </row>
    <row r="772" ht="15.75" customHeight="1">
      <c r="A772" s="14" t="s">
        <v>1524</v>
      </c>
      <c r="B772" s="15" t="s">
        <v>1525</v>
      </c>
      <c r="C772" s="16" t="s">
        <v>7</v>
      </c>
      <c r="D772" s="12" t="str">
        <f>IFERROR(__xludf.DUMMYFUNCTION("IFS(
  REGEXMATCH(A772&amp;B772, ""(?i)openai|gpt|gemini|anthropic|claude|mistral|cohere|rag|vector|llm|chatbot|ai-powered""), ""AI &amp; LLM"",
  REGEXMATCH(A772&amp;B772, ""(?i)twitter|instagram|facebook|linkedin|youtube|tiktok|threads|bluesky|pinterest|social vid"&amp;"eo|reels?|shorts?""), ""Social Media"",
  REGEXMATCH(A772&amp;B772, ""(?i)hubspot|pipedrive|stripe|shopify|woocommerce|sales|crm|invoice|order|leads?|recruitment|bamboohr|erpnext""), ""CRM &amp; Sales"",
  REGEXMATCH(A772&amp;B772, ""(?i)gmail|outlook|calendar|slack|"&amp;"discord|telegram|whatsapp|notion|trello|drive|sheets?|meeting|scheduler|appointment|mattermost""), ""Productivity &amp; Communication"",
  REGEXMATCH(A772&amp;B772, ""(?i)github|api|webhook|http|mysql|supabase|mongodb|redis|rss|pr|code review|incident|pagerduty|j"&amp;"ira""), ""Development &amp; Utilities"",
  TRUE, ""Others""
)"),"AI &amp; LLM")</f>
        <v>AI &amp; LLM</v>
      </c>
    </row>
    <row r="773" ht="15.75" customHeight="1">
      <c r="A773" s="14" t="s">
        <v>1526</v>
      </c>
      <c r="B773" s="15" t="s">
        <v>1527</v>
      </c>
      <c r="C773" s="16" t="s">
        <v>7</v>
      </c>
      <c r="D773" s="12" t="str">
        <f>IFERROR(__xludf.DUMMYFUNCTION("IFS(
  REGEXMATCH(A773&amp;B773, ""(?i)openai|gpt|gemini|anthropic|claude|mistral|cohere|rag|vector|llm|chatbot|ai-powered""), ""AI &amp; LLM"",
  REGEXMATCH(A773&amp;B773, ""(?i)twitter|instagram|facebook|linkedin|youtube|tiktok|threads|bluesky|pinterest|social vid"&amp;"eo|reels?|shorts?""), ""Social Media"",
  REGEXMATCH(A773&amp;B773, ""(?i)hubspot|pipedrive|stripe|shopify|woocommerce|sales|crm|invoice|order|leads?|recruitment|bamboohr|erpnext""), ""CRM &amp; Sales"",
  REGEXMATCH(A773&amp;B773, ""(?i)gmail|outlook|calendar|slack|"&amp;"discord|telegram|whatsapp|notion|trello|drive|sheets?|meeting|scheduler|appointment|mattermost""), ""Productivity &amp; Communication"",
  REGEXMATCH(A773&amp;B773, ""(?i)github|api|webhook|http|mysql|supabase|mongodb|redis|rss|pr|code review|incident|pagerduty|j"&amp;"ira""), ""Development &amp; Utilities"",
  TRUE, ""Others""
)"),"AI &amp; LLM")</f>
        <v>AI &amp; LLM</v>
      </c>
    </row>
    <row r="774" ht="15.75" customHeight="1">
      <c r="A774" s="14" t="s">
        <v>1528</v>
      </c>
      <c r="B774" s="15" t="s">
        <v>1529</v>
      </c>
      <c r="C774" s="16" t="s">
        <v>7</v>
      </c>
      <c r="D774" s="12" t="str">
        <f>IFERROR(__xludf.DUMMYFUNCTION("IFS(
  REGEXMATCH(A774&amp;B774, ""(?i)openai|gpt|gemini|anthropic|claude|mistral|cohere|rag|vector|llm|chatbot|ai-powered""), ""AI &amp; LLM"",
  REGEXMATCH(A774&amp;B774, ""(?i)twitter|instagram|facebook|linkedin|youtube|tiktok|threads|bluesky|pinterest|social vid"&amp;"eo|reels?|shorts?""), ""Social Media"",
  REGEXMATCH(A774&amp;B774, ""(?i)hubspot|pipedrive|stripe|shopify|woocommerce|sales|crm|invoice|order|leads?|recruitment|bamboohr|erpnext""), ""CRM &amp; Sales"",
  REGEXMATCH(A774&amp;B774, ""(?i)gmail|outlook|calendar|slack|"&amp;"discord|telegram|whatsapp|notion|trello|drive|sheets?|meeting|scheduler|appointment|mattermost""), ""Productivity &amp; Communication"",
  REGEXMATCH(A774&amp;B774, ""(?i)github|api|webhook|http|mysql|supabase|mongodb|redis|rss|pr|code review|incident|pagerduty|j"&amp;"ira""), ""Development &amp; Utilities"",
  TRUE, ""Others""
)"),"CRM &amp; Sales")</f>
        <v>CRM &amp; Sales</v>
      </c>
    </row>
    <row r="775" ht="15.75" customHeight="1">
      <c r="A775" s="14" t="s">
        <v>1530</v>
      </c>
      <c r="B775" s="15" t="s">
        <v>1531</v>
      </c>
      <c r="C775" s="16" t="s">
        <v>7</v>
      </c>
      <c r="D775" s="12" t="str">
        <f>IFERROR(__xludf.DUMMYFUNCTION("IFS(
  REGEXMATCH(A775&amp;B775, ""(?i)openai|gpt|gemini|anthropic|claude|mistral|cohere|rag|vector|llm|chatbot|ai-powered""), ""AI &amp; LLM"",
  REGEXMATCH(A775&amp;B775, ""(?i)twitter|instagram|facebook|linkedin|youtube|tiktok|threads|bluesky|pinterest|social vid"&amp;"eo|reels?|shorts?""), ""Social Media"",
  REGEXMATCH(A775&amp;B775, ""(?i)hubspot|pipedrive|stripe|shopify|woocommerce|sales|crm|invoice|order|leads?|recruitment|bamboohr|erpnext""), ""CRM &amp; Sales"",
  REGEXMATCH(A775&amp;B775, ""(?i)gmail|outlook|calendar|slack|"&amp;"discord|telegram|whatsapp|notion|trello|drive|sheets?|meeting|scheduler|appointment|mattermost""), ""Productivity &amp; Communication"",
  REGEXMATCH(A775&amp;B775, ""(?i)github|api|webhook|http|mysql|supabase|mongodb|redis|rss|pr|code review|incident|pagerduty|j"&amp;"ira""), ""Development &amp; Utilities"",
  TRUE, ""Others""
)"),"AI &amp; LLM")</f>
        <v>AI &amp; LLM</v>
      </c>
    </row>
    <row r="776" ht="15.75" customHeight="1">
      <c r="A776" s="14" t="s">
        <v>1532</v>
      </c>
      <c r="B776" s="15" t="s">
        <v>1533</v>
      </c>
      <c r="C776" s="16" t="s">
        <v>7</v>
      </c>
      <c r="D776" s="12" t="str">
        <f>IFERROR(__xludf.DUMMYFUNCTION("IFS(
  REGEXMATCH(A776&amp;B776, ""(?i)openai|gpt|gemini|anthropic|claude|mistral|cohere|rag|vector|llm|chatbot|ai-powered""), ""AI &amp; LLM"",
  REGEXMATCH(A776&amp;B776, ""(?i)twitter|instagram|facebook|linkedin|youtube|tiktok|threads|bluesky|pinterest|social vid"&amp;"eo|reels?|shorts?""), ""Social Media"",
  REGEXMATCH(A776&amp;B776, ""(?i)hubspot|pipedrive|stripe|shopify|woocommerce|sales|crm|invoice|order|leads?|recruitment|bamboohr|erpnext""), ""CRM &amp; Sales"",
  REGEXMATCH(A776&amp;B776, ""(?i)gmail|outlook|calendar|slack|"&amp;"discord|telegram|whatsapp|notion|trello|drive|sheets?|meeting|scheduler|appointment|mattermost""), ""Productivity &amp; Communication"",
  REGEXMATCH(A776&amp;B776, ""(?i)github|api|webhook|http|mysql|supabase|mongodb|redis|rss|pr|code review|incident|pagerduty|j"&amp;"ira""), ""Development &amp; Utilities"",
  TRUE, ""Others""
)"),"CRM &amp; Sales")</f>
        <v>CRM &amp; Sales</v>
      </c>
    </row>
    <row r="777" ht="15.75" customHeight="1">
      <c r="A777" s="14" t="s">
        <v>1534</v>
      </c>
      <c r="B777" s="15" t="s">
        <v>1535</v>
      </c>
      <c r="C777" s="16" t="s">
        <v>7</v>
      </c>
      <c r="D777" s="12" t="str">
        <f>IFERROR(__xludf.DUMMYFUNCTION("IFS(
  REGEXMATCH(A777&amp;B777, ""(?i)openai|gpt|gemini|anthropic|claude|mistral|cohere|rag|vector|llm|chatbot|ai-powered""), ""AI &amp; LLM"",
  REGEXMATCH(A777&amp;B777, ""(?i)twitter|instagram|facebook|linkedin|youtube|tiktok|threads|bluesky|pinterest|social vid"&amp;"eo|reels?|shorts?""), ""Social Media"",
  REGEXMATCH(A777&amp;B777, ""(?i)hubspot|pipedrive|stripe|shopify|woocommerce|sales|crm|invoice|order|leads?|recruitment|bamboohr|erpnext""), ""CRM &amp; Sales"",
  REGEXMATCH(A777&amp;B777, ""(?i)gmail|outlook|calendar|slack|"&amp;"discord|telegram|whatsapp|notion|trello|drive|sheets?|meeting|scheduler|appointment|mattermost""), ""Productivity &amp; Communication"",
  REGEXMATCH(A777&amp;B777, ""(?i)github|api|webhook|http|mysql|supabase|mongodb|redis|rss|pr|code review|incident|pagerduty|j"&amp;"ira""), ""Development &amp; Utilities"",
  TRUE, ""Others""
)"),"AI &amp; LLM")</f>
        <v>AI &amp; LLM</v>
      </c>
    </row>
    <row r="778" ht="15.75" customHeight="1">
      <c r="A778" s="14" t="s">
        <v>1536</v>
      </c>
      <c r="B778" s="15" t="s">
        <v>1537</v>
      </c>
      <c r="C778" s="16" t="s">
        <v>7</v>
      </c>
      <c r="D778" s="12" t="str">
        <f>IFERROR(__xludf.DUMMYFUNCTION("IFS(
  REGEXMATCH(A778&amp;B778, ""(?i)openai|gpt|gemini|anthropic|claude|mistral|cohere|rag|vector|llm|chatbot|ai-powered""), ""AI &amp; LLM"",
  REGEXMATCH(A778&amp;B778, ""(?i)twitter|instagram|facebook|linkedin|youtube|tiktok|threads|bluesky|pinterest|social vid"&amp;"eo|reels?|shorts?""), ""Social Media"",
  REGEXMATCH(A778&amp;B778, ""(?i)hubspot|pipedrive|stripe|shopify|woocommerce|sales|crm|invoice|order|leads?|recruitment|bamboohr|erpnext""), ""CRM &amp; Sales"",
  REGEXMATCH(A778&amp;B778, ""(?i)gmail|outlook|calendar|slack|"&amp;"discord|telegram|whatsapp|notion|trello|drive|sheets?|meeting|scheduler|appointment|mattermost""), ""Productivity &amp; Communication"",
  REGEXMATCH(A778&amp;B778, ""(?i)github|api|webhook|http|mysql|supabase|mongodb|redis|rss|pr|code review|incident|pagerduty|j"&amp;"ira""), ""Development &amp; Utilities"",
  TRUE, ""Others""
)"),"AI &amp; LLM")</f>
        <v>AI &amp; LLM</v>
      </c>
    </row>
    <row r="779" ht="15.75" customHeight="1">
      <c r="A779" s="14" t="s">
        <v>1538</v>
      </c>
      <c r="B779" s="15" t="s">
        <v>1539</v>
      </c>
      <c r="C779" s="16" t="s">
        <v>7</v>
      </c>
      <c r="D779" s="12" t="str">
        <f>IFERROR(__xludf.DUMMYFUNCTION("IFS(
  REGEXMATCH(A779&amp;B779, ""(?i)openai|gpt|gemini|anthropic|claude|mistral|cohere|rag|vector|llm|chatbot|ai-powered""), ""AI &amp; LLM"",
  REGEXMATCH(A779&amp;B779, ""(?i)twitter|instagram|facebook|linkedin|youtube|tiktok|threads|bluesky|pinterest|social vid"&amp;"eo|reels?|shorts?""), ""Social Media"",
  REGEXMATCH(A779&amp;B779, ""(?i)hubspot|pipedrive|stripe|shopify|woocommerce|sales|crm|invoice|order|leads?|recruitment|bamboohr|erpnext""), ""CRM &amp; Sales"",
  REGEXMATCH(A779&amp;B779, ""(?i)gmail|outlook|calendar|slack|"&amp;"discord|telegram|whatsapp|notion|trello|drive|sheets?|meeting|scheduler|appointment|mattermost""), ""Productivity &amp; Communication"",
  REGEXMATCH(A779&amp;B779, ""(?i)github|api|webhook|http|mysql|supabase|mongodb|redis|rss|pr|code review|incident|pagerduty|j"&amp;"ira""), ""Development &amp; Utilities"",
  TRUE, ""Others""
)"),"Development &amp; Utilities")</f>
        <v>Development &amp; Utilities</v>
      </c>
    </row>
    <row r="780" ht="15.75" customHeight="1">
      <c r="A780" s="14" t="s">
        <v>1540</v>
      </c>
      <c r="B780" s="15" t="s">
        <v>1541</v>
      </c>
      <c r="C780" s="16" t="s">
        <v>7</v>
      </c>
      <c r="D780" s="12" t="str">
        <f>IFERROR(__xludf.DUMMYFUNCTION("IFS(
  REGEXMATCH(A780&amp;B780, ""(?i)openai|gpt|gemini|anthropic|claude|mistral|cohere|rag|vector|llm|chatbot|ai-powered""), ""AI &amp; LLM"",
  REGEXMATCH(A780&amp;B780, ""(?i)twitter|instagram|facebook|linkedin|youtube|tiktok|threads|bluesky|pinterest|social vid"&amp;"eo|reels?|shorts?""), ""Social Media"",
  REGEXMATCH(A780&amp;B780, ""(?i)hubspot|pipedrive|stripe|shopify|woocommerce|sales|crm|invoice|order|leads?|recruitment|bamboohr|erpnext""), ""CRM &amp; Sales"",
  REGEXMATCH(A780&amp;B780, ""(?i)gmail|outlook|calendar|slack|"&amp;"discord|telegram|whatsapp|notion|trello|drive|sheets?|meeting|scheduler|appointment|mattermost""), ""Productivity &amp; Communication"",
  REGEXMATCH(A780&amp;B780, ""(?i)github|api|webhook|http|mysql|supabase|mongodb|redis|rss|pr|code review|incident|pagerduty|j"&amp;"ira""), ""Development &amp; Utilities"",
  TRUE, ""Others""
)"),"Productivity &amp; Communication")</f>
        <v>Productivity &amp; Communication</v>
      </c>
    </row>
    <row r="781" ht="15.75" customHeight="1">
      <c r="A781" s="14" t="s">
        <v>1542</v>
      </c>
      <c r="B781" s="15" t="s">
        <v>1543</v>
      </c>
      <c r="C781" s="16" t="s">
        <v>7</v>
      </c>
      <c r="D781" s="12" t="str">
        <f>IFERROR(__xludf.DUMMYFUNCTION("IFS(
  REGEXMATCH(A781&amp;B781, ""(?i)openai|gpt|gemini|anthropic|claude|mistral|cohere|rag|vector|llm|chatbot|ai-powered""), ""AI &amp; LLM"",
  REGEXMATCH(A781&amp;B781, ""(?i)twitter|instagram|facebook|linkedin|youtube|tiktok|threads|bluesky|pinterest|social vid"&amp;"eo|reels?|shorts?""), ""Social Media"",
  REGEXMATCH(A781&amp;B781, ""(?i)hubspot|pipedrive|stripe|shopify|woocommerce|sales|crm|invoice|order|leads?|recruitment|bamboohr|erpnext""), ""CRM &amp; Sales"",
  REGEXMATCH(A781&amp;B781, ""(?i)gmail|outlook|calendar|slack|"&amp;"discord|telegram|whatsapp|notion|trello|drive|sheets?|meeting|scheduler|appointment|mattermost""), ""Productivity &amp; Communication"",
  REGEXMATCH(A781&amp;B781, ""(?i)github|api|webhook|http|mysql|supabase|mongodb|redis|rss|pr|code review|incident|pagerduty|j"&amp;"ira""), ""Development &amp; Utilities"",
  TRUE, ""Others""
)"),"CRM &amp; Sales")</f>
        <v>CRM &amp; Sales</v>
      </c>
    </row>
    <row r="782" ht="15.75" customHeight="1">
      <c r="A782" s="14" t="s">
        <v>1544</v>
      </c>
      <c r="B782" s="15" t="s">
        <v>1545</v>
      </c>
      <c r="C782" s="16" t="s">
        <v>7</v>
      </c>
      <c r="D782" s="12" t="str">
        <f>IFERROR(__xludf.DUMMYFUNCTION("IFS(
  REGEXMATCH(A782&amp;B782, ""(?i)openai|gpt|gemini|anthropic|claude|mistral|cohere|rag|vector|llm|chatbot|ai-powered""), ""AI &amp; LLM"",
  REGEXMATCH(A782&amp;B782, ""(?i)twitter|instagram|facebook|linkedin|youtube|tiktok|threads|bluesky|pinterest|social vid"&amp;"eo|reels?|shorts?""), ""Social Media"",
  REGEXMATCH(A782&amp;B782, ""(?i)hubspot|pipedrive|stripe|shopify|woocommerce|sales|crm|invoice|order|leads?|recruitment|bamboohr|erpnext""), ""CRM &amp; Sales"",
  REGEXMATCH(A782&amp;B782, ""(?i)gmail|outlook|calendar|slack|"&amp;"discord|telegram|whatsapp|notion|trello|drive|sheets?|meeting|scheduler|appointment|mattermost""), ""Productivity &amp; Communication"",
  REGEXMATCH(A782&amp;B782, ""(?i)github|api|webhook|http|mysql|supabase|mongodb|redis|rss|pr|code review|incident|pagerduty|j"&amp;"ira""), ""Development &amp; Utilities"",
  TRUE, ""Others""
)"),"Social Media")</f>
        <v>Social Media</v>
      </c>
    </row>
    <row r="783" ht="15.75" customHeight="1">
      <c r="A783" s="14" t="s">
        <v>1546</v>
      </c>
      <c r="B783" s="15" t="s">
        <v>1547</v>
      </c>
      <c r="C783" s="16" t="s">
        <v>7</v>
      </c>
      <c r="D783" s="12" t="str">
        <f>IFERROR(__xludf.DUMMYFUNCTION("IFS(
  REGEXMATCH(A783&amp;B783, ""(?i)openai|gpt|gemini|anthropic|claude|mistral|cohere|rag|vector|llm|chatbot|ai-powered""), ""AI &amp; LLM"",
  REGEXMATCH(A783&amp;B783, ""(?i)twitter|instagram|facebook|linkedin|youtube|tiktok|threads|bluesky|pinterest|social vid"&amp;"eo|reels?|shorts?""), ""Social Media"",
  REGEXMATCH(A783&amp;B783, ""(?i)hubspot|pipedrive|stripe|shopify|woocommerce|sales|crm|invoice|order|leads?|recruitment|bamboohr|erpnext""), ""CRM &amp; Sales"",
  REGEXMATCH(A783&amp;B783, ""(?i)gmail|outlook|calendar|slack|"&amp;"discord|telegram|whatsapp|notion|trello|drive|sheets?|meeting|scheduler|appointment|mattermost""), ""Productivity &amp; Communication"",
  REGEXMATCH(A783&amp;B783, ""(?i)github|api|webhook|http|mysql|supabase|mongodb|redis|rss|pr|code review|incident|pagerduty|j"&amp;"ira""), ""Development &amp; Utilities"",
  TRUE, ""Others""
)"),"AI &amp; LLM")</f>
        <v>AI &amp; LLM</v>
      </c>
    </row>
    <row r="784" ht="15.75" customHeight="1">
      <c r="A784" s="14" t="s">
        <v>1548</v>
      </c>
      <c r="B784" s="15" t="s">
        <v>1549</v>
      </c>
      <c r="C784" s="16" t="s">
        <v>7</v>
      </c>
      <c r="D784" s="12" t="str">
        <f>IFERROR(__xludf.DUMMYFUNCTION("IFS(
  REGEXMATCH(A784&amp;B784, ""(?i)openai|gpt|gemini|anthropic|claude|mistral|cohere|rag|vector|llm|chatbot|ai-powered""), ""AI &amp; LLM"",
  REGEXMATCH(A784&amp;B784, ""(?i)twitter|instagram|facebook|linkedin|youtube|tiktok|threads|bluesky|pinterest|social vid"&amp;"eo|reels?|shorts?""), ""Social Media"",
  REGEXMATCH(A784&amp;B784, ""(?i)hubspot|pipedrive|stripe|shopify|woocommerce|sales|crm|invoice|order|leads?|recruitment|bamboohr|erpnext""), ""CRM &amp; Sales"",
  REGEXMATCH(A784&amp;B784, ""(?i)gmail|outlook|calendar|slack|"&amp;"discord|telegram|whatsapp|notion|trello|drive|sheets?|meeting|scheduler|appointment|mattermost""), ""Productivity &amp; Communication"",
  REGEXMATCH(A784&amp;B784, ""(?i)github|api|webhook|http|mysql|supabase|mongodb|redis|rss|pr|code review|incident|pagerduty|j"&amp;"ira""), ""Development &amp; Utilities"",
  TRUE, ""Others""
)"),"AI &amp; LLM")</f>
        <v>AI &amp; LLM</v>
      </c>
    </row>
    <row r="785" ht="15.75" customHeight="1">
      <c r="A785" s="14" t="s">
        <v>1550</v>
      </c>
      <c r="B785" s="15" t="s">
        <v>1551</v>
      </c>
      <c r="C785" s="16" t="s">
        <v>7</v>
      </c>
      <c r="D785" s="12" t="str">
        <f>IFERROR(__xludf.DUMMYFUNCTION("IFS(
  REGEXMATCH(A785&amp;B785, ""(?i)openai|gpt|gemini|anthropic|claude|mistral|cohere|rag|vector|llm|chatbot|ai-powered""), ""AI &amp; LLM"",
  REGEXMATCH(A785&amp;B785, ""(?i)twitter|instagram|facebook|linkedin|youtube|tiktok|threads|bluesky|pinterest|social vid"&amp;"eo|reels?|shorts?""), ""Social Media"",
  REGEXMATCH(A785&amp;B785, ""(?i)hubspot|pipedrive|stripe|shopify|woocommerce|sales|crm|invoice|order|leads?|recruitment|bamboohr|erpnext""), ""CRM &amp; Sales"",
  REGEXMATCH(A785&amp;B785, ""(?i)gmail|outlook|calendar|slack|"&amp;"discord|telegram|whatsapp|notion|trello|drive|sheets?|meeting|scheduler|appointment|mattermost""), ""Productivity &amp; Communication"",
  REGEXMATCH(A785&amp;B785, ""(?i)github|api|webhook|http|mysql|supabase|mongodb|redis|rss|pr|code review|incident|pagerduty|j"&amp;"ira""), ""Development &amp; Utilities"",
  TRUE, ""Others""
)"),"AI &amp; LLM")</f>
        <v>AI &amp; LLM</v>
      </c>
    </row>
    <row r="786" ht="15.75" customHeight="1">
      <c r="A786" s="14" t="s">
        <v>1552</v>
      </c>
      <c r="B786" s="15" t="s">
        <v>1553</v>
      </c>
      <c r="C786" s="16" t="s">
        <v>7</v>
      </c>
      <c r="D786" s="12" t="str">
        <f>IFERROR(__xludf.DUMMYFUNCTION("IFS(
  REGEXMATCH(A786&amp;B786, ""(?i)openai|gpt|gemini|anthropic|claude|mistral|cohere|rag|vector|llm|chatbot|ai-powered""), ""AI &amp; LLM"",
  REGEXMATCH(A786&amp;B786, ""(?i)twitter|instagram|facebook|linkedin|youtube|tiktok|threads|bluesky|pinterest|social vid"&amp;"eo|reels?|shorts?""), ""Social Media"",
  REGEXMATCH(A786&amp;B786, ""(?i)hubspot|pipedrive|stripe|shopify|woocommerce|sales|crm|invoice|order|leads?|recruitment|bamboohr|erpnext""), ""CRM &amp; Sales"",
  REGEXMATCH(A786&amp;B786, ""(?i)gmail|outlook|calendar|slack|"&amp;"discord|telegram|whatsapp|notion|trello|drive|sheets?|meeting|scheduler|appointment|mattermost""), ""Productivity &amp; Communication"",
  REGEXMATCH(A786&amp;B786, ""(?i)github|api|webhook|http|mysql|supabase|mongodb|redis|rss|pr|code review|incident|pagerduty|j"&amp;"ira""), ""Development &amp; Utilities"",
  TRUE, ""Others""
)"),"AI &amp; LLM")</f>
        <v>AI &amp; LLM</v>
      </c>
    </row>
    <row r="787" ht="15.75" customHeight="1">
      <c r="A787" s="14" t="s">
        <v>1554</v>
      </c>
      <c r="B787" s="15" t="s">
        <v>1555</v>
      </c>
      <c r="C787" s="16" t="s">
        <v>7</v>
      </c>
      <c r="D787" s="12" t="str">
        <f>IFERROR(__xludf.DUMMYFUNCTION("IFS(
  REGEXMATCH(A787&amp;B787, ""(?i)openai|gpt|gemini|anthropic|claude|mistral|cohere|rag|vector|llm|chatbot|ai-powered""), ""AI &amp; LLM"",
  REGEXMATCH(A787&amp;B787, ""(?i)twitter|instagram|facebook|linkedin|youtube|tiktok|threads|bluesky|pinterest|social vid"&amp;"eo|reels?|shorts?""), ""Social Media"",
  REGEXMATCH(A787&amp;B787, ""(?i)hubspot|pipedrive|stripe|shopify|woocommerce|sales|crm|invoice|order|leads?|recruitment|bamboohr|erpnext""), ""CRM &amp; Sales"",
  REGEXMATCH(A787&amp;B787, ""(?i)gmail|outlook|calendar|slack|"&amp;"discord|telegram|whatsapp|notion|trello|drive|sheets?|meeting|scheduler|appointment|mattermost""), ""Productivity &amp; Communication"",
  REGEXMATCH(A787&amp;B787, ""(?i)github|api|webhook|http|mysql|supabase|mongodb|redis|rss|pr|code review|incident|pagerduty|j"&amp;"ira""), ""Development &amp; Utilities"",
  TRUE, ""Others""
)"),"AI &amp; LLM")</f>
        <v>AI &amp; LLM</v>
      </c>
    </row>
    <row r="788" ht="15.75" customHeight="1">
      <c r="A788" s="14" t="s">
        <v>1556</v>
      </c>
      <c r="B788" s="15" t="s">
        <v>1557</v>
      </c>
      <c r="C788" s="16" t="s">
        <v>7</v>
      </c>
      <c r="D788" s="12" t="str">
        <f>IFERROR(__xludf.DUMMYFUNCTION("IFS(
  REGEXMATCH(A788&amp;B788, ""(?i)openai|gpt|gemini|anthropic|claude|mistral|cohere|rag|vector|llm|chatbot|ai-powered""), ""AI &amp; LLM"",
  REGEXMATCH(A788&amp;B788, ""(?i)twitter|instagram|facebook|linkedin|youtube|tiktok|threads|bluesky|pinterest|social vid"&amp;"eo|reels?|shorts?""), ""Social Media"",
  REGEXMATCH(A788&amp;B788, ""(?i)hubspot|pipedrive|stripe|shopify|woocommerce|sales|crm|invoice|order|leads?|recruitment|bamboohr|erpnext""), ""CRM &amp; Sales"",
  REGEXMATCH(A788&amp;B788, ""(?i)gmail|outlook|calendar|slack|"&amp;"discord|telegram|whatsapp|notion|trello|drive|sheets?|meeting|scheduler|appointment|mattermost""), ""Productivity &amp; Communication"",
  REGEXMATCH(A788&amp;B788, ""(?i)github|api|webhook|http|mysql|supabase|mongodb|redis|rss|pr|code review|incident|pagerduty|j"&amp;"ira""), ""Development &amp; Utilities"",
  TRUE, ""Others""
)"),"Productivity &amp; Communication")</f>
        <v>Productivity &amp; Communication</v>
      </c>
    </row>
    <row r="789" ht="15.75" customHeight="1">
      <c r="A789" s="14" t="s">
        <v>1558</v>
      </c>
      <c r="B789" s="15" t="s">
        <v>1559</v>
      </c>
      <c r="C789" s="16" t="s">
        <v>7</v>
      </c>
      <c r="D789" s="12" t="str">
        <f>IFERROR(__xludf.DUMMYFUNCTION("IFS(
  REGEXMATCH(A789&amp;B789, ""(?i)openai|gpt|gemini|anthropic|claude|mistral|cohere|rag|vector|llm|chatbot|ai-powered""), ""AI &amp; LLM"",
  REGEXMATCH(A789&amp;B789, ""(?i)twitter|instagram|facebook|linkedin|youtube|tiktok|threads|bluesky|pinterest|social vid"&amp;"eo|reels?|shorts?""), ""Social Media"",
  REGEXMATCH(A789&amp;B789, ""(?i)hubspot|pipedrive|stripe|shopify|woocommerce|sales|crm|invoice|order|leads?|recruitment|bamboohr|erpnext""), ""CRM &amp; Sales"",
  REGEXMATCH(A789&amp;B789, ""(?i)gmail|outlook|calendar|slack|"&amp;"discord|telegram|whatsapp|notion|trello|drive|sheets?|meeting|scheduler|appointment|mattermost""), ""Productivity &amp; Communication"",
  REGEXMATCH(A789&amp;B789, ""(?i)github|api|webhook|http|mysql|supabase|mongodb|redis|rss|pr|code review|incident|pagerduty|j"&amp;"ira""), ""Development &amp; Utilities"",
  TRUE, ""Others""
)"),"AI &amp; LLM")</f>
        <v>AI &amp; LLM</v>
      </c>
    </row>
    <row r="790" ht="15.75" customHeight="1">
      <c r="A790" s="14" t="s">
        <v>1560</v>
      </c>
      <c r="B790" s="15" t="s">
        <v>1561</v>
      </c>
      <c r="C790" s="16" t="s">
        <v>7</v>
      </c>
      <c r="D790" s="12" t="str">
        <f>IFERROR(__xludf.DUMMYFUNCTION("IFS(
  REGEXMATCH(A790&amp;B790, ""(?i)openai|gpt|gemini|anthropic|claude|mistral|cohere|rag|vector|llm|chatbot|ai-powered""), ""AI &amp; LLM"",
  REGEXMATCH(A790&amp;B790, ""(?i)twitter|instagram|facebook|linkedin|youtube|tiktok|threads|bluesky|pinterest|social vid"&amp;"eo|reels?|shorts?""), ""Social Media"",
  REGEXMATCH(A790&amp;B790, ""(?i)hubspot|pipedrive|stripe|shopify|woocommerce|sales|crm|invoice|order|leads?|recruitment|bamboohr|erpnext""), ""CRM &amp; Sales"",
  REGEXMATCH(A790&amp;B790, ""(?i)gmail|outlook|calendar|slack|"&amp;"discord|telegram|whatsapp|notion|trello|drive|sheets?|meeting|scheduler|appointment|mattermost""), ""Productivity &amp; Communication"",
  REGEXMATCH(A790&amp;B790, ""(?i)github|api|webhook|http|mysql|supabase|mongodb|redis|rss|pr|code review|incident|pagerduty|j"&amp;"ira""), ""Development &amp; Utilities"",
  TRUE, ""Others""
)"),"Development &amp; Utilities")</f>
        <v>Development &amp; Utilities</v>
      </c>
    </row>
    <row r="791" ht="15.75" customHeight="1">
      <c r="A791" s="14" t="s">
        <v>1562</v>
      </c>
      <c r="B791" s="15" t="s">
        <v>1563</v>
      </c>
      <c r="C791" s="16" t="s">
        <v>7</v>
      </c>
      <c r="D791" s="12" t="str">
        <f>IFERROR(__xludf.DUMMYFUNCTION("IFS(
  REGEXMATCH(A791&amp;B791, ""(?i)openai|gpt|gemini|anthropic|claude|mistral|cohere|rag|vector|llm|chatbot|ai-powered""), ""AI &amp; LLM"",
  REGEXMATCH(A791&amp;B791, ""(?i)twitter|instagram|facebook|linkedin|youtube|tiktok|threads|bluesky|pinterest|social vid"&amp;"eo|reels?|shorts?""), ""Social Media"",
  REGEXMATCH(A791&amp;B791, ""(?i)hubspot|pipedrive|stripe|shopify|woocommerce|sales|crm|invoice|order|leads?|recruitment|bamboohr|erpnext""), ""CRM &amp; Sales"",
  REGEXMATCH(A791&amp;B791, ""(?i)gmail|outlook|calendar|slack|"&amp;"discord|telegram|whatsapp|notion|trello|drive|sheets?|meeting|scheduler|appointment|mattermost""), ""Productivity &amp; Communication"",
  REGEXMATCH(A791&amp;B791, ""(?i)github|api|webhook|http|mysql|supabase|mongodb|redis|rss|pr|code review|incident|pagerduty|j"&amp;"ira""), ""Development &amp; Utilities"",
  TRUE, ""Others""
)"),"AI &amp; LLM")</f>
        <v>AI &amp; LLM</v>
      </c>
    </row>
    <row r="792" ht="15.75" customHeight="1">
      <c r="A792" s="14" t="s">
        <v>1564</v>
      </c>
      <c r="B792" s="15" t="s">
        <v>1565</v>
      </c>
      <c r="C792" s="16" t="s">
        <v>7</v>
      </c>
      <c r="D792" s="12" t="str">
        <f>IFERROR(__xludf.DUMMYFUNCTION("IFS(
  REGEXMATCH(A792&amp;B792, ""(?i)openai|gpt|gemini|anthropic|claude|mistral|cohere|rag|vector|llm|chatbot|ai-powered""), ""AI &amp; LLM"",
  REGEXMATCH(A792&amp;B792, ""(?i)twitter|instagram|facebook|linkedin|youtube|tiktok|threads|bluesky|pinterest|social vid"&amp;"eo|reels?|shorts?""), ""Social Media"",
  REGEXMATCH(A792&amp;B792, ""(?i)hubspot|pipedrive|stripe|shopify|woocommerce|sales|crm|invoice|order|leads?|recruitment|bamboohr|erpnext""), ""CRM &amp; Sales"",
  REGEXMATCH(A792&amp;B792, ""(?i)gmail|outlook|calendar|slack|"&amp;"discord|telegram|whatsapp|notion|trello|drive|sheets?|meeting|scheduler|appointment|mattermost""), ""Productivity &amp; Communication"",
  REGEXMATCH(A792&amp;B792, ""(?i)github|api|webhook|http|mysql|supabase|mongodb|redis|rss|pr|code review|incident|pagerduty|j"&amp;"ira""), ""Development &amp; Utilities"",
  TRUE, ""Others""
)"),"AI &amp; LLM")</f>
        <v>AI &amp; LLM</v>
      </c>
    </row>
    <row r="793" ht="15.75" customHeight="1">
      <c r="A793" s="14" t="s">
        <v>1566</v>
      </c>
      <c r="B793" s="15" t="s">
        <v>1567</v>
      </c>
      <c r="C793" s="16" t="s">
        <v>7</v>
      </c>
      <c r="D793" s="12" t="str">
        <f>IFERROR(__xludf.DUMMYFUNCTION("IFS(
  REGEXMATCH(A793&amp;B793, ""(?i)openai|gpt|gemini|anthropic|claude|mistral|cohere|rag|vector|llm|chatbot|ai-powered""), ""AI &amp; LLM"",
  REGEXMATCH(A793&amp;B793, ""(?i)twitter|instagram|facebook|linkedin|youtube|tiktok|threads|bluesky|pinterest|social vid"&amp;"eo|reels?|shorts?""), ""Social Media"",
  REGEXMATCH(A793&amp;B793, ""(?i)hubspot|pipedrive|stripe|shopify|woocommerce|sales|crm|invoice|order|leads?|recruitment|bamboohr|erpnext""), ""CRM &amp; Sales"",
  REGEXMATCH(A793&amp;B793, ""(?i)gmail|outlook|calendar|slack|"&amp;"discord|telegram|whatsapp|notion|trello|drive|sheets?|meeting|scheduler|appointment|mattermost""), ""Productivity &amp; Communication"",
  REGEXMATCH(A793&amp;B793, ""(?i)github|api|webhook|http|mysql|supabase|mongodb|redis|rss|pr|code review|incident|pagerduty|j"&amp;"ira""), ""Development &amp; Utilities"",
  TRUE, ""Others""
)"),"Social Media")</f>
        <v>Social Media</v>
      </c>
    </row>
    <row r="794" ht="15.75" customHeight="1">
      <c r="A794" s="14" t="s">
        <v>1568</v>
      </c>
      <c r="B794" s="15" t="s">
        <v>1569</v>
      </c>
      <c r="C794" s="16" t="s">
        <v>7</v>
      </c>
      <c r="D794" s="12" t="str">
        <f>IFERROR(__xludf.DUMMYFUNCTION("IFS(
  REGEXMATCH(A794&amp;B794, ""(?i)openai|gpt|gemini|anthropic|claude|mistral|cohere|rag|vector|llm|chatbot|ai-powered""), ""AI &amp; LLM"",
  REGEXMATCH(A794&amp;B794, ""(?i)twitter|instagram|facebook|linkedin|youtube|tiktok|threads|bluesky|pinterest|social vid"&amp;"eo|reels?|shorts?""), ""Social Media"",
  REGEXMATCH(A794&amp;B794, ""(?i)hubspot|pipedrive|stripe|shopify|woocommerce|sales|crm|invoice|order|leads?|recruitment|bamboohr|erpnext""), ""CRM &amp; Sales"",
  REGEXMATCH(A794&amp;B794, ""(?i)gmail|outlook|calendar|slack|"&amp;"discord|telegram|whatsapp|notion|trello|drive|sheets?|meeting|scheduler|appointment|mattermost""), ""Productivity &amp; Communication"",
  REGEXMATCH(A794&amp;B794, ""(?i)github|api|webhook|http|mysql|supabase|mongodb|redis|rss|pr|code review|incident|pagerduty|j"&amp;"ira""), ""Development &amp; Utilities"",
  TRUE, ""Others""
)"),"Productivity &amp; Communication")</f>
        <v>Productivity &amp; Communication</v>
      </c>
    </row>
    <row r="795" ht="15.75" customHeight="1">
      <c r="A795" s="14" t="s">
        <v>1570</v>
      </c>
      <c r="B795" s="15" t="s">
        <v>1571</v>
      </c>
      <c r="C795" s="16" t="s">
        <v>7</v>
      </c>
      <c r="D795" s="12" t="str">
        <f>IFERROR(__xludf.DUMMYFUNCTION("IFS(
  REGEXMATCH(A795&amp;B795, ""(?i)openai|gpt|gemini|anthropic|claude|mistral|cohere|rag|vector|llm|chatbot|ai-powered""), ""AI &amp; LLM"",
  REGEXMATCH(A795&amp;B795, ""(?i)twitter|instagram|facebook|linkedin|youtube|tiktok|threads|bluesky|pinterest|social vid"&amp;"eo|reels?|shorts?""), ""Social Media"",
  REGEXMATCH(A795&amp;B795, ""(?i)hubspot|pipedrive|stripe|shopify|woocommerce|sales|crm|invoice|order|leads?|recruitment|bamboohr|erpnext""), ""CRM &amp; Sales"",
  REGEXMATCH(A795&amp;B795, ""(?i)gmail|outlook|calendar|slack|"&amp;"discord|telegram|whatsapp|notion|trello|drive|sheets?|meeting|scheduler|appointment|mattermost""), ""Productivity &amp; Communication"",
  REGEXMATCH(A795&amp;B795, ""(?i)github|api|webhook|http|mysql|supabase|mongodb|redis|rss|pr|code review|incident|pagerduty|j"&amp;"ira""), ""Development &amp; Utilities"",
  TRUE, ""Others""
)"),"Productivity &amp; Communication")</f>
        <v>Productivity &amp; Communication</v>
      </c>
    </row>
    <row r="796" ht="15.75" customHeight="1">
      <c r="A796" s="14" t="s">
        <v>1572</v>
      </c>
      <c r="B796" s="15" t="s">
        <v>1573</v>
      </c>
      <c r="C796" s="16" t="s">
        <v>7</v>
      </c>
      <c r="D796" s="12" t="str">
        <f>IFERROR(__xludf.DUMMYFUNCTION("IFS(
  REGEXMATCH(A796&amp;B796, ""(?i)openai|gpt|gemini|anthropic|claude|mistral|cohere|rag|vector|llm|chatbot|ai-powered""), ""AI &amp; LLM"",
  REGEXMATCH(A796&amp;B796, ""(?i)twitter|instagram|facebook|linkedin|youtube|tiktok|threads|bluesky|pinterest|social vid"&amp;"eo|reels?|shorts?""), ""Social Media"",
  REGEXMATCH(A796&amp;B796, ""(?i)hubspot|pipedrive|stripe|shopify|woocommerce|sales|crm|invoice|order|leads?|recruitment|bamboohr|erpnext""), ""CRM &amp; Sales"",
  REGEXMATCH(A796&amp;B796, ""(?i)gmail|outlook|calendar|slack|"&amp;"discord|telegram|whatsapp|notion|trello|drive|sheets?|meeting|scheduler|appointment|mattermost""), ""Productivity &amp; Communication"",
  REGEXMATCH(A796&amp;B796, ""(?i)github|api|webhook|http|mysql|supabase|mongodb|redis|rss|pr|code review|incident|pagerduty|j"&amp;"ira""), ""Development &amp; Utilities"",
  TRUE, ""Others""
)"),"Productivity &amp; Communication")</f>
        <v>Productivity &amp; Communication</v>
      </c>
    </row>
    <row r="797" ht="15.75" customHeight="1">
      <c r="A797" s="14" t="s">
        <v>1574</v>
      </c>
      <c r="B797" s="15" t="s">
        <v>1575</v>
      </c>
      <c r="C797" s="16" t="s">
        <v>7</v>
      </c>
      <c r="D797" s="12" t="str">
        <f>IFERROR(__xludf.DUMMYFUNCTION("IFS(
  REGEXMATCH(A797&amp;B797, ""(?i)openai|gpt|gemini|anthropic|claude|mistral|cohere|rag|vector|llm|chatbot|ai-powered""), ""AI &amp; LLM"",
  REGEXMATCH(A797&amp;B797, ""(?i)twitter|instagram|facebook|linkedin|youtube|tiktok|threads|bluesky|pinterest|social vid"&amp;"eo|reels?|shorts?""), ""Social Media"",
  REGEXMATCH(A797&amp;B797, ""(?i)hubspot|pipedrive|stripe|shopify|woocommerce|sales|crm|invoice|order|leads?|recruitment|bamboohr|erpnext""), ""CRM &amp; Sales"",
  REGEXMATCH(A797&amp;B797, ""(?i)gmail|outlook|calendar|slack|"&amp;"discord|telegram|whatsapp|notion|trello|drive|sheets?|meeting|scheduler|appointment|mattermost""), ""Productivity &amp; Communication"",
  REGEXMATCH(A797&amp;B797, ""(?i)github|api|webhook|http|mysql|supabase|mongodb|redis|rss|pr|code review|incident|pagerduty|j"&amp;"ira""), ""Development &amp; Utilities"",
  TRUE, ""Others""
)"),"AI &amp; LLM")</f>
        <v>AI &amp; LLM</v>
      </c>
    </row>
    <row r="798" ht="15.75" customHeight="1">
      <c r="A798" s="14" t="s">
        <v>1576</v>
      </c>
      <c r="B798" s="15" t="s">
        <v>1577</v>
      </c>
      <c r="C798" s="16" t="s">
        <v>7</v>
      </c>
      <c r="D798" s="12" t="str">
        <f>IFERROR(__xludf.DUMMYFUNCTION("IFS(
  REGEXMATCH(A798&amp;B798, ""(?i)openai|gpt|gemini|anthropic|claude|mistral|cohere|rag|vector|llm|chatbot|ai-powered""), ""AI &amp; LLM"",
  REGEXMATCH(A798&amp;B798, ""(?i)twitter|instagram|facebook|linkedin|youtube|tiktok|threads|bluesky|pinterest|social vid"&amp;"eo|reels?|shorts?""), ""Social Media"",
  REGEXMATCH(A798&amp;B798, ""(?i)hubspot|pipedrive|stripe|shopify|woocommerce|sales|crm|invoice|order|leads?|recruitment|bamboohr|erpnext""), ""CRM &amp; Sales"",
  REGEXMATCH(A798&amp;B798, ""(?i)gmail|outlook|calendar|slack|"&amp;"discord|telegram|whatsapp|notion|trello|drive|sheets?|meeting|scheduler|appointment|mattermost""), ""Productivity &amp; Communication"",
  REGEXMATCH(A798&amp;B798, ""(?i)github|api|webhook|http|mysql|supabase|mongodb|redis|rss|pr|code review|incident|pagerduty|j"&amp;"ira""), ""Development &amp; Utilities"",
  TRUE, ""Others""
)"),"AI &amp; LLM")</f>
        <v>AI &amp; LLM</v>
      </c>
    </row>
    <row r="799" ht="15.75" customHeight="1">
      <c r="A799" s="14" t="s">
        <v>1578</v>
      </c>
      <c r="B799" s="15" t="s">
        <v>1579</v>
      </c>
      <c r="C799" s="16" t="s">
        <v>7</v>
      </c>
      <c r="D799" s="12" t="str">
        <f>IFERROR(__xludf.DUMMYFUNCTION("IFS(
  REGEXMATCH(A799&amp;B799, ""(?i)openai|gpt|gemini|anthropic|claude|mistral|cohere|rag|vector|llm|chatbot|ai-powered""), ""AI &amp; LLM"",
  REGEXMATCH(A799&amp;B799, ""(?i)twitter|instagram|facebook|linkedin|youtube|tiktok|threads|bluesky|pinterest|social vid"&amp;"eo|reels?|shorts?""), ""Social Media"",
  REGEXMATCH(A799&amp;B799, ""(?i)hubspot|pipedrive|stripe|shopify|woocommerce|sales|crm|invoice|order|leads?|recruitment|bamboohr|erpnext""), ""CRM &amp; Sales"",
  REGEXMATCH(A799&amp;B799, ""(?i)gmail|outlook|calendar|slack|"&amp;"discord|telegram|whatsapp|notion|trello|drive|sheets?|meeting|scheduler|appointment|mattermost""), ""Productivity &amp; Communication"",
  REGEXMATCH(A799&amp;B799, ""(?i)github|api|webhook|http|mysql|supabase|mongodb|redis|rss|pr|code review|incident|pagerduty|j"&amp;"ira""), ""Development &amp; Utilities"",
  TRUE, ""Others""
)"),"AI &amp; LLM")</f>
        <v>AI &amp; LLM</v>
      </c>
    </row>
    <row r="800" ht="15.75" customHeight="1">
      <c r="A800" s="14" t="s">
        <v>1580</v>
      </c>
      <c r="B800" s="15" t="s">
        <v>1581</v>
      </c>
      <c r="C800" s="16" t="s">
        <v>7</v>
      </c>
      <c r="D800" s="12" t="str">
        <f>IFERROR(__xludf.DUMMYFUNCTION("IFS(
  REGEXMATCH(A800&amp;B800, ""(?i)openai|gpt|gemini|anthropic|claude|mistral|cohere|rag|vector|llm|chatbot|ai-powered""), ""AI &amp; LLM"",
  REGEXMATCH(A800&amp;B800, ""(?i)twitter|instagram|facebook|linkedin|youtube|tiktok|threads|bluesky|pinterest|social vid"&amp;"eo|reels?|shorts?""), ""Social Media"",
  REGEXMATCH(A800&amp;B800, ""(?i)hubspot|pipedrive|stripe|shopify|woocommerce|sales|crm|invoice|order|leads?|recruitment|bamboohr|erpnext""), ""CRM &amp; Sales"",
  REGEXMATCH(A800&amp;B800, ""(?i)gmail|outlook|calendar|slack|"&amp;"discord|telegram|whatsapp|notion|trello|drive|sheets?|meeting|scheduler|appointment|mattermost""), ""Productivity &amp; Communication"",
  REGEXMATCH(A800&amp;B800, ""(?i)github|api|webhook|http|mysql|supabase|mongodb|redis|rss|pr|code review|incident|pagerduty|j"&amp;"ira""), ""Development &amp; Utilities"",
  TRUE, ""Others""
)"),"Productivity &amp; Communication")</f>
        <v>Productivity &amp; Communication</v>
      </c>
    </row>
    <row r="801" ht="15.75" customHeight="1">
      <c r="A801" s="14" t="s">
        <v>1582</v>
      </c>
      <c r="B801" s="15" t="s">
        <v>1583</v>
      </c>
      <c r="C801" s="16" t="s">
        <v>7</v>
      </c>
      <c r="D801" s="12" t="str">
        <f>IFERROR(__xludf.DUMMYFUNCTION("IFS(
  REGEXMATCH(A801&amp;B801, ""(?i)openai|gpt|gemini|anthropic|claude|mistral|cohere|rag|vector|llm|chatbot|ai-powered""), ""AI &amp; LLM"",
  REGEXMATCH(A801&amp;B801, ""(?i)twitter|instagram|facebook|linkedin|youtube|tiktok|threads|bluesky|pinterest|social vid"&amp;"eo|reels?|shorts?""), ""Social Media"",
  REGEXMATCH(A801&amp;B801, ""(?i)hubspot|pipedrive|stripe|shopify|woocommerce|sales|crm|invoice|order|leads?|recruitment|bamboohr|erpnext""), ""CRM &amp; Sales"",
  REGEXMATCH(A801&amp;B801, ""(?i)gmail|outlook|calendar|slack|"&amp;"discord|telegram|whatsapp|notion|trello|drive|sheets?|meeting|scheduler|appointment|mattermost""), ""Productivity &amp; Communication"",
  REGEXMATCH(A801&amp;B801, ""(?i)github|api|webhook|http|mysql|supabase|mongodb|redis|rss|pr|code review|incident|pagerduty|j"&amp;"ira""), ""Development &amp; Utilities"",
  TRUE, ""Others""
)"),"Productivity &amp; Communication")</f>
        <v>Productivity &amp; Communication</v>
      </c>
    </row>
    <row r="802" ht="15.75" customHeight="1">
      <c r="A802" s="14" t="s">
        <v>1584</v>
      </c>
      <c r="B802" s="15" t="s">
        <v>1585</v>
      </c>
      <c r="C802" s="16" t="s">
        <v>7</v>
      </c>
      <c r="D802" s="12" t="str">
        <f>IFERROR(__xludf.DUMMYFUNCTION("IFS(
  REGEXMATCH(A802&amp;B802, ""(?i)openai|gpt|gemini|anthropic|claude|mistral|cohere|rag|vector|llm|chatbot|ai-powered""), ""AI &amp; LLM"",
  REGEXMATCH(A802&amp;B802, ""(?i)twitter|instagram|facebook|linkedin|youtube|tiktok|threads|bluesky|pinterest|social vid"&amp;"eo|reels?|shorts?""), ""Social Media"",
  REGEXMATCH(A802&amp;B802, ""(?i)hubspot|pipedrive|stripe|shopify|woocommerce|sales|crm|invoice|order|leads?|recruitment|bamboohr|erpnext""), ""CRM &amp; Sales"",
  REGEXMATCH(A802&amp;B802, ""(?i)gmail|outlook|calendar|slack|"&amp;"discord|telegram|whatsapp|notion|trello|drive|sheets?|meeting|scheduler|appointment|mattermost""), ""Productivity &amp; Communication"",
  REGEXMATCH(A802&amp;B802, ""(?i)github|api|webhook|http|mysql|supabase|mongodb|redis|rss|pr|code review|incident|pagerduty|j"&amp;"ira""), ""Development &amp; Utilities"",
  TRUE, ""Others""
)"),"Productivity &amp; Communication")</f>
        <v>Productivity &amp; Communication</v>
      </c>
    </row>
    <row r="803" ht="15.75" customHeight="1">
      <c r="A803" s="14" t="s">
        <v>1586</v>
      </c>
      <c r="B803" s="15" t="s">
        <v>1587</v>
      </c>
      <c r="C803" s="16" t="s">
        <v>7</v>
      </c>
      <c r="D803" s="12" t="str">
        <f>IFERROR(__xludf.DUMMYFUNCTION("IFS(
  REGEXMATCH(A803&amp;B803, ""(?i)openai|gpt|gemini|anthropic|claude|mistral|cohere|rag|vector|llm|chatbot|ai-powered""), ""AI &amp; LLM"",
  REGEXMATCH(A803&amp;B803, ""(?i)twitter|instagram|facebook|linkedin|youtube|tiktok|threads|bluesky|pinterest|social vid"&amp;"eo|reels?|shorts?""), ""Social Media"",
  REGEXMATCH(A803&amp;B803, ""(?i)hubspot|pipedrive|stripe|shopify|woocommerce|sales|crm|invoice|order|leads?|recruitment|bamboohr|erpnext""), ""CRM &amp; Sales"",
  REGEXMATCH(A803&amp;B803, ""(?i)gmail|outlook|calendar|slack|"&amp;"discord|telegram|whatsapp|notion|trello|drive|sheets?|meeting|scheduler|appointment|mattermost""), ""Productivity &amp; Communication"",
  REGEXMATCH(A803&amp;B803, ""(?i)github|api|webhook|http|mysql|supabase|mongodb|redis|rss|pr|code review|incident|pagerduty|j"&amp;"ira""), ""Development &amp; Utilities"",
  TRUE, ""Others""
)"),"AI &amp; LLM")</f>
        <v>AI &amp; LLM</v>
      </c>
    </row>
    <row r="804" ht="15.75" customHeight="1">
      <c r="A804" s="14" t="s">
        <v>1588</v>
      </c>
      <c r="B804" s="15" t="s">
        <v>1589</v>
      </c>
      <c r="C804" s="16" t="s">
        <v>7</v>
      </c>
      <c r="D804" s="12" t="str">
        <f>IFERROR(__xludf.DUMMYFUNCTION("IFS(
  REGEXMATCH(A804&amp;B804, ""(?i)openai|gpt|gemini|anthropic|claude|mistral|cohere|rag|vector|llm|chatbot|ai-powered""), ""AI &amp; LLM"",
  REGEXMATCH(A804&amp;B804, ""(?i)twitter|instagram|facebook|linkedin|youtube|tiktok|threads|bluesky|pinterest|social vid"&amp;"eo|reels?|shorts?""), ""Social Media"",
  REGEXMATCH(A804&amp;B804, ""(?i)hubspot|pipedrive|stripe|shopify|woocommerce|sales|crm|invoice|order|leads?|recruitment|bamboohr|erpnext""), ""CRM &amp; Sales"",
  REGEXMATCH(A804&amp;B804, ""(?i)gmail|outlook|calendar|slack|"&amp;"discord|telegram|whatsapp|notion|trello|drive|sheets?|meeting|scheduler|appointment|mattermost""), ""Productivity &amp; Communication"",
  REGEXMATCH(A804&amp;B804, ""(?i)github|api|webhook|http|mysql|supabase|mongodb|redis|rss|pr|code review|incident|pagerduty|j"&amp;"ira""), ""Development &amp; Utilities"",
  TRUE, ""Others""
)"),"Productivity &amp; Communication")</f>
        <v>Productivity &amp; Communication</v>
      </c>
    </row>
    <row r="805" ht="15.75" customHeight="1">
      <c r="A805" s="14" t="s">
        <v>1590</v>
      </c>
      <c r="B805" s="15" t="s">
        <v>1591</v>
      </c>
      <c r="C805" s="16" t="s">
        <v>7</v>
      </c>
      <c r="D805" s="12" t="str">
        <f>IFERROR(__xludf.DUMMYFUNCTION("IFS(
  REGEXMATCH(A805&amp;B805, ""(?i)openai|gpt|gemini|anthropic|claude|mistral|cohere|rag|vector|llm|chatbot|ai-powered""), ""AI &amp; LLM"",
  REGEXMATCH(A805&amp;B805, ""(?i)twitter|instagram|facebook|linkedin|youtube|tiktok|threads|bluesky|pinterest|social vid"&amp;"eo|reels?|shorts?""), ""Social Media"",
  REGEXMATCH(A805&amp;B805, ""(?i)hubspot|pipedrive|stripe|shopify|woocommerce|sales|crm|invoice|order|leads?|recruitment|bamboohr|erpnext""), ""CRM &amp; Sales"",
  REGEXMATCH(A805&amp;B805, ""(?i)gmail|outlook|calendar|slack|"&amp;"discord|telegram|whatsapp|notion|trello|drive|sheets?|meeting|scheduler|appointment|mattermost""), ""Productivity &amp; Communication"",
  REGEXMATCH(A805&amp;B805, ""(?i)github|api|webhook|http|mysql|supabase|mongodb|redis|rss|pr|code review|incident|pagerduty|j"&amp;"ira""), ""Development &amp; Utilities"",
  TRUE, ""Others""
)"),"Productivity &amp; Communication")</f>
        <v>Productivity &amp; Communication</v>
      </c>
    </row>
    <row r="806" ht="15.75" customHeight="1">
      <c r="A806" s="14" t="s">
        <v>1592</v>
      </c>
      <c r="B806" s="15" t="s">
        <v>1593</v>
      </c>
      <c r="C806" s="16" t="s">
        <v>7</v>
      </c>
      <c r="D806" s="12" t="str">
        <f>IFERROR(__xludf.DUMMYFUNCTION("IFS(
  REGEXMATCH(A806&amp;B806, ""(?i)openai|gpt|gemini|anthropic|claude|mistral|cohere|rag|vector|llm|chatbot|ai-powered""), ""AI &amp; LLM"",
  REGEXMATCH(A806&amp;B806, ""(?i)twitter|instagram|facebook|linkedin|youtube|tiktok|threads|bluesky|pinterest|social vid"&amp;"eo|reels?|shorts?""), ""Social Media"",
  REGEXMATCH(A806&amp;B806, ""(?i)hubspot|pipedrive|stripe|shopify|woocommerce|sales|crm|invoice|order|leads?|recruitment|bamboohr|erpnext""), ""CRM &amp; Sales"",
  REGEXMATCH(A806&amp;B806, ""(?i)gmail|outlook|calendar|slack|"&amp;"discord|telegram|whatsapp|notion|trello|drive|sheets?|meeting|scheduler|appointment|mattermost""), ""Productivity &amp; Communication"",
  REGEXMATCH(A806&amp;B806, ""(?i)github|api|webhook|http|mysql|supabase|mongodb|redis|rss|pr|code review|incident|pagerduty|j"&amp;"ira""), ""Development &amp; Utilities"",
  TRUE, ""Others""
)"),"AI &amp; LLM")</f>
        <v>AI &amp; LLM</v>
      </c>
    </row>
    <row r="807" ht="15.75" customHeight="1">
      <c r="A807" s="14" t="s">
        <v>1594</v>
      </c>
      <c r="B807" s="15" t="s">
        <v>1595</v>
      </c>
      <c r="C807" s="16" t="s">
        <v>7</v>
      </c>
      <c r="D807" s="12" t="str">
        <f>IFERROR(__xludf.DUMMYFUNCTION("IFS(
  REGEXMATCH(A807&amp;B807, ""(?i)openai|gpt|gemini|anthropic|claude|mistral|cohere|rag|vector|llm|chatbot|ai-powered""), ""AI &amp; LLM"",
  REGEXMATCH(A807&amp;B807, ""(?i)twitter|instagram|facebook|linkedin|youtube|tiktok|threads|bluesky|pinterest|social vid"&amp;"eo|reels?|shorts?""), ""Social Media"",
  REGEXMATCH(A807&amp;B807, ""(?i)hubspot|pipedrive|stripe|shopify|woocommerce|sales|crm|invoice|order|leads?|recruitment|bamboohr|erpnext""), ""CRM &amp; Sales"",
  REGEXMATCH(A807&amp;B807, ""(?i)gmail|outlook|calendar|slack|"&amp;"discord|telegram|whatsapp|notion|trello|drive|sheets?|meeting|scheduler|appointment|mattermost""), ""Productivity &amp; Communication"",
  REGEXMATCH(A807&amp;B807, ""(?i)github|api|webhook|http|mysql|supabase|mongodb|redis|rss|pr|code review|incident|pagerduty|j"&amp;"ira""), ""Development &amp; Utilities"",
  TRUE, ""Others""
)"),"AI &amp; LLM")</f>
        <v>AI &amp; LLM</v>
      </c>
    </row>
    <row r="808" ht="15.75" customHeight="1">
      <c r="A808" s="14" t="s">
        <v>1596</v>
      </c>
      <c r="B808" s="15" t="s">
        <v>1597</v>
      </c>
      <c r="C808" s="16" t="s">
        <v>7</v>
      </c>
      <c r="D808" s="12" t="str">
        <f>IFERROR(__xludf.DUMMYFUNCTION("IFS(
  REGEXMATCH(A808&amp;B808, ""(?i)openai|gpt|gemini|anthropic|claude|mistral|cohere|rag|vector|llm|chatbot|ai-powered""), ""AI &amp; LLM"",
  REGEXMATCH(A808&amp;B808, ""(?i)twitter|instagram|facebook|linkedin|youtube|tiktok|threads|bluesky|pinterest|social vid"&amp;"eo|reels?|shorts?""), ""Social Media"",
  REGEXMATCH(A808&amp;B808, ""(?i)hubspot|pipedrive|stripe|shopify|woocommerce|sales|crm|invoice|order|leads?|recruitment|bamboohr|erpnext""), ""CRM &amp; Sales"",
  REGEXMATCH(A808&amp;B808, ""(?i)gmail|outlook|calendar|slack|"&amp;"discord|telegram|whatsapp|notion|trello|drive|sheets?|meeting|scheduler|appointment|mattermost""), ""Productivity &amp; Communication"",
  REGEXMATCH(A808&amp;B808, ""(?i)github|api|webhook|http|mysql|supabase|mongodb|redis|rss|pr|code review|incident|pagerduty|j"&amp;"ira""), ""Development &amp; Utilities"",
  TRUE, ""Others""
)"),"AI &amp; LLM")</f>
        <v>AI &amp; LLM</v>
      </c>
    </row>
    <row r="809" ht="15.75" customHeight="1">
      <c r="A809" s="14" t="s">
        <v>1598</v>
      </c>
      <c r="B809" s="15" t="s">
        <v>1599</v>
      </c>
      <c r="C809" s="16" t="s">
        <v>7</v>
      </c>
      <c r="D809" s="12" t="str">
        <f>IFERROR(__xludf.DUMMYFUNCTION("IFS(
  REGEXMATCH(A809&amp;B809, ""(?i)openai|gpt|gemini|anthropic|claude|mistral|cohere|rag|vector|llm|chatbot|ai-powered""), ""AI &amp; LLM"",
  REGEXMATCH(A809&amp;B809, ""(?i)twitter|instagram|facebook|linkedin|youtube|tiktok|threads|bluesky|pinterest|social vid"&amp;"eo|reels?|shorts?""), ""Social Media"",
  REGEXMATCH(A809&amp;B809, ""(?i)hubspot|pipedrive|stripe|shopify|woocommerce|sales|crm|invoice|order|leads?|recruitment|bamboohr|erpnext""), ""CRM &amp; Sales"",
  REGEXMATCH(A809&amp;B809, ""(?i)gmail|outlook|calendar|slack|"&amp;"discord|telegram|whatsapp|notion|trello|drive|sheets?|meeting|scheduler|appointment|mattermost""), ""Productivity &amp; Communication"",
  REGEXMATCH(A809&amp;B809, ""(?i)github|api|webhook|http|mysql|supabase|mongodb|redis|rss|pr|code review|incident|pagerduty|j"&amp;"ira""), ""Development &amp; Utilities"",
  TRUE, ""Others""
)"),"Productivity &amp; Communication")</f>
        <v>Productivity &amp; Communication</v>
      </c>
    </row>
    <row r="810" ht="15.75" customHeight="1">
      <c r="A810" s="14" t="s">
        <v>1600</v>
      </c>
      <c r="B810" s="15" t="s">
        <v>1601</v>
      </c>
      <c r="C810" s="16" t="s">
        <v>7</v>
      </c>
      <c r="D810" s="12" t="str">
        <f>IFERROR(__xludf.DUMMYFUNCTION("IFS(
  REGEXMATCH(A810&amp;B810, ""(?i)openai|gpt|gemini|anthropic|claude|mistral|cohere|rag|vector|llm|chatbot|ai-powered""), ""AI &amp; LLM"",
  REGEXMATCH(A810&amp;B810, ""(?i)twitter|instagram|facebook|linkedin|youtube|tiktok|threads|bluesky|pinterest|social vid"&amp;"eo|reels?|shorts?""), ""Social Media"",
  REGEXMATCH(A810&amp;B810, ""(?i)hubspot|pipedrive|stripe|shopify|woocommerce|sales|crm|invoice|order|leads?|recruitment|bamboohr|erpnext""), ""CRM &amp; Sales"",
  REGEXMATCH(A810&amp;B810, ""(?i)gmail|outlook|calendar|slack|"&amp;"discord|telegram|whatsapp|notion|trello|drive|sheets?|meeting|scheduler|appointment|mattermost""), ""Productivity &amp; Communication"",
  REGEXMATCH(A810&amp;B810, ""(?i)github|api|webhook|http|mysql|supabase|mongodb|redis|rss|pr|code review|incident|pagerduty|j"&amp;"ira""), ""Development &amp; Utilities"",
  TRUE, ""Others""
)"),"Productivity &amp; Communication")</f>
        <v>Productivity &amp; Communication</v>
      </c>
    </row>
    <row r="811" ht="15.75" customHeight="1">
      <c r="A811" s="14" t="s">
        <v>1602</v>
      </c>
      <c r="B811" s="15" t="s">
        <v>1603</v>
      </c>
      <c r="C811" s="16" t="s">
        <v>7</v>
      </c>
      <c r="D811" s="12" t="str">
        <f>IFERROR(__xludf.DUMMYFUNCTION("IFS(
  REGEXMATCH(A811&amp;B811, ""(?i)openai|gpt|gemini|anthropic|claude|mistral|cohere|rag|vector|llm|chatbot|ai-powered""), ""AI &amp; LLM"",
  REGEXMATCH(A811&amp;B811, ""(?i)twitter|instagram|facebook|linkedin|youtube|tiktok|threads|bluesky|pinterest|social vid"&amp;"eo|reels?|shorts?""), ""Social Media"",
  REGEXMATCH(A811&amp;B811, ""(?i)hubspot|pipedrive|stripe|shopify|woocommerce|sales|crm|invoice|order|leads?|recruitment|bamboohr|erpnext""), ""CRM &amp; Sales"",
  REGEXMATCH(A811&amp;B811, ""(?i)gmail|outlook|calendar|slack|"&amp;"discord|telegram|whatsapp|notion|trello|drive|sheets?|meeting|scheduler|appointment|mattermost""), ""Productivity &amp; Communication"",
  REGEXMATCH(A811&amp;B811, ""(?i)github|api|webhook|http|mysql|supabase|mongodb|redis|rss|pr|code review|incident|pagerduty|j"&amp;"ira""), ""Development &amp; Utilities"",
  TRUE, ""Others""
)"),"AI &amp; LLM")</f>
        <v>AI &amp; LLM</v>
      </c>
    </row>
    <row r="812" ht="15.75" customHeight="1">
      <c r="A812" s="14" t="s">
        <v>1604</v>
      </c>
      <c r="B812" s="15" t="s">
        <v>1605</v>
      </c>
      <c r="C812" s="16" t="s">
        <v>7</v>
      </c>
      <c r="D812" s="12" t="str">
        <f>IFERROR(__xludf.DUMMYFUNCTION("IFS(
  REGEXMATCH(A812&amp;B812, ""(?i)openai|gpt|gemini|anthropic|claude|mistral|cohere|rag|vector|llm|chatbot|ai-powered""), ""AI &amp; LLM"",
  REGEXMATCH(A812&amp;B812, ""(?i)twitter|instagram|facebook|linkedin|youtube|tiktok|threads|bluesky|pinterest|social vid"&amp;"eo|reels?|shorts?""), ""Social Media"",
  REGEXMATCH(A812&amp;B812, ""(?i)hubspot|pipedrive|stripe|shopify|woocommerce|sales|crm|invoice|order|leads?|recruitment|bamboohr|erpnext""), ""CRM &amp; Sales"",
  REGEXMATCH(A812&amp;B812, ""(?i)gmail|outlook|calendar|slack|"&amp;"discord|telegram|whatsapp|notion|trello|drive|sheets?|meeting|scheduler|appointment|mattermost""), ""Productivity &amp; Communication"",
  REGEXMATCH(A812&amp;B812, ""(?i)github|api|webhook|http|mysql|supabase|mongodb|redis|rss|pr|code review|incident|pagerduty|j"&amp;"ira""), ""Development &amp; Utilities"",
  TRUE, ""Others""
)"),"Development &amp; Utilities")</f>
        <v>Development &amp; Utilities</v>
      </c>
    </row>
    <row r="813" ht="15.75" customHeight="1">
      <c r="A813" s="14" t="s">
        <v>1606</v>
      </c>
      <c r="B813" s="15" t="s">
        <v>1607</v>
      </c>
      <c r="C813" s="16" t="s">
        <v>7</v>
      </c>
      <c r="D813" s="12" t="str">
        <f>IFERROR(__xludf.DUMMYFUNCTION("IFS(
  REGEXMATCH(A813&amp;B813, ""(?i)openai|gpt|gemini|anthropic|claude|mistral|cohere|rag|vector|llm|chatbot|ai-powered""), ""AI &amp; LLM"",
  REGEXMATCH(A813&amp;B813, ""(?i)twitter|instagram|facebook|linkedin|youtube|tiktok|threads|bluesky|pinterest|social vid"&amp;"eo|reels?|shorts?""), ""Social Media"",
  REGEXMATCH(A813&amp;B813, ""(?i)hubspot|pipedrive|stripe|shopify|woocommerce|sales|crm|invoice|order|leads?|recruitment|bamboohr|erpnext""), ""CRM &amp; Sales"",
  REGEXMATCH(A813&amp;B813, ""(?i)gmail|outlook|calendar|slack|"&amp;"discord|telegram|whatsapp|notion|trello|drive|sheets?|meeting|scheduler|appointment|mattermost""), ""Productivity &amp; Communication"",
  REGEXMATCH(A813&amp;B813, ""(?i)github|api|webhook|http|mysql|supabase|mongodb|redis|rss|pr|code review|incident|pagerduty|j"&amp;"ira""), ""Development &amp; Utilities"",
  TRUE, ""Others""
)"),"AI &amp; LLM")</f>
        <v>AI &amp; LLM</v>
      </c>
    </row>
    <row r="814" ht="15.75" customHeight="1">
      <c r="A814" s="14" t="s">
        <v>1608</v>
      </c>
      <c r="B814" s="15" t="s">
        <v>1609</v>
      </c>
      <c r="C814" s="16" t="s">
        <v>7</v>
      </c>
      <c r="D814" s="12" t="str">
        <f>IFERROR(__xludf.DUMMYFUNCTION("IFS(
  REGEXMATCH(A814&amp;B814, ""(?i)openai|gpt|gemini|anthropic|claude|mistral|cohere|rag|vector|llm|chatbot|ai-powered""), ""AI &amp; LLM"",
  REGEXMATCH(A814&amp;B814, ""(?i)twitter|instagram|facebook|linkedin|youtube|tiktok|threads|bluesky|pinterest|social vid"&amp;"eo|reels?|shorts?""), ""Social Media"",
  REGEXMATCH(A814&amp;B814, ""(?i)hubspot|pipedrive|stripe|shopify|woocommerce|sales|crm|invoice|order|leads?|recruitment|bamboohr|erpnext""), ""CRM &amp; Sales"",
  REGEXMATCH(A814&amp;B814, ""(?i)gmail|outlook|calendar|slack|"&amp;"discord|telegram|whatsapp|notion|trello|drive|sheets?|meeting|scheduler|appointment|mattermost""), ""Productivity &amp; Communication"",
  REGEXMATCH(A814&amp;B814, ""(?i)github|api|webhook|http|mysql|supabase|mongodb|redis|rss|pr|code review|incident|pagerduty|j"&amp;"ira""), ""Development &amp; Utilities"",
  TRUE, ""Others""
)"),"Development &amp; Utilities")</f>
        <v>Development &amp; Utilities</v>
      </c>
    </row>
    <row r="815" ht="15.75" customHeight="1">
      <c r="A815" s="14" t="s">
        <v>1610</v>
      </c>
      <c r="B815" s="15" t="s">
        <v>1611</v>
      </c>
      <c r="C815" s="16" t="s">
        <v>7</v>
      </c>
      <c r="D815" s="12" t="str">
        <f>IFERROR(__xludf.DUMMYFUNCTION("IFS(
  REGEXMATCH(A815&amp;B815, ""(?i)openai|gpt|gemini|anthropic|claude|mistral|cohere|rag|vector|llm|chatbot|ai-powered""), ""AI &amp; LLM"",
  REGEXMATCH(A815&amp;B815, ""(?i)twitter|instagram|facebook|linkedin|youtube|tiktok|threads|bluesky|pinterest|social vid"&amp;"eo|reels?|shorts?""), ""Social Media"",
  REGEXMATCH(A815&amp;B815, ""(?i)hubspot|pipedrive|stripe|shopify|woocommerce|sales|crm|invoice|order|leads?|recruitment|bamboohr|erpnext""), ""CRM &amp; Sales"",
  REGEXMATCH(A815&amp;B815, ""(?i)gmail|outlook|calendar|slack|"&amp;"discord|telegram|whatsapp|notion|trello|drive|sheets?|meeting|scheduler|appointment|mattermost""), ""Productivity &amp; Communication"",
  REGEXMATCH(A815&amp;B815, ""(?i)github|api|webhook|http|mysql|supabase|mongodb|redis|rss|pr|code review|incident|pagerduty|j"&amp;"ira""), ""Development &amp; Utilities"",
  TRUE, ""Others""
)"),"Productivity &amp; Communication")</f>
        <v>Productivity &amp; Communication</v>
      </c>
    </row>
    <row r="816" ht="15.75" customHeight="1">
      <c r="A816" s="14" t="s">
        <v>1612</v>
      </c>
      <c r="B816" s="15" t="s">
        <v>1613</v>
      </c>
      <c r="C816" s="16" t="s">
        <v>7</v>
      </c>
      <c r="D816" s="12" t="str">
        <f>IFERROR(__xludf.DUMMYFUNCTION("IFS(
  REGEXMATCH(A816&amp;B816, ""(?i)openai|gpt|gemini|anthropic|claude|mistral|cohere|rag|vector|llm|chatbot|ai-powered""), ""AI &amp; LLM"",
  REGEXMATCH(A816&amp;B816, ""(?i)twitter|instagram|facebook|linkedin|youtube|tiktok|threads|bluesky|pinterest|social vid"&amp;"eo|reels?|shorts?""), ""Social Media"",
  REGEXMATCH(A816&amp;B816, ""(?i)hubspot|pipedrive|stripe|shopify|woocommerce|sales|crm|invoice|order|leads?|recruitment|bamboohr|erpnext""), ""CRM &amp; Sales"",
  REGEXMATCH(A816&amp;B816, ""(?i)gmail|outlook|calendar|slack|"&amp;"discord|telegram|whatsapp|notion|trello|drive|sheets?|meeting|scheduler|appointment|mattermost""), ""Productivity &amp; Communication"",
  REGEXMATCH(A816&amp;B816, ""(?i)github|api|webhook|http|mysql|supabase|mongodb|redis|rss|pr|code review|incident|pagerduty|j"&amp;"ira""), ""Development &amp; Utilities"",
  TRUE, ""Others""
)"),"AI &amp; LLM")</f>
        <v>AI &amp; LLM</v>
      </c>
    </row>
    <row r="817" ht="15.75" customHeight="1">
      <c r="A817" s="14" t="s">
        <v>1614</v>
      </c>
      <c r="B817" s="15" t="s">
        <v>1615</v>
      </c>
      <c r="C817" s="16" t="s">
        <v>7</v>
      </c>
      <c r="D817" s="12" t="str">
        <f>IFERROR(__xludf.DUMMYFUNCTION("IFS(
  REGEXMATCH(A817&amp;B817, ""(?i)openai|gpt|gemini|anthropic|claude|mistral|cohere|rag|vector|llm|chatbot|ai-powered""), ""AI &amp; LLM"",
  REGEXMATCH(A817&amp;B817, ""(?i)twitter|instagram|facebook|linkedin|youtube|tiktok|threads|bluesky|pinterest|social vid"&amp;"eo|reels?|shorts?""), ""Social Media"",
  REGEXMATCH(A817&amp;B817, ""(?i)hubspot|pipedrive|stripe|shopify|woocommerce|sales|crm|invoice|order|leads?|recruitment|bamboohr|erpnext""), ""CRM &amp; Sales"",
  REGEXMATCH(A817&amp;B817, ""(?i)gmail|outlook|calendar|slack|"&amp;"discord|telegram|whatsapp|notion|trello|drive|sheets?|meeting|scheduler|appointment|mattermost""), ""Productivity &amp; Communication"",
  REGEXMATCH(A817&amp;B817, ""(?i)github|api|webhook|http|mysql|supabase|mongodb|redis|rss|pr|code review|incident|pagerduty|j"&amp;"ira""), ""Development &amp; Utilities"",
  TRUE, ""Others""
)"),"Development &amp; Utilities")</f>
        <v>Development &amp; Utilities</v>
      </c>
    </row>
    <row r="818" ht="15.75" customHeight="1">
      <c r="A818" s="14" t="s">
        <v>1616</v>
      </c>
      <c r="B818" s="15" t="s">
        <v>1617</v>
      </c>
      <c r="C818" s="16" t="s">
        <v>7</v>
      </c>
      <c r="D818" s="12" t="str">
        <f>IFERROR(__xludf.DUMMYFUNCTION("IFS(
  REGEXMATCH(A818&amp;B818, ""(?i)openai|gpt|gemini|anthropic|claude|mistral|cohere|rag|vector|llm|chatbot|ai-powered""), ""AI &amp; LLM"",
  REGEXMATCH(A818&amp;B818, ""(?i)twitter|instagram|facebook|linkedin|youtube|tiktok|threads|bluesky|pinterest|social vid"&amp;"eo|reels?|shorts?""), ""Social Media"",
  REGEXMATCH(A818&amp;B818, ""(?i)hubspot|pipedrive|stripe|shopify|woocommerce|sales|crm|invoice|order|leads?|recruitment|bamboohr|erpnext""), ""CRM &amp; Sales"",
  REGEXMATCH(A818&amp;B818, ""(?i)gmail|outlook|calendar|slack|"&amp;"discord|telegram|whatsapp|notion|trello|drive|sheets?|meeting|scheduler|appointment|mattermost""), ""Productivity &amp; Communication"",
  REGEXMATCH(A818&amp;B818, ""(?i)github|api|webhook|http|mysql|supabase|mongodb|redis|rss|pr|code review|incident|pagerduty|j"&amp;"ira""), ""Development &amp; Utilities"",
  TRUE, ""Others""
)"),"AI &amp; LLM")</f>
        <v>AI &amp; LLM</v>
      </c>
    </row>
    <row r="819" ht="15.75" customHeight="1">
      <c r="A819" s="14" t="s">
        <v>1618</v>
      </c>
      <c r="B819" s="15" t="s">
        <v>1619</v>
      </c>
      <c r="C819" s="16" t="s">
        <v>7</v>
      </c>
      <c r="D819" s="12" t="str">
        <f>IFERROR(__xludf.DUMMYFUNCTION("IFS(
  REGEXMATCH(A819&amp;B819, ""(?i)openai|gpt|gemini|anthropic|claude|mistral|cohere|rag|vector|llm|chatbot|ai-powered""), ""AI &amp; LLM"",
  REGEXMATCH(A819&amp;B819, ""(?i)twitter|instagram|facebook|linkedin|youtube|tiktok|threads|bluesky|pinterest|social vid"&amp;"eo|reels?|shorts?""), ""Social Media"",
  REGEXMATCH(A819&amp;B819, ""(?i)hubspot|pipedrive|stripe|shopify|woocommerce|sales|crm|invoice|order|leads?|recruitment|bamboohr|erpnext""), ""CRM &amp; Sales"",
  REGEXMATCH(A819&amp;B819, ""(?i)gmail|outlook|calendar|slack|"&amp;"discord|telegram|whatsapp|notion|trello|drive|sheets?|meeting|scheduler|appointment|mattermost""), ""Productivity &amp; Communication"",
  REGEXMATCH(A819&amp;B819, ""(?i)github|api|webhook|http|mysql|supabase|mongodb|redis|rss|pr|code review|incident|pagerduty|j"&amp;"ira""), ""Development &amp; Utilities"",
  TRUE, ""Others""
)"),"Development &amp; Utilities")</f>
        <v>Development &amp; Utilities</v>
      </c>
    </row>
    <row r="820" ht="15.75" customHeight="1">
      <c r="A820" s="14" t="s">
        <v>1620</v>
      </c>
      <c r="B820" s="15" t="s">
        <v>1621</v>
      </c>
      <c r="C820" s="16" t="s">
        <v>7</v>
      </c>
      <c r="D820" s="12" t="str">
        <f>IFERROR(__xludf.DUMMYFUNCTION("IFS(
  REGEXMATCH(A820&amp;B820, ""(?i)openai|gpt|gemini|anthropic|claude|mistral|cohere|rag|vector|llm|chatbot|ai-powered""), ""AI &amp; LLM"",
  REGEXMATCH(A820&amp;B820, ""(?i)twitter|instagram|facebook|linkedin|youtube|tiktok|threads|bluesky|pinterest|social vid"&amp;"eo|reels?|shorts?""), ""Social Media"",
  REGEXMATCH(A820&amp;B820, ""(?i)hubspot|pipedrive|stripe|shopify|woocommerce|sales|crm|invoice|order|leads?|recruitment|bamboohr|erpnext""), ""CRM &amp; Sales"",
  REGEXMATCH(A820&amp;B820, ""(?i)gmail|outlook|calendar|slack|"&amp;"discord|telegram|whatsapp|notion|trello|drive|sheets?|meeting|scheduler|appointment|mattermost""), ""Productivity &amp; Communication"",
  REGEXMATCH(A820&amp;B820, ""(?i)github|api|webhook|http|mysql|supabase|mongodb|redis|rss|pr|code review|incident|pagerduty|j"&amp;"ira""), ""Development &amp; Utilities"",
  TRUE, ""Others""
)"),"AI &amp; LLM")</f>
        <v>AI &amp; LLM</v>
      </c>
    </row>
    <row r="821" ht="15.75" customHeight="1">
      <c r="A821" s="14" t="s">
        <v>1622</v>
      </c>
      <c r="B821" s="15" t="s">
        <v>1623</v>
      </c>
      <c r="C821" s="16" t="s">
        <v>7</v>
      </c>
      <c r="D821" s="12" t="str">
        <f>IFERROR(__xludf.DUMMYFUNCTION("IFS(
  REGEXMATCH(A821&amp;B821, ""(?i)openai|gpt|gemini|anthropic|claude|mistral|cohere|rag|vector|llm|chatbot|ai-powered""), ""AI &amp; LLM"",
  REGEXMATCH(A821&amp;B821, ""(?i)twitter|instagram|facebook|linkedin|youtube|tiktok|threads|bluesky|pinterest|social vid"&amp;"eo|reels?|shorts?""), ""Social Media"",
  REGEXMATCH(A821&amp;B821, ""(?i)hubspot|pipedrive|stripe|shopify|woocommerce|sales|crm|invoice|order|leads?|recruitment|bamboohr|erpnext""), ""CRM &amp; Sales"",
  REGEXMATCH(A821&amp;B821, ""(?i)gmail|outlook|calendar|slack|"&amp;"discord|telegram|whatsapp|notion|trello|drive|sheets?|meeting|scheduler|appointment|mattermost""), ""Productivity &amp; Communication"",
  REGEXMATCH(A821&amp;B821, ""(?i)github|api|webhook|http|mysql|supabase|mongodb|redis|rss|pr|code review|incident|pagerduty|j"&amp;"ira""), ""Development &amp; Utilities"",
  TRUE, ""Others""
)"),"Development &amp; Utilities")</f>
        <v>Development &amp; Utilities</v>
      </c>
    </row>
    <row r="822" ht="15.75" customHeight="1">
      <c r="A822" s="14" t="s">
        <v>1624</v>
      </c>
      <c r="B822" s="15" t="s">
        <v>1625</v>
      </c>
      <c r="C822" s="16" t="s">
        <v>7</v>
      </c>
      <c r="D822" s="12" t="str">
        <f>IFERROR(__xludf.DUMMYFUNCTION("IFS(
  REGEXMATCH(A822&amp;B822, ""(?i)openai|gpt|gemini|anthropic|claude|mistral|cohere|rag|vector|llm|chatbot|ai-powered""), ""AI &amp; LLM"",
  REGEXMATCH(A822&amp;B822, ""(?i)twitter|instagram|facebook|linkedin|youtube|tiktok|threads|bluesky|pinterest|social vid"&amp;"eo|reels?|shorts?""), ""Social Media"",
  REGEXMATCH(A822&amp;B822, ""(?i)hubspot|pipedrive|stripe|shopify|woocommerce|sales|crm|invoice|order|leads?|recruitment|bamboohr|erpnext""), ""CRM &amp; Sales"",
  REGEXMATCH(A822&amp;B822, ""(?i)gmail|outlook|calendar|slack|"&amp;"discord|telegram|whatsapp|notion|trello|drive|sheets?|meeting|scheduler|appointment|mattermost""), ""Productivity &amp; Communication"",
  REGEXMATCH(A822&amp;B822, ""(?i)github|api|webhook|http|mysql|supabase|mongodb|redis|rss|pr|code review|incident|pagerduty|j"&amp;"ira""), ""Development &amp; Utilities"",
  TRUE, ""Others""
)"),"Social Media")</f>
        <v>Social Media</v>
      </c>
    </row>
    <row r="823" ht="15.75" customHeight="1">
      <c r="A823" s="14" t="s">
        <v>1626</v>
      </c>
      <c r="B823" s="15" t="s">
        <v>1627</v>
      </c>
      <c r="C823" s="16" t="s">
        <v>7</v>
      </c>
      <c r="D823" s="12" t="str">
        <f>IFERROR(__xludf.DUMMYFUNCTION("IFS(
  REGEXMATCH(A823&amp;B823, ""(?i)openai|gpt|gemini|anthropic|claude|mistral|cohere|rag|vector|llm|chatbot|ai-powered""), ""AI &amp; LLM"",
  REGEXMATCH(A823&amp;B823, ""(?i)twitter|instagram|facebook|linkedin|youtube|tiktok|threads|bluesky|pinterest|social vid"&amp;"eo|reels?|shorts?""), ""Social Media"",
  REGEXMATCH(A823&amp;B823, ""(?i)hubspot|pipedrive|stripe|shopify|woocommerce|sales|crm|invoice|order|leads?|recruitment|bamboohr|erpnext""), ""CRM &amp; Sales"",
  REGEXMATCH(A823&amp;B823, ""(?i)gmail|outlook|calendar|slack|"&amp;"discord|telegram|whatsapp|notion|trello|drive|sheets?|meeting|scheduler|appointment|mattermost""), ""Productivity &amp; Communication"",
  REGEXMATCH(A823&amp;B823, ""(?i)github|api|webhook|http|mysql|supabase|mongodb|redis|rss|pr|code review|incident|pagerduty|j"&amp;"ira""), ""Development &amp; Utilities"",
  TRUE, ""Others""
)"),"Productivity &amp; Communication")</f>
        <v>Productivity &amp; Communication</v>
      </c>
    </row>
    <row r="824" ht="15.75" customHeight="1">
      <c r="A824" s="14" t="s">
        <v>1628</v>
      </c>
      <c r="B824" s="15" t="s">
        <v>1629</v>
      </c>
      <c r="C824" s="16" t="s">
        <v>7</v>
      </c>
      <c r="D824" s="12" t="str">
        <f>IFERROR(__xludf.DUMMYFUNCTION("IFS(
  REGEXMATCH(A824&amp;B824, ""(?i)openai|gpt|gemini|anthropic|claude|mistral|cohere|rag|vector|llm|chatbot|ai-powered""), ""AI &amp; LLM"",
  REGEXMATCH(A824&amp;B824, ""(?i)twitter|instagram|facebook|linkedin|youtube|tiktok|threads|bluesky|pinterest|social vid"&amp;"eo|reels?|shorts?""), ""Social Media"",
  REGEXMATCH(A824&amp;B824, ""(?i)hubspot|pipedrive|stripe|shopify|woocommerce|sales|crm|invoice|order|leads?|recruitment|bamboohr|erpnext""), ""CRM &amp; Sales"",
  REGEXMATCH(A824&amp;B824, ""(?i)gmail|outlook|calendar|slack|"&amp;"discord|telegram|whatsapp|notion|trello|drive|sheets?|meeting|scheduler|appointment|mattermost""), ""Productivity &amp; Communication"",
  REGEXMATCH(A824&amp;B824, ""(?i)github|api|webhook|http|mysql|supabase|mongodb|redis|rss|pr|code review|incident|pagerduty|j"&amp;"ira""), ""Development &amp; Utilities"",
  TRUE, ""Others""
)"),"Development &amp; Utilities")</f>
        <v>Development &amp; Utilities</v>
      </c>
    </row>
    <row r="825" ht="15.75" customHeight="1">
      <c r="A825" s="14" t="s">
        <v>1630</v>
      </c>
      <c r="B825" s="15" t="s">
        <v>1631</v>
      </c>
      <c r="C825" s="16" t="s">
        <v>7</v>
      </c>
      <c r="D825" s="12" t="str">
        <f>IFERROR(__xludf.DUMMYFUNCTION("IFS(
  REGEXMATCH(A825&amp;B825, ""(?i)openai|gpt|gemini|anthropic|claude|mistral|cohere|rag|vector|llm|chatbot|ai-powered""), ""AI &amp; LLM"",
  REGEXMATCH(A825&amp;B825, ""(?i)twitter|instagram|facebook|linkedin|youtube|tiktok|threads|bluesky|pinterest|social vid"&amp;"eo|reels?|shorts?""), ""Social Media"",
  REGEXMATCH(A825&amp;B825, ""(?i)hubspot|pipedrive|stripe|shopify|woocommerce|sales|crm|invoice|order|leads?|recruitment|bamboohr|erpnext""), ""CRM &amp; Sales"",
  REGEXMATCH(A825&amp;B825, ""(?i)gmail|outlook|calendar|slack|"&amp;"discord|telegram|whatsapp|notion|trello|drive|sheets?|meeting|scheduler|appointment|mattermost""), ""Productivity &amp; Communication"",
  REGEXMATCH(A825&amp;B825, ""(?i)github|api|webhook|http|mysql|supabase|mongodb|redis|rss|pr|code review|incident|pagerduty|j"&amp;"ira""), ""Development &amp; Utilities"",
  TRUE, ""Others""
)"),"Productivity &amp; Communication")</f>
        <v>Productivity &amp; Communication</v>
      </c>
    </row>
    <row r="826" ht="15.75" customHeight="1">
      <c r="A826" s="14" t="s">
        <v>1632</v>
      </c>
      <c r="B826" s="15" t="s">
        <v>1633</v>
      </c>
      <c r="C826" s="16" t="s">
        <v>7</v>
      </c>
      <c r="D826" s="12" t="str">
        <f>IFERROR(__xludf.DUMMYFUNCTION("IFS(
  REGEXMATCH(A826&amp;B826, ""(?i)openai|gpt|gemini|anthropic|claude|mistral|cohere|rag|vector|llm|chatbot|ai-powered""), ""AI &amp; LLM"",
  REGEXMATCH(A826&amp;B826, ""(?i)twitter|instagram|facebook|linkedin|youtube|tiktok|threads|bluesky|pinterest|social vid"&amp;"eo|reels?|shorts?""), ""Social Media"",
  REGEXMATCH(A826&amp;B826, ""(?i)hubspot|pipedrive|stripe|shopify|woocommerce|sales|crm|invoice|order|leads?|recruitment|bamboohr|erpnext""), ""CRM &amp; Sales"",
  REGEXMATCH(A826&amp;B826, ""(?i)gmail|outlook|calendar|slack|"&amp;"discord|telegram|whatsapp|notion|trello|drive|sheets?|meeting|scheduler|appointment|mattermost""), ""Productivity &amp; Communication"",
  REGEXMATCH(A826&amp;B826, ""(?i)github|api|webhook|http|mysql|supabase|mongodb|redis|rss|pr|code review|incident|pagerduty|j"&amp;"ira""), ""Development &amp; Utilities"",
  TRUE, ""Others""
)"),"Productivity &amp; Communication")</f>
        <v>Productivity &amp; Communication</v>
      </c>
    </row>
    <row r="827" ht="15.75" customHeight="1">
      <c r="A827" s="14" t="s">
        <v>1634</v>
      </c>
      <c r="B827" s="15" t="s">
        <v>1635</v>
      </c>
      <c r="C827" s="16" t="s">
        <v>7</v>
      </c>
      <c r="D827" s="12" t="str">
        <f>IFERROR(__xludf.DUMMYFUNCTION("IFS(
  REGEXMATCH(A827&amp;B827, ""(?i)openai|gpt|gemini|anthropic|claude|mistral|cohere|rag|vector|llm|chatbot|ai-powered""), ""AI &amp; LLM"",
  REGEXMATCH(A827&amp;B827, ""(?i)twitter|instagram|facebook|linkedin|youtube|tiktok|threads|bluesky|pinterest|social vid"&amp;"eo|reels?|shorts?""), ""Social Media"",
  REGEXMATCH(A827&amp;B827, ""(?i)hubspot|pipedrive|stripe|shopify|woocommerce|sales|crm|invoice|order|leads?|recruitment|bamboohr|erpnext""), ""CRM &amp; Sales"",
  REGEXMATCH(A827&amp;B827, ""(?i)gmail|outlook|calendar|slack|"&amp;"discord|telegram|whatsapp|notion|trello|drive|sheets?|meeting|scheduler|appointment|mattermost""), ""Productivity &amp; Communication"",
  REGEXMATCH(A827&amp;B827, ""(?i)github|api|webhook|http|mysql|supabase|mongodb|redis|rss|pr|code review|incident|pagerduty|j"&amp;"ira""), ""Development &amp; Utilities"",
  TRUE, ""Others""
)"),"Development &amp; Utilities")</f>
        <v>Development &amp; Utilities</v>
      </c>
    </row>
    <row r="828" ht="15.75" customHeight="1">
      <c r="A828" s="14" t="s">
        <v>1636</v>
      </c>
      <c r="B828" s="15" t="s">
        <v>1637</v>
      </c>
      <c r="C828" s="16" t="s">
        <v>7</v>
      </c>
      <c r="D828" s="12" t="str">
        <f>IFERROR(__xludf.DUMMYFUNCTION("IFS(
  REGEXMATCH(A828&amp;B828, ""(?i)openai|gpt|gemini|anthropic|claude|mistral|cohere|rag|vector|llm|chatbot|ai-powered""), ""AI &amp; LLM"",
  REGEXMATCH(A828&amp;B828, ""(?i)twitter|instagram|facebook|linkedin|youtube|tiktok|threads|bluesky|pinterest|social vid"&amp;"eo|reels?|shorts?""), ""Social Media"",
  REGEXMATCH(A828&amp;B828, ""(?i)hubspot|pipedrive|stripe|shopify|woocommerce|sales|crm|invoice|order|leads?|recruitment|bamboohr|erpnext""), ""CRM &amp; Sales"",
  REGEXMATCH(A828&amp;B828, ""(?i)gmail|outlook|calendar|slack|"&amp;"discord|telegram|whatsapp|notion|trello|drive|sheets?|meeting|scheduler|appointment|mattermost""), ""Productivity &amp; Communication"",
  REGEXMATCH(A828&amp;B828, ""(?i)github|api|webhook|http|mysql|supabase|mongodb|redis|rss|pr|code review|incident|pagerduty|j"&amp;"ira""), ""Development &amp; Utilities"",
  TRUE, ""Others""
)"),"Development &amp; Utilities")</f>
        <v>Development &amp; Utilities</v>
      </c>
    </row>
    <row r="829" ht="15.75" customHeight="1">
      <c r="A829" s="14" t="s">
        <v>1638</v>
      </c>
      <c r="B829" s="15" t="s">
        <v>1639</v>
      </c>
      <c r="C829" s="16" t="s">
        <v>7</v>
      </c>
      <c r="D829" s="12" t="str">
        <f>IFERROR(__xludf.DUMMYFUNCTION("IFS(
  REGEXMATCH(A829&amp;B829, ""(?i)openai|gpt|gemini|anthropic|claude|mistral|cohere|rag|vector|llm|chatbot|ai-powered""), ""AI &amp; LLM"",
  REGEXMATCH(A829&amp;B829, ""(?i)twitter|instagram|facebook|linkedin|youtube|tiktok|threads|bluesky|pinterest|social vid"&amp;"eo|reels?|shorts?""), ""Social Media"",
  REGEXMATCH(A829&amp;B829, ""(?i)hubspot|pipedrive|stripe|shopify|woocommerce|sales|crm|invoice|order|leads?|recruitment|bamboohr|erpnext""), ""CRM &amp; Sales"",
  REGEXMATCH(A829&amp;B829, ""(?i)gmail|outlook|calendar|slack|"&amp;"discord|telegram|whatsapp|notion|trello|drive|sheets?|meeting|scheduler|appointment|mattermost""), ""Productivity &amp; Communication"",
  REGEXMATCH(A829&amp;B829, ""(?i)github|api|webhook|http|mysql|supabase|mongodb|redis|rss|pr|code review|incident|pagerduty|j"&amp;"ira""), ""Development &amp; Utilities"",
  TRUE, ""Others""
)"),"Productivity &amp; Communication")</f>
        <v>Productivity &amp; Communication</v>
      </c>
    </row>
    <row r="830" ht="15.75" customHeight="1">
      <c r="A830" s="14" t="s">
        <v>1640</v>
      </c>
      <c r="B830" s="15" t="s">
        <v>1641</v>
      </c>
      <c r="C830" s="16" t="s">
        <v>7</v>
      </c>
      <c r="D830" s="12" t="str">
        <f>IFERROR(__xludf.DUMMYFUNCTION("IFS(
  REGEXMATCH(A830&amp;B830, ""(?i)openai|gpt|gemini|anthropic|claude|mistral|cohere|rag|vector|llm|chatbot|ai-powered""), ""AI &amp; LLM"",
  REGEXMATCH(A830&amp;B830, ""(?i)twitter|instagram|facebook|linkedin|youtube|tiktok|threads|bluesky|pinterest|social vid"&amp;"eo|reels?|shorts?""), ""Social Media"",
  REGEXMATCH(A830&amp;B830, ""(?i)hubspot|pipedrive|stripe|shopify|woocommerce|sales|crm|invoice|order|leads?|recruitment|bamboohr|erpnext""), ""CRM &amp; Sales"",
  REGEXMATCH(A830&amp;B830, ""(?i)gmail|outlook|calendar|slack|"&amp;"discord|telegram|whatsapp|notion|trello|drive|sheets?|meeting|scheduler|appointment|mattermost""), ""Productivity &amp; Communication"",
  REGEXMATCH(A830&amp;B830, ""(?i)github|api|webhook|http|mysql|supabase|mongodb|redis|rss|pr|code review|incident|pagerduty|j"&amp;"ira""), ""Development &amp; Utilities"",
  TRUE, ""Others""
)"),"Productivity &amp; Communication")</f>
        <v>Productivity &amp; Communication</v>
      </c>
    </row>
    <row r="831" ht="15.75" customHeight="1">
      <c r="A831" s="14" t="s">
        <v>1642</v>
      </c>
      <c r="B831" s="15" t="s">
        <v>1643</v>
      </c>
      <c r="C831" s="16" t="s">
        <v>7</v>
      </c>
      <c r="D831" s="12" t="str">
        <f>IFERROR(__xludf.DUMMYFUNCTION("IFS(
  REGEXMATCH(A831&amp;B831, ""(?i)openai|gpt|gemini|anthropic|claude|mistral|cohere|rag|vector|llm|chatbot|ai-powered""), ""AI &amp; LLM"",
  REGEXMATCH(A831&amp;B831, ""(?i)twitter|instagram|facebook|linkedin|youtube|tiktok|threads|bluesky|pinterest|social vid"&amp;"eo|reels?|shorts?""), ""Social Media"",
  REGEXMATCH(A831&amp;B831, ""(?i)hubspot|pipedrive|stripe|shopify|woocommerce|sales|crm|invoice|order|leads?|recruitment|bamboohr|erpnext""), ""CRM &amp; Sales"",
  REGEXMATCH(A831&amp;B831, ""(?i)gmail|outlook|calendar|slack|"&amp;"discord|telegram|whatsapp|notion|trello|drive|sheets?|meeting|scheduler|appointment|mattermost""), ""Productivity &amp; Communication"",
  REGEXMATCH(A831&amp;B831, ""(?i)github|api|webhook|http|mysql|supabase|mongodb|redis|rss|pr|code review|incident|pagerduty|j"&amp;"ira""), ""Development &amp; Utilities"",
  TRUE, ""Others""
)"),"AI &amp; LLM")</f>
        <v>AI &amp; LLM</v>
      </c>
    </row>
    <row r="832" ht="15.75" customHeight="1">
      <c r="A832" s="14" t="s">
        <v>1644</v>
      </c>
      <c r="B832" s="15" t="s">
        <v>1645</v>
      </c>
      <c r="C832" s="16" t="s">
        <v>7</v>
      </c>
      <c r="D832" s="12" t="str">
        <f>IFERROR(__xludf.DUMMYFUNCTION("IFS(
  REGEXMATCH(A832&amp;B832, ""(?i)openai|gpt|gemini|anthropic|claude|mistral|cohere|rag|vector|llm|chatbot|ai-powered""), ""AI &amp; LLM"",
  REGEXMATCH(A832&amp;B832, ""(?i)twitter|instagram|facebook|linkedin|youtube|tiktok|threads|bluesky|pinterest|social vid"&amp;"eo|reels?|shorts?""), ""Social Media"",
  REGEXMATCH(A832&amp;B832, ""(?i)hubspot|pipedrive|stripe|shopify|woocommerce|sales|crm|invoice|order|leads?|recruitment|bamboohr|erpnext""), ""CRM &amp; Sales"",
  REGEXMATCH(A832&amp;B832, ""(?i)gmail|outlook|calendar|slack|"&amp;"discord|telegram|whatsapp|notion|trello|drive|sheets?|meeting|scheduler|appointment|mattermost""), ""Productivity &amp; Communication"",
  REGEXMATCH(A832&amp;B832, ""(?i)github|api|webhook|http|mysql|supabase|mongodb|redis|rss|pr|code review|incident|pagerduty|j"&amp;"ira""), ""Development &amp; Utilities"",
  TRUE, ""Others""
)"),"Development &amp; Utilities")</f>
        <v>Development &amp; Utilities</v>
      </c>
    </row>
    <row r="833" ht="15.75" customHeight="1">
      <c r="A833" s="14" t="s">
        <v>1646</v>
      </c>
      <c r="B833" s="15" t="s">
        <v>1647</v>
      </c>
      <c r="C833" s="16" t="s">
        <v>7</v>
      </c>
      <c r="D833" s="12" t="str">
        <f>IFERROR(__xludf.DUMMYFUNCTION("IFS(
  REGEXMATCH(A833&amp;B833, ""(?i)openai|gpt|gemini|anthropic|claude|mistral|cohere|rag|vector|llm|chatbot|ai-powered""), ""AI &amp; LLM"",
  REGEXMATCH(A833&amp;B833, ""(?i)twitter|instagram|facebook|linkedin|youtube|tiktok|threads|bluesky|pinterest|social vid"&amp;"eo|reels?|shorts?""), ""Social Media"",
  REGEXMATCH(A833&amp;B833, ""(?i)hubspot|pipedrive|stripe|shopify|woocommerce|sales|crm|invoice|order|leads?|recruitment|bamboohr|erpnext""), ""CRM &amp; Sales"",
  REGEXMATCH(A833&amp;B833, ""(?i)gmail|outlook|calendar|slack|"&amp;"discord|telegram|whatsapp|notion|trello|drive|sheets?|meeting|scheduler|appointment|mattermost""), ""Productivity &amp; Communication"",
  REGEXMATCH(A833&amp;B833, ""(?i)github|api|webhook|http|mysql|supabase|mongodb|redis|rss|pr|code review|incident|pagerduty|j"&amp;"ira""), ""Development &amp; Utilities"",
  TRUE, ""Others""
)"),"AI &amp; LLM")</f>
        <v>AI &amp; LLM</v>
      </c>
    </row>
    <row r="834" ht="15.75" customHeight="1">
      <c r="A834" s="14" t="s">
        <v>1648</v>
      </c>
      <c r="B834" s="15" t="s">
        <v>1649</v>
      </c>
      <c r="C834" s="16" t="s">
        <v>7</v>
      </c>
      <c r="D834" s="12" t="str">
        <f>IFERROR(__xludf.DUMMYFUNCTION("IFS(
  REGEXMATCH(A834&amp;B834, ""(?i)openai|gpt|gemini|anthropic|claude|mistral|cohere|rag|vector|llm|chatbot|ai-powered""), ""AI &amp; LLM"",
  REGEXMATCH(A834&amp;B834, ""(?i)twitter|instagram|facebook|linkedin|youtube|tiktok|threads|bluesky|pinterest|social vid"&amp;"eo|reels?|shorts?""), ""Social Media"",
  REGEXMATCH(A834&amp;B834, ""(?i)hubspot|pipedrive|stripe|shopify|woocommerce|sales|crm|invoice|order|leads?|recruitment|bamboohr|erpnext""), ""CRM &amp; Sales"",
  REGEXMATCH(A834&amp;B834, ""(?i)gmail|outlook|calendar|slack|"&amp;"discord|telegram|whatsapp|notion|trello|drive|sheets?|meeting|scheduler|appointment|mattermost""), ""Productivity &amp; Communication"",
  REGEXMATCH(A834&amp;B834, ""(?i)github|api|webhook|http|mysql|supabase|mongodb|redis|rss|pr|code review|incident|pagerduty|j"&amp;"ira""), ""Development &amp; Utilities"",
  TRUE, ""Others""
)"),"CRM &amp; Sales")</f>
        <v>CRM &amp; Sales</v>
      </c>
    </row>
    <row r="835" ht="15.75" customHeight="1">
      <c r="A835" s="14" t="s">
        <v>1650</v>
      </c>
      <c r="B835" s="15" t="s">
        <v>1651</v>
      </c>
      <c r="C835" s="16" t="s">
        <v>7</v>
      </c>
      <c r="D835" s="12" t="str">
        <f>IFERROR(__xludf.DUMMYFUNCTION("IFS(
  REGEXMATCH(A835&amp;B835, ""(?i)openai|gpt|gemini|anthropic|claude|mistral|cohere|rag|vector|llm|chatbot|ai-powered""), ""AI &amp; LLM"",
  REGEXMATCH(A835&amp;B835, ""(?i)twitter|instagram|facebook|linkedin|youtube|tiktok|threads|bluesky|pinterest|social vid"&amp;"eo|reels?|shorts?""), ""Social Media"",
  REGEXMATCH(A835&amp;B835, ""(?i)hubspot|pipedrive|stripe|shopify|woocommerce|sales|crm|invoice|order|leads?|recruitment|bamboohr|erpnext""), ""CRM &amp; Sales"",
  REGEXMATCH(A835&amp;B835, ""(?i)gmail|outlook|calendar|slack|"&amp;"discord|telegram|whatsapp|notion|trello|drive|sheets?|meeting|scheduler|appointment|mattermost""), ""Productivity &amp; Communication"",
  REGEXMATCH(A835&amp;B835, ""(?i)github|api|webhook|http|mysql|supabase|mongodb|redis|rss|pr|code review|incident|pagerduty|j"&amp;"ira""), ""Development &amp; Utilities"",
  TRUE, ""Others""
)"),"CRM &amp; Sales")</f>
        <v>CRM &amp; Sales</v>
      </c>
    </row>
    <row r="836" ht="15.75" customHeight="1">
      <c r="A836" s="14" t="s">
        <v>1652</v>
      </c>
      <c r="B836" s="15" t="s">
        <v>1653</v>
      </c>
      <c r="C836" s="16" t="s">
        <v>7</v>
      </c>
      <c r="D836" s="12" t="str">
        <f>IFERROR(__xludf.DUMMYFUNCTION("IFS(
  REGEXMATCH(A836&amp;B836, ""(?i)openai|gpt|gemini|anthropic|claude|mistral|cohere|rag|vector|llm|chatbot|ai-powered""), ""AI &amp; LLM"",
  REGEXMATCH(A836&amp;B836, ""(?i)twitter|instagram|facebook|linkedin|youtube|tiktok|threads|bluesky|pinterest|social vid"&amp;"eo|reels?|shorts?""), ""Social Media"",
  REGEXMATCH(A836&amp;B836, ""(?i)hubspot|pipedrive|stripe|shopify|woocommerce|sales|crm|invoice|order|leads?|recruitment|bamboohr|erpnext""), ""CRM &amp; Sales"",
  REGEXMATCH(A836&amp;B836, ""(?i)gmail|outlook|calendar|slack|"&amp;"discord|telegram|whatsapp|notion|trello|drive|sheets?|meeting|scheduler|appointment|mattermost""), ""Productivity &amp; Communication"",
  REGEXMATCH(A836&amp;B836, ""(?i)github|api|webhook|http|mysql|supabase|mongodb|redis|rss|pr|code review|incident|pagerduty|j"&amp;"ira""), ""Development &amp; Utilities"",
  TRUE, ""Others""
)"),"CRM &amp; Sales")</f>
        <v>CRM &amp; Sales</v>
      </c>
    </row>
    <row r="837" ht="15.75" customHeight="1">
      <c r="A837" s="14" t="s">
        <v>1654</v>
      </c>
      <c r="B837" s="15" t="s">
        <v>1655</v>
      </c>
      <c r="C837" s="16" t="s">
        <v>7</v>
      </c>
      <c r="D837" s="12" t="str">
        <f>IFERROR(__xludf.DUMMYFUNCTION("IFS(
  REGEXMATCH(A837&amp;B837, ""(?i)openai|gpt|gemini|anthropic|claude|mistral|cohere|rag|vector|llm|chatbot|ai-powered""), ""AI &amp; LLM"",
  REGEXMATCH(A837&amp;B837, ""(?i)twitter|instagram|facebook|linkedin|youtube|tiktok|threads|bluesky|pinterest|social vid"&amp;"eo|reels?|shorts?""), ""Social Media"",
  REGEXMATCH(A837&amp;B837, ""(?i)hubspot|pipedrive|stripe|shopify|woocommerce|sales|crm|invoice|order|leads?|recruitment|bamboohr|erpnext""), ""CRM &amp; Sales"",
  REGEXMATCH(A837&amp;B837, ""(?i)gmail|outlook|calendar|slack|"&amp;"discord|telegram|whatsapp|notion|trello|drive|sheets?|meeting|scheduler|appointment|mattermost""), ""Productivity &amp; Communication"",
  REGEXMATCH(A837&amp;B837, ""(?i)github|api|webhook|http|mysql|supabase|mongodb|redis|rss|pr|code review|incident|pagerduty|j"&amp;"ira""), ""Development &amp; Utilities"",
  TRUE, ""Others""
)"),"Productivity &amp; Communication")</f>
        <v>Productivity &amp; Communication</v>
      </c>
    </row>
    <row r="838" ht="15.75" customHeight="1">
      <c r="A838" s="14" t="s">
        <v>1656</v>
      </c>
      <c r="B838" s="15" t="s">
        <v>1657</v>
      </c>
      <c r="C838" s="16" t="s">
        <v>7</v>
      </c>
      <c r="D838" s="12" t="str">
        <f>IFERROR(__xludf.DUMMYFUNCTION("IFS(
  REGEXMATCH(A838&amp;B838, ""(?i)openai|gpt|gemini|anthropic|claude|mistral|cohere|rag|vector|llm|chatbot|ai-powered""), ""AI &amp; LLM"",
  REGEXMATCH(A838&amp;B838, ""(?i)twitter|instagram|facebook|linkedin|youtube|tiktok|threads|bluesky|pinterest|social vid"&amp;"eo|reels?|shorts?""), ""Social Media"",
  REGEXMATCH(A838&amp;B838, ""(?i)hubspot|pipedrive|stripe|shopify|woocommerce|sales|crm|invoice|order|leads?|recruitment|bamboohr|erpnext""), ""CRM &amp; Sales"",
  REGEXMATCH(A838&amp;B838, ""(?i)gmail|outlook|calendar|slack|"&amp;"discord|telegram|whatsapp|notion|trello|drive|sheets?|meeting|scheduler|appointment|mattermost""), ""Productivity &amp; Communication"",
  REGEXMATCH(A838&amp;B838, ""(?i)github|api|webhook|http|mysql|supabase|mongodb|redis|rss|pr|code review|incident|pagerduty|j"&amp;"ira""), ""Development &amp; Utilities"",
  TRUE, ""Others""
)"),"AI &amp; LLM")</f>
        <v>AI &amp; LLM</v>
      </c>
    </row>
    <row r="839" ht="15.75" customHeight="1">
      <c r="A839" s="14" t="s">
        <v>1658</v>
      </c>
      <c r="B839" s="15" t="s">
        <v>1659</v>
      </c>
      <c r="C839" s="16" t="s">
        <v>7</v>
      </c>
      <c r="D839" s="12" t="str">
        <f>IFERROR(__xludf.DUMMYFUNCTION("IFS(
  REGEXMATCH(A839&amp;B839, ""(?i)openai|gpt|gemini|anthropic|claude|mistral|cohere|rag|vector|llm|chatbot|ai-powered""), ""AI &amp; LLM"",
  REGEXMATCH(A839&amp;B839, ""(?i)twitter|instagram|facebook|linkedin|youtube|tiktok|threads|bluesky|pinterest|social vid"&amp;"eo|reels?|shorts?""), ""Social Media"",
  REGEXMATCH(A839&amp;B839, ""(?i)hubspot|pipedrive|stripe|shopify|woocommerce|sales|crm|invoice|order|leads?|recruitment|bamboohr|erpnext""), ""CRM &amp; Sales"",
  REGEXMATCH(A839&amp;B839, ""(?i)gmail|outlook|calendar|slack|"&amp;"discord|telegram|whatsapp|notion|trello|drive|sheets?|meeting|scheduler|appointment|mattermost""), ""Productivity &amp; Communication"",
  REGEXMATCH(A839&amp;B839, ""(?i)github|api|webhook|http|mysql|supabase|mongodb|redis|rss|pr|code review|incident|pagerduty|j"&amp;"ira""), ""Development &amp; Utilities"",
  TRUE, ""Others""
)"),"Productivity &amp; Communication")</f>
        <v>Productivity &amp; Communication</v>
      </c>
    </row>
    <row r="840" ht="15.75" customHeight="1">
      <c r="A840" s="14" t="s">
        <v>1660</v>
      </c>
      <c r="B840" s="15" t="s">
        <v>1661</v>
      </c>
      <c r="C840" s="16" t="s">
        <v>7</v>
      </c>
      <c r="D840" s="12" t="str">
        <f>IFERROR(__xludf.DUMMYFUNCTION("IFS(
  REGEXMATCH(A840&amp;B840, ""(?i)openai|gpt|gemini|anthropic|claude|mistral|cohere|rag|vector|llm|chatbot|ai-powered""), ""AI &amp; LLM"",
  REGEXMATCH(A840&amp;B840, ""(?i)twitter|instagram|facebook|linkedin|youtube|tiktok|threads|bluesky|pinterest|social vid"&amp;"eo|reels?|shorts?""), ""Social Media"",
  REGEXMATCH(A840&amp;B840, ""(?i)hubspot|pipedrive|stripe|shopify|woocommerce|sales|crm|invoice|order|leads?|recruitment|bamboohr|erpnext""), ""CRM &amp; Sales"",
  REGEXMATCH(A840&amp;B840, ""(?i)gmail|outlook|calendar|slack|"&amp;"discord|telegram|whatsapp|notion|trello|drive|sheets?|meeting|scheduler|appointment|mattermost""), ""Productivity &amp; Communication"",
  REGEXMATCH(A840&amp;B840, ""(?i)github|api|webhook|http|mysql|supabase|mongodb|redis|rss|pr|code review|incident|pagerduty|j"&amp;"ira""), ""Development &amp; Utilities"",
  TRUE, ""Others""
)"),"Development &amp; Utilities")</f>
        <v>Development &amp; Utilities</v>
      </c>
    </row>
    <row r="841" ht="15.75" customHeight="1">
      <c r="A841" s="14" t="s">
        <v>1662</v>
      </c>
      <c r="B841" s="15" t="s">
        <v>1663</v>
      </c>
      <c r="C841" s="16" t="s">
        <v>7</v>
      </c>
      <c r="D841" s="12" t="str">
        <f>IFERROR(__xludf.DUMMYFUNCTION("IFS(
  REGEXMATCH(A841&amp;B841, ""(?i)openai|gpt|gemini|anthropic|claude|mistral|cohere|rag|vector|llm|chatbot|ai-powered""), ""AI &amp; LLM"",
  REGEXMATCH(A841&amp;B841, ""(?i)twitter|instagram|facebook|linkedin|youtube|tiktok|threads|bluesky|pinterest|social vid"&amp;"eo|reels?|shorts?""), ""Social Media"",
  REGEXMATCH(A841&amp;B841, ""(?i)hubspot|pipedrive|stripe|shopify|woocommerce|sales|crm|invoice|order|leads?|recruitment|bamboohr|erpnext""), ""CRM &amp; Sales"",
  REGEXMATCH(A841&amp;B841, ""(?i)gmail|outlook|calendar|slack|"&amp;"discord|telegram|whatsapp|notion|trello|drive|sheets?|meeting|scheduler|appointment|mattermost""), ""Productivity &amp; Communication"",
  REGEXMATCH(A841&amp;B841, ""(?i)github|api|webhook|http|mysql|supabase|mongodb|redis|rss|pr|code review|incident|pagerduty|j"&amp;"ira""), ""Development &amp; Utilities"",
  TRUE, ""Others""
)"),"Productivity &amp; Communication")</f>
        <v>Productivity &amp; Communication</v>
      </c>
    </row>
    <row r="842" ht="15.75" customHeight="1">
      <c r="A842" s="14" t="s">
        <v>1664</v>
      </c>
      <c r="B842" s="15" t="s">
        <v>1665</v>
      </c>
      <c r="C842" s="16" t="s">
        <v>7</v>
      </c>
      <c r="D842" s="12" t="str">
        <f>IFERROR(__xludf.DUMMYFUNCTION("IFS(
  REGEXMATCH(A842&amp;B842, ""(?i)openai|gpt|gemini|anthropic|claude|mistral|cohere|rag|vector|llm|chatbot|ai-powered""), ""AI &amp; LLM"",
  REGEXMATCH(A842&amp;B842, ""(?i)twitter|instagram|facebook|linkedin|youtube|tiktok|threads|bluesky|pinterest|social vid"&amp;"eo|reels?|shorts?""), ""Social Media"",
  REGEXMATCH(A842&amp;B842, ""(?i)hubspot|pipedrive|stripe|shopify|woocommerce|sales|crm|invoice|order|leads?|recruitment|bamboohr|erpnext""), ""CRM &amp; Sales"",
  REGEXMATCH(A842&amp;B842, ""(?i)gmail|outlook|calendar|slack|"&amp;"discord|telegram|whatsapp|notion|trello|drive|sheets?|meeting|scheduler|appointment|mattermost""), ""Productivity &amp; Communication"",
  REGEXMATCH(A842&amp;B842, ""(?i)github|api|webhook|http|mysql|supabase|mongodb|redis|rss|pr|code review|incident|pagerduty|j"&amp;"ira""), ""Development &amp; Utilities"",
  TRUE, ""Others""
)"),"Social Media")</f>
        <v>Social Media</v>
      </c>
    </row>
    <row r="843" ht="15.75" customHeight="1">
      <c r="A843" s="14" t="s">
        <v>1666</v>
      </c>
      <c r="B843" s="15" t="s">
        <v>1667</v>
      </c>
      <c r="C843" s="16" t="s">
        <v>7</v>
      </c>
      <c r="D843" s="12" t="str">
        <f>IFERROR(__xludf.DUMMYFUNCTION("IFS(
  REGEXMATCH(A843&amp;B843, ""(?i)openai|gpt|gemini|anthropic|claude|mistral|cohere|rag|vector|llm|chatbot|ai-powered""), ""AI &amp; LLM"",
  REGEXMATCH(A843&amp;B843, ""(?i)twitter|instagram|facebook|linkedin|youtube|tiktok|threads|bluesky|pinterest|social vid"&amp;"eo|reels?|shorts?""), ""Social Media"",
  REGEXMATCH(A843&amp;B843, ""(?i)hubspot|pipedrive|stripe|shopify|woocommerce|sales|crm|invoice|order|leads?|recruitment|bamboohr|erpnext""), ""CRM &amp; Sales"",
  REGEXMATCH(A843&amp;B843, ""(?i)gmail|outlook|calendar|slack|"&amp;"discord|telegram|whatsapp|notion|trello|drive|sheets?|meeting|scheduler|appointment|mattermost""), ""Productivity &amp; Communication"",
  REGEXMATCH(A843&amp;B843, ""(?i)github|api|webhook|http|mysql|supabase|mongodb|redis|rss|pr|code review|incident|pagerduty|j"&amp;"ira""), ""Development &amp; Utilities"",
  TRUE, ""Others""
)"),"Productivity &amp; Communication")</f>
        <v>Productivity &amp; Communication</v>
      </c>
    </row>
    <row r="844" ht="15.75" customHeight="1">
      <c r="A844" s="14" t="s">
        <v>1668</v>
      </c>
      <c r="B844" s="15" t="s">
        <v>1669</v>
      </c>
      <c r="C844" s="16" t="s">
        <v>7</v>
      </c>
      <c r="D844" s="12" t="str">
        <f>IFERROR(__xludf.DUMMYFUNCTION("IFS(
  REGEXMATCH(A844&amp;B844, ""(?i)openai|gpt|gemini|anthropic|claude|mistral|cohere|rag|vector|llm|chatbot|ai-powered""), ""AI &amp; LLM"",
  REGEXMATCH(A844&amp;B844, ""(?i)twitter|instagram|facebook|linkedin|youtube|tiktok|threads|bluesky|pinterest|social vid"&amp;"eo|reels?|shorts?""), ""Social Media"",
  REGEXMATCH(A844&amp;B844, ""(?i)hubspot|pipedrive|stripe|shopify|woocommerce|sales|crm|invoice|order|leads?|recruitment|bamboohr|erpnext""), ""CRM &amp; Sales"",
  REGEXMATCH(A844&amp;B844, ""(?i)gmail|outlook|calendar|slack|"&amp;"discord|telegram|whatsapp|notion|trello|drive|sheets?|meeting|scheduler|appointment|mattermost""), ""Productivity &amp; Communication"",
  REGEXMATCH(A844&amp;B844, ""(?i)github|api|webhook|http|mysql|supabase|mongodb|redis|rss|pr|code review|incident|pagerduty|j"&amp;"ira""), ""Development &amp; Utilities"",
  TRUE, ""Others""
)"),"AI &amp; LLM")</f>
        <v>AI &amp; LLM</v>
      </c>
    </row>
    <row r="845" ht="15.75" customHeight="1">
      <c r="A845" s="14" t="s">
        <v>1670</v>
      </c>
      <c r="B845" s="15" t="s">
        <v>1671</v>
      </c>
      <c r="C845" s="16" t="s">
        <v>7</v>
      </c>
      <c r="D845" s="12" t="str">
        <f>IFERROR(__xludf.DUMMYFUNCTION("IFS(
  REGEXMATCH(A845&amp;B845, ""(?i)openai|gpt|gemini|anthropic|claude|mistral|cohere|rag|vector|llm|chatbot|ai-powered""), ""AI &amp; LLM"",
  REGEXMATCH(A845&amp;B845, ""(?i)twitter|instagram|facebook|linkedin|youtube|tiktok|threads|bluesky|pinterest|social vid"&amp;"eo|reels?|shorts?""), ""Social Media"",
  REGEXMATCH(A845&amp;B845, ""(?i)hubspot|pipedrive|stripe|shopify|woocommerce|sales|crm|invoice|order|leads?|recruitment|bamboohr|erpnext""), ""CRM &amp; Sales"",
  REGEXMATCH(A845&amp;B845, ""(?i)gmail|outlook|calendar|slack|"&amp;"discord|telegram|whatsapp|notion|trello|drive|sheets?|meeting|scheduler|appointment|mattermost""), ""Productivity &amp; Communication"",
  REGEXMATCH(A845&amp;B845, ""(?i)github|api|webhook|http|mysql|supabase|mongodb|redis|rss|pr|code review|incident|pagerduty|j"&amp;"ira""), ""Development &amp; Utilities"",
  TRUE, ""Others""
)"),"AI &amp; LLM")</f>
        <v>AI &amp; LLM</v>
      </c>
    </row>
    <row r="846" ht="15.75" customHeight="1">
      <c r="A846" s="14" t="s">
        <v>1672</v>
      </c>
      <c r="B846" s="15" t="s">
        <v>1673</v>
      </c>
      <c r="C846" s="16" t="s">
        <v>7</v>
      </c>
      <c r="D846" s="12" t="str">
        <f>IFERROR(__xludf.DUMMYFUNCTION("IFS(
  REGEXMATCH(A846&amp;B846, ""(?i)openai|gpt|gemini|anthropic|claude|mistral|cohere|rag|vector|llm|chatbot|ai-powered""), ""AI &amp; LLM"",
  REGEXMATCH(A846&amp;B846, ""(?i)twitter|instagram|facebook|linkedin|youtube|tiktok|threads|bluesky|pinterest|social vid"&amp;"eo|reels?|shorts?""), ""Social Media"",
  REGEXMATCH(A846&amp;B846, ""(?i)hubspot|pipedrive|stripe|shopify|woocommerce|sales|crm|invoice|order|leads?|recruitment|bamboohr|erpnext""), ""CRM &amp; Sales"",
  REGEXMATCH(A846&amp;B846, ""(?i)gmail|outlook|calendar|slack|"&amp;"discord|telegram|whatsapp|notion|trello|drive|sheets?|meeting|scheduler|appointment|mattermost""), ""Productivity &amp; Communication"",
  REGEXMATCH(A846&amp;B846, ""(?i)github|api|webhook|http|mysql|supabase|mongodb|redis|rss|pr|code review|incident|pagerduty|j"&amp;"ira""), ""Development &amp; Utilities"",
  TRUE, ""Others""
)"),"Productivity &amp; Communication")</f>
        <v>Productivity &amp; Communication</v>
      </c>
    </row>
    <row r="847" ht="15.75" customHeight="1">
      <c r="A847" s="14" t="s">
        <v>1674</v>
      </c>
      <c r="B847" s="15" t="s">
        <v>1675</v>
      </c>
      <c r="C847" s="16" t="s">
        <v>7</v>
      </c>
      <c r="D847" s="12" t="str">
        <f>IFERROR(__xludf.DUMMYFUNCTION("IFS(
  REGEXMATCH(A847&amp;B847, ""(?i)openai|gpt|gemini|anthropic|claude|mistral|cohere|rag|vector|llm|chatbot|ai-powered""), ""AI &amp; LLM"",
  REGEXMATCH(A847&amp;B847, ""(?i)twitter|instagram|facebook|linkedin|youtube|tiktok|threads|bluesky|pinterest|social vid"&amp;"eo|reels?|shorts?""), ""Social Media"",
  REGEXMATCH(A847&amp;B847, ""(?i)hubspot|pipedrive|stripe|shopify|woocommerce|sales|crm|invoice|order|leads?|recruitment|bamboohr|erpnext""), ""CRM &amp; Sales"",
  REGEXMATCH(A847&amp;B847, ""(?i)gmail|outlook|calendar|slack|"&amp;"discord|telegram|whatsapp|notion|trello|drive|sheets?|meeting|scheduler|appointment|mattermost""), ""Productivity &amp; Communication"",
  REGEXMATCH(A847&amp;B847, ""(?i)github|api|webhook|http|mysql|supabase|mongodb|redis|rss|pr|code review|incident|pagerduty|j"&amp;"ira""), ""Development &amp; Utilities"",
  TRUE, ""Others""
)"),"AI &amp; LLM")</f>
        <v>AI &amp; LLM</v>
      </c>
    </row>
    <row r="848" ht="15.75" customHeight="1">
      <c r="A848" s="14" t="s">
        <v>1676</v>
      </c>
      <c r="B848" s="15" t="s">
        <v>1677</v>
      </c>
      <c r="C848" s="16" t="s">
        <v>7</v>
      </c>
      <c r="D848" s="12" t="str">
        <f>IFERROR(__xludf.DUMMYFUNCTION("IFS(
  REGEXMATCH(A848&amp;B848, ""(?i)openai|gpt|gemini|anthropic|claude|mistral|cohere|rag|vector|llm|chatbot|ai-powered""), ""AI &amp; LLM"",
  REGEXMATCH(A848&amp;B848, ""(?i)twitter|instagram|facebook|linkedin|youtube|tiktok|threads|bluesky|pinterest|social vid"&amp;"eo|reels?|shorts?""), ""Social Media"",
  REGEXMATCH(A848&amp;B848, ""(?i)hubspot|pipedrive|stripe|shopify|woocommerce|sales|crm|invoice|order|leads?|recruitment|bamboohr|erpnext""), ""CRM &amp; Sales"",
  REGEXMATCH(A848&amp;B848, ""(?i)gmail|outlook|calendar|slack|"&amp;"discord|telegram|whatsapp|notion|trello|drive|sheets?|meeting|scheduler|appointment|mattermost""), ""Productivity &amp; Communication"",
  REGEXMATCH(A848&amp;B848, ""(?i)github|api|webhook|http|mysql|supabase|mongodb|redis|rss|pr|code review|incident|pagerduty|j"&amp;"ira""), ""Development &amp; Utilities"",
  TRUE, ""Others""
)"),"CRM &amp; Sales")</f>
        <v>CRM &amp; Sales</v>
      </c>
    </row>
    <row r="849" ht="15.75" customHeight="1">
      <c r="A849" s="14" t="s">
        <v>1678</v>
      </c>
      <c r="B849" s="15" t="s">
        <v>1679</v>
      </c>
      <c r="C849" s="16" t="s">
        <v>7</v>
      </c>
      <c r="D849" s="12" t="str">
        <f>IFERROR(__xludf.DUMMYFUNCTION("IFS(
  REGEXMATCH(A849&amp;B849, ""(?i)openai|gpt|gemini|anthropic|claude|mistral|cohere|rag|vector|llm|chatbot|ai-powered""), ""AI &amp; LLM"",
  REGEXMATCH(A849&amp;B849, ""(?i)twitter|instagram|facebook|linkedin|youtube|tiktok|threads|bluesky|pinterest|social vid"&amp;"eo|reels?|shorts?""), ""Social Media"",
  REGEXMATCH(A849&amp;B849, ""(?i)hubspot|pipedrive|stripe|shopify|woocommerce|sales|crm|invoice|order|leads?|recruitment|bamboohr|erpnext""), ""CRM &amp; Sales"",
  REGEXMATCH(A849&amp;B849, ""(?i)gmail|outlook|calendar|slack|"&amp;"discord|telegram|whatsapp|notion|trello|drive|sheets?|meeting|scheduler|appointment|mattermost""), ""Productivity &amp; Communication"",
  REGEXMATCH(A849&amp;B849, ""(?i)github|api|webhook|http|mysql|supabase|mongodb|redis|rss|pr|code review|incident|pagerduty|j"&amp;"ira""), ""Development &amp; Utilities"",
  TRUE, ""Others""
)"),"Development &amp; Utilities")</f>
        <v>Development &amp; Utilities</v>
      </c>
    </row>
    <row r="850" ht="15.75" customHeight="1">
      <c r="A850" s="14" t="s">
        <v>1680</v>
      </c>
      <c r="B850" s="15" t="s">
        <v>1681</v>
      </c>
      <c r="C850" s="16" t="s">
        <v>7</v>
      </c>
      <c r="D850" s="12" t="str">
        <f>IFERROR(__xludf.DUMMYFUNCTION("IFS(
  REGEXMATCH(A850&amp;B850, ""(?i)openai|gpt|gemini|anthropic|claude|mistral|cohere|rag|vector|llm|chatbot|ai-powered""), ""AI &amp; LLM"",
  REGEXMATCH(A850&amp;B850, ""(?i)twitter|instagram|facebook|linkedin|youtube|tiktok|threads|bluesky|pinterest|social vid"&amp;"eo|reels?|shorts?""), ""Social Media"",
  REGEXMATCH(A850&amp;B850, ""(?i)hubspot|pipedrive|stripe|shopify|woocommerce|sales|crm|invoice|order|leads?|recruitment|bamboohr|erpnext""), ""CRM &amp; Sales"",
  REGEXMATCH(A850&amp;B850, ""(?i)gmail|outlook|calendar|slack|"&amp;"discord|telegram|whatsapp|notion|trello|drive|sheets?|meeting|scheduler|appointment|mattermost""), ""Productivity &amp; Communication"",
  REGEXMATCH(A850&amp;B850, ""(?i)github|api|webhook|http|mysql|supabase|mongodb|redis|rss|pr|code review|incident|pagerduty|j"&amp;"ira""), ""Development &amp; Utilities"",
  TRUE, ""Others""
)"),"Development &amp; Utilities")</f>
        <v>Development &amp; Utilities</v>
      </c>
    </row>
    <row r="851" ht="15.75" customHeight="1">
      <c r="A851" s="14" t="s">
        <v>1682</v>
      </c>
      <c r="B851" s="15" t="s">
        <v>1683</v>
      </c>
      <c r="C851" s="16" t="s">
        <v>7</v>
      </c>
      <c r="D851" s="12" t="str">
        <f>IFERROR(__xludf.DUMMYFUNCTION("IFS(
  REGEXMATCH(A851&amp;B851, ""(?i)openai|gpt|gemini|anthropic|claude|mistral|cohere|rag|vector|llm|chatbot|ai-powered""), ""AI &amp; LLM"",
  REGEXMATCH(A851&amp;B851, ""(?i)twitter|instagram|facebook|linkedin|youtube|tiktok|threads|bluesky|pinterest|social vid"&amp;"eo|reels?|shorts?""), ""Social Media"",
  REGEXMATCH(A851&amp;B851, ""(?i)hubspot|pipedrive|stripe|shopify|woocommerce|sales|crm|invoice|order|leads?|recruitment|bamboohr|erpnext""), ""CRM &amp; Sales"",
  REGEXMATCH(A851&amp;B851, ""(?i)gmail|outlook|calendar|slack|"&amp;"discord|telegram|whatsapp|notion|trello|drive|sheets?|meeting|scheduler|appointment|mattermost""), ""Productivity &amp; Communication"",
  REGEXMATCH(A851&amp;B851, ""(?i)github|api|webhook|http|mysql|supabase|mongodb|redis|rss|pr|code review|incident|pagerduty|j"&amp;"ira""), ""Development &amp; Utilities"",
  TRUE, ""Others""
)"),"Development &amp; Utilities")</f>
        <v>Development &amp; Utilities</v>
      </c>
    </row>
    <row r="852" ht="15.75" customHeight="1">
      <c r="A852" s="14" t="s">
        <v>1684</v>
      </c>
      <c r="B852" s="15" t="s">
        <v>1685</v>
      </c>
      <c r="C852" s="16" t="s">
        <v>7</v>
      </c>
      <c r="D852" s="12" t="str">
        <f>IFERROR(__xludf.DUMMYFUNCTION("IFS(
  REGEXMATCH(A852&amp;B852, ""(?i)openai|gpt|gemini|anthropic|claude|mistral|cohere|rag|vector|llm|chatbot|ai-powered""), ""AI &amp; LLM"",
  REGEXMATCH(A852&amp;B852, ""(?i)twitter|instagram|facebook|linkedin|youtube|tiktok|threads|bluesky|pinterest|social vid"&amp;"eo|reels?|shorts?""), ""Social Media"",
  REGEXMATCH(A852&amp;B852, ""(?i)hubspot|pipedrive|stripe|shopify|woocommerce|sales|crm|invoice|order|leads?|recruitment|bamboohr|erpnext""), ""CRM &amp; Sales"",
  REGEXMATCH(A852&amp;B852, ""(?i)gmail|outlook|calendar|slack|"&amp;"discord|telegram|whatsapp|notion|trello|drive|sheets?|meeting|scheduler|appointment|mattermost""), ""Productivity &amp; Communication"",
  REGEXMATCH(A852&amp;B852, ""(?i)github|api|webhook|http|mysql|supabase|mongodb|redis|rss|pr|code review|incident|pagerduty|j"&amp;"ira""), ""Development &amp; Utilities"",
  TRUE, ""Others""
)"),"Productivity &amp; Communication")</f>
        <v>Productivity &amp; Communication</v>
      </c>
    </row>
    <row r="853" ht="15.75" customHeight="1">
      <c r="A853" s="14" t="s">
        <v>1686</v>
      </c>
      <c r="B853" s="15" t="s">
        <v>1687</v>
      </c>
      <c r="C853" s="16" t="s">
        <v>7</v>
      </c>
      <c r="D853" s="12" t="str">
        <f>IFERROR(__xludf.DUMMYFUNCTION("IFS(
  REGEXMATCH(A853&amp;B853, ""(?i)openai|gpt|gemini|anthropic|claude|mistral|cohere|rag|vector|llm|chatbot|ai-powered""), ""AI &amp; LLM"",
  REGEXMATCH(A853&amp;B853, ""(?i)twitter|instagram|facebook|linkedin|youtube|tiktok|threads|bluesky|pinterest|social vid"&amp;"eo|reels?|shorts?""), ""Social Media"",
  REGEXMATCH(A853&amp;B853, ""(?i)hubspot|pipedrive|stripe|shopify|woocommerce|sales|crm|invoice|order|leads?|recruitment|bamboohr|erpnext""), ""CRM &amp; Sales"",
  REGEXMATCH(A853&amp;B853, ""(?i)gmail|outlook|calendar|slack|"&amp;"discord|telegram|whatsapp|notion|trello|drive|sheets?|meeting|scheduler|appointment|mattermost""), ""Productivity &amp; Communication"",
  REGEXMATCH(A853&amp;B853, ""(?i)github|api|webhook|http|mysql|supabase|mongodb|redis|rss|pr|code review|incident|pagerduty|j"&amp;"ira""), ""Development &amp; Utilities"",
  TRUE, ""Others""
)"),"Productivity &amp; Communication")</f>
        <v>Productivity &amp; Communication</v>
      </c>
    </row>
    <row r="854" ht="15.75" customHeight="1">
      <c r="A854" s="14" t="s">
        <v>1688</v>
      </c>
      <c r="B854" s="15" t="s">
        <v>1689</v>
      </c>
      <c r="C854" s="16" t="s">
        <v>7</v>
      </c>
      <c r="D854" s="12" t="str">
        <f>IFERROR(__xludf.DUMMYFUNCTION("IFS(
  REGEXMATCH(A854&amp;B854, ""(?i)openai|gpt|gemini|anthropic|claude|mistral|cohere|rag|vector|llm|chatbot|ai-powered""), ""AI &amp; LLM"",
  REGEXMATCH(A854&amp;B854, ""(?i)twitter|instagram|facebook|linkedin|youtube|tiktok|threads|bluesky|pinterest|social vid"&amp;"eo|reels?|shorts?""), ""Social Media"",
  REGEXMATCH(A854&amp;B854, ""(?i)hubspot|pipedrive|stripe|shopify|woocommerce|sales|crm|invoice|order|leads?|recruitment|bamboohr|erpnext""), ""CRM &amp; Sales"",
  REGEXMATCH(A854&amp;B854, ""(?i)gmail|outlook|calendar|slack|"&amp;"discord|telegram|whatsapp|notion|trello|drive|sheets?|meeting|scheduler|appointment|mattermost""), ""Productivity &amp; Communication"",
  REGEXMATCH(A854&amp;B854, ""(?i)github|api|webhook|http|mysql|supabase|mongodb|redis|rss|pr|code review|incident|pagerduty|j"&amp;"ira""), ""Development &amp; Utilities"",
  TRUE, ""Others""
)"),"AI &amp; LLM")</f>
        <v>AI &amp; LLM</v>
      </c>
    </row>
    <row r="855" ht="15.75" customHeight="1">
      <c r="A855" s="14" t="s">
        <v>1690</v>
      </c>
      <c r="B855" s="15" t="s">
        <v>1691</v>
      </c>
      <c r="C855" s="16" t="s">
        <v>7</v>
      </c>
      <c r="D855" s="12" t="str">
        <f>IFERROR(__xludf.DUMMYFUNCTION("IFS(
  REGEXMATCH(A855&amp;B855, ""(?i)openai|gpt|gemini|anthropic|claude|mistral|cohere|rag|vector|llm|chatbot|ai-powered""), ""AI &amp; LLM"",
  REGEXMATCH(A855&amp;B855, ""(?i)twitter|instagram|facebook|linkedin|youtube|tiktok|threads|bluesky|pinterest|social vid"&amp;"eo|reels?|shorts?""), ""Social Media"",
  REGEXMATCH(A855&amp;B855, ""(?i)hubspot|pipedrive|stripe|shopify|woocommerce|sales|crm|invoice|order|leads?|recruitment|bamboohr|erpnext""), ""CRM &amp; Sales"",
  REGEXMATCH(A855&amp;B855, ""(?i)gmail|outlook|calendar|slack|"&amp;"discord|telegram|whatsapp|notion|trello|drive|sheets?|meeting|scheduler|appointment|mattermost""), ""Productivity &amp; Communication"",
  REGEXMATCH(A855&amp;B855, ""(?i)github|api|webhook|http|mysql|supabase|mongodb|redis|rss|pr|code review|incident|pagerduty|j"&amp;"ira""), ""Development &amp; Utilities"",
  TRUE, ""Others""
)"),"Productivity &amp; Communication")</f>
        <v>Productivity &amp; Communication</v>
      </c>
    </row>
    <row r="856" ht="15.75" customHeight="1">
      <c r="A856" s="14" t="s">
        <v>1692</v>
      </c>
      <c r="B856" s="15" t="s">
        <v>1693</v>
      </c>
      <c r="C856" s="16" t="s">
        <v>7</v>
      </c>
      <c r="D856" s="12" t="str">
        <f>IFERROR(__xludf.DUMMYFUNCTION("IFS(
  REGEXMATCH(A856&amp;B856, ""(?i)openai|gpt|gemini|anthropic|claude|mistral|cohere|rag|vector|llm|chatbot|ai-powered""), ""AI &amp; LLM"",
  REGEXMATCH(A856&amp;B856, ""(?i)twitter|instagram|facebook|linkedin|youtube|tiktok|threads|bluesky|pinterest|social vid"&amp;"eo|reels?|shorts?""), ""Social Media"",
  REGEXMATCH(A856&amp;B856, ""(?i)hubspot|pipedrive|stripe|shopify|woocommerce|sales|crm|invoice|order|leads?|recruitment|bamboohr|erpnext""), ""CRM &amp; Sales"",
  REGEXMATCH(A856&amp;B856, ""(?i)gmail|outlook|calendar|slack|"&amp;"discord|telegram|whatsapp|notion|trello|drive|sheets?|meeting|scheduler|appointment|mattermost""), ""Productivity &amp; Communication"",
  REGEXMATCH(A856&amp;B856, ""(?i)github|api|webhook|http|mysql|supabase|mongodb|redis|rss|pr|code review|incident|pagerduty|j"&amp;"ira""), ""Development &amp; Utilities"",
  TRUE, ""Others""
)"),"Productivity &amp; Communication")</f>
        <v>Productivity &amp; Communication</v>
      </c>
    </row>
    <row r="857" ht="15.75" customHeight="1">
      <c r="A857" s="14" t="s">
        <v>1694</v>
      </c>
      <c r="B857" s="15" t="s">
        <v>1695</v>
      </c>
      <c r="C857" s="16" t="s">
        <v>7</v>
      </c>
      <c r="D857" s="12" t="str">
        <f>IFERROR(__xludf.DUMMYFUNCTION("IFS(
  REGEXMATCH(A857&amp;B857, ""(?i)openai|gpt|gemini|anthropic|claude|mistral|cohere|rag|vector|llm|chatbot|ai-powered""), ""AI &amp; LLM"",
  REGEXMATCH(A857&amp;B857, ""(?i)twitter|instagram|facebook|linkedin|youtube|tiktok|threads|bluesky|pinterest|social vid"&amp;"eo|reels?|shorts?""), ""Social Media"",
  REGEXMATCH(A857&amp;B857, ""(?i)hubspot|pipedrive|stripe|shopify|woocommerce|sales|crm|invoice|order|leads?|recruitment|bamboohr|erpnext""), ""CRM &amp; Sales"",
  REGEXMATCH(A857&amp;B857, ""(?i)gmail|outlook|calendar|slack|"&amp;"discord|telegram|whatsapp|notion|trello|drive|sheets?|meeting|scheduler|appointment|mattermost""), ""Productivity &amp; Communication"",
  REGEXMATCH(A857&amp;B857, ""(?i)github|api|webhook|http|mysql|supabase|mongodb|redis|rss|pr|code review|incident|pagerduty|j"&amp;"ira""), ""Development &amp; Utilities"",
  TRUE, ""Others""
)"),"Development &amp; Utilities")</f>
        <v>Development &amp; Utilities</v>
      </c>
    </row>
    <row r="858" ht="15.75" customHeight="1">
      <c r="A858" s="14" t="s">
        <v>1696</v>
      </c>
      <c r="B858" s="15" t="s">
        <v>1697</v>
      </c>
      <c r="C858" s="16" t="s">
        <v>7</v>
      </c>
      <c r="D858" s="12" t="str">
        <f>IFERROR(__xludf.DUMMYFUNCTION("IFS(
  REGEXMATCH(A858&amp;B858, ""(?i)openai|gpt|gemini|anthropic|claude|mistral|cohere|rag|vector|llm|chatbot|ai-powered""), ""AI &amp; LLM"",
  REGEXMATCH(A858&amp;B858, ""(?i)twitter|instagram|facebook|linkedin|youtube|tiktok|threads|bluesky|pinterest|social vid"&amp;"eo|reels?|shorts?""), ""Social Media"",
  REGEXMATCH(A858&amp;B858, ""(?i)hubspot|pipedrive|stripe|shopify|woocommerce|sales|crm|invoice|order|leads?|recruitment|bamboohr|erpnext""), ""CRM &amp; Sales"",
  REGEXMATCH(A858&amp;B858, ""(?i)gmail|outlook|calendar|slack|"&amp;"discord|telegram|whatsapp|notion|trello|drive|sheets?|meeting|scheduler|appointment|mattermost""), ""Productivity &amp; Communication"",
  REGEXMATCH(A858&amp;B858, ""(?i)github|api|webhook|http|mysql|supabase|mongodb|redis|rss|pr|code review|incident|pagerduty|j"&amp;"ira""), ""Development &amp; Utilities"",
  TRUE, ""Others""
)"),"Development &amp; Utilities")</f>
        <v>Development &amp; Utilities</v>
      </c>
    </row>
    <row r="859" ht="15.75" customHeight="1">
      <c r="A859" s="14" t="s">
        <v>1698</v>
      </c>
      <c r="B859" s="15" t="s">
        <v>1699</v>
      </c>
      <c r="C859" s="16" t="s">
        <v>7</v>
      </c>
      <c r="D859" s="12" t="str">
        <f>IFERROR(__xludf.DUMMYFUNCTION("IFS(
  REGEXMATCH(A859&amp;B859, ""(?i)openai|gpt|gemini|anthropic|claude|mistral|cohere|rag|vector|llm|chatbot|ai-powered""), ""AI &amp; LLM"",
  REGEXMATCH(A859&amp;B859, ""(?i)twitter|instagram|facebook|linkedin|youtube|tiktok|threads|bluesky|pinterest|social vid"&amp;"eo|reels?|shorts?""), ""Social Media"",
  REGEXMATCH(A859&amp;B859, ""(?i)hubspot|pipedrive|stripe|shopify|woocommerce|sales|crm|invoice|order|leads?|recruitment|bamboohr|erpnext""), ""CRM &amp; Sales"",
  REGEXMATCH(A859&amp;B859, ""(?i)gmail|outlook|calendar|slack|"&amp;"discord|telegram|whatsapp|notion|trello|drive|sheets?|meeting|scheduler|appointment|mattermost""), ""Productivity &amp; Communication"",
  REGEXMATCH(A859&amp;B859, ""(?i)github|api|webhook|http|mysql|supabase|mongodb|redis|rss|pr|code review|incident|pagerduty|j"&amp;"ira""), ""Development &amp; Utilities"",
  TRUE, ""Others""
)"),"CRM &amp; Sales")</f>
        <v>CRM &amp; Sales</v>
      </c>
    </row>
    <row r="860" ht="15.75" customHeight="1">
      <c r="A860" s="14" t="s">
        <v>1700</v>
      </c>
      <c r="B860" s="15" t="s">
        <v>1701</v>
      </c>
      <c r="C860" s="16" t="s">
        <v>7</v>
      </c>
      <c r="D860" s="12" t="str">
        <f>IFERROR(__xludf.DUMMYFUNCTION("IFS(
  REGEXMATCH(A860&amp;B860, ""(?i)openai|gpt|gemini|anthropic|claude|mistral|cohere|rag|vector|llm|chatbot|ai-powered""), ""AI &amp; LLM"",
  REGEXMATCH(A860&amp;B860, ""(?i)twitter|instagram|facebook|linkedin|youtube|tiktok|threads|bluesky|pinterest|social vid"&amp;"eo|reels?|shorts?""), ""Social Media"",
  REGEXMATCH(A860&amp;B860, ""(?i)hubspot|pipedrive|stripe|shopify|woocommerce|sales|crm|invoice|order|leads?|recruitment|bamboohr|erpnext""), ""CRM &amp; Sales"",
  REGEXMATCH(A860&amp;B860, ""(?i)gmail|outlook|calendar|slack|"&amp;"discord|telegram|whatsapp|notion|trello|drive|sheets?|meeting|scheduler|appointment|mattermost""), ""Productivity &amp; Communication"",
  REGEXMATCH(A860&amp;B860, ""(?i)github|api|webhook|http|mysql|supabase|mongodb|redis|rss|pr|code review|incident|pagerduty|j"&amp;"ira""), ""Development &amp; Utilities"",
  TRUE, ""Others""
)"),"Others")</f>
        <v>Others</v>
      </c>
    </row>
    <row r="861" ht="15.75" customHeight="1">
      <c r="A861" s="14" t="s">
        <v>1702</v>
      </c>
      <c r="B861" s="15" t="s">
        <v>1703</v>
      </c>
      <c r="C861" s="16" t="s">
        <v>7</v>
      </c>
      <c r="D861" s="12" t="str">
        <f>IFERROR(__xludf.DUMMYFUNCTION("IFS(
  REGEXMATCH(A861&amp;B861, ""(?i)openai|gpt|gemini|anthropic|claude|mistral|cohere|rag|vector|llm|chatbot|ai-powered""), ""AI &amp; LLM"",
  REGEXMATCH(A861&amp;B861, ""(?i)twitter|instagram|facebook|linkedin|youtube|tiktok|threads|bluesky|pinterest|social vid"&amp;"eo|reels?|shorts?""), ""Social Media"",
  REGEXMATCH(A861&amp;B861, ""(?i)hubspot|pipedrive|stripe|shopify|woocommerce|sales|crm|invoice|order|leads?|recruitment|bamboohr|erpnext""), ""CRM &amp; Sales"",
  REGEXMATCH(A861&amp;B861, ""(?i)gmail|outlook|calendar|slack|"&amp;"discord|telegram|whatsapp|notion|trello|drive|sheets?|meeting|scheduler|appointment|mattermost""), ""Productivity &amp; Communication"",
  REGEXMATCH(A861&amp;B861, ""(?i)github|api|webhook|http|mysql|supabase|mongodb|redis|rss|pr|code review|incident|pagerduty|j"&amp;"ira""), ""Development &amp; Utilities"",
  TRUE, ""Others""
)"),"CRM &amp; Sales")</f>
        <v>CRM &amp; Sales</v>
      </c>
    </row>
    <row r="862" ht="15.75" customHeight="1">
      <c r="A862" s="14" t="s">
        <v>1704</v>
      </c>
      <c r="B862" s="15" t="s">
        <v>1705</v>
      </c>
      <c r="C862" s="16" t="s">
        <v>7</v>
      </c>
      <c r="D862" s="12" t="str">
        <f>IFERROR(__xludf.DUMMYFUNCTION("IFS(
  REGEXMATCH(A862&amp;B862, ""(?i)openai|gpt|gemini|anthropic|claude|mistral|cohere|rag|vector|llm|chatbot|ai-powered""), ""AI &amp; LLM"",
  REGEXMATCH(A862&amp;B862, ""(?i)twitter|instagram|facebook|linkedin|youtube|tiktok|threads|bluesky|pinterest|social vid"&amp;"eo|reels?|shorts?""), ""Social Media"",
  REGEXMATCH(A862&amp;B862, ""(?i)hubspot|pipedrive|stripe|shopify|woocommerce|sales|crm|invoice|order|leads?|recruitment|bamboohr|erpnext""), ""CRM &amp; Sales"",
  REGEXMATCH(A862&amp;B862, ""(?i)gmail|outlook|calendar|slack|"&amp;"discord|telegram|whatsapp|notion|trello|drive|sheets?|meeting|scheduler|appointment|mattermost""), ""Productivity &amp; Communication"",
  REGEXMATCH(A862&amp;B862, ""(?i)github|api|webhook|http|mysql|supabase|mongodb|redis|rss|pr|code review|incident|pagerduty|j"&amp;"ira""), ""Development &amp; Utilities"",
  TRUE, ""Others""
)"),"AI &amp; LLM")</f>
        <v>AI &amp; LLM</v>
      </c>
    </row>
    <row r="863" ht="15.75" customHeight="1">
      <c r="A863" s="14" t="s">
        <v>1706</v>
      </c>
      <c r="B863" s="15" t="s">
        <v>1707</v>
      </c>
      <c r="C863" s="16" t="s">
        <v>7</v>
      </c>
      <c r="D863" s="12" t="str">
        <f>IFERROR(__xludf.DUMMYFUNCTION("IFS(
  REGEXMATCH(A863&amp;B863, ""(?i)openai|gpt|gemini|anthropic|claude|mistral|cohere|rag|vector|llm|chatbot|ai-powered""), ""AI &amp; LLM"",
  REGEXMATCH(A863&amp;B863, ""(?i)twitter|instagram|facebook|linkedin|youtube|tiktok|threads|bluesky|pinterest|social vid"&amp;"eo|reels?|shorts?""), ""Social Media"",
  REGEXMATCH(A863&amp;B863, ""(?i)hubspot|pipedrive|stripe|shopify|woocommerce|sales|crm|invoice|order|leads?|recruitment|bamboohr|erpnext""), ""CRM &amp; Sales"",
  REGEXMATCH(A863&amp;B863, ""(?i)gmail|outlook|calendar|slack|"&amp;"discord|telegram|whatsapp|notion|trello|drive|sheets?|meeting|scheduler|appointment|mattermost""), ""Productivity &amp; Communication"",
  REGEXMATCH(A863&amp;B863, ""(?i)github|api|webhook|http|mysql|supabase|mongodb|redis|rss|pr|code review|incident|pagerduty|j"&amp;"ira""), ""Development &amp; Utilities"",
  TRUE, ""Others""
)"),"Social Media")</f>
        <v>Social Media</v>
      </c>
    </row>
    <row r="864" ht="15.75" customHeight="1">
      <c r="A864" s="14" t="s">
        <v>1708</v>
      </c>
      <c r="B864" s="15" t="s">
        <v>1709</v>
      </c>
      <c r="C864" s="16" t="s">
        <v>7</v>
      </c>
      <c r="D864" s="12" t="str">
        <f>IFERROR(__xludf.DUMMYFUNCTION("IFS(
  REGEXMATCH(A864&amp;B864, ""(?i)openai|gpt|gemini|anthropic|claude|mistral|cohere|rag|vector|llm|chatbot|ai-powered""), ""AI &amp; LLM"",
  REGEXMATCH(A864&amp;B864, ""(?i)twitter|instagram|facebook|linkedin|youtube|tiktok|threads|bluesky|pinterest|social vid"&amp;"eo|reels?|shorts?""), ""Social Media"",
  REGEXMATCH(A864&amp;B864, ""(?i)hubspot|pipedrive|stripe|shopify|woocommerce|sales|crm|invoice|order|leads?|recruitment|bamboohr|erpnext""), ""CRM &amp; Sales"",
  REGEXMATCH(A864&amp;B864, ""(?i)gmail|outlook|calendar|slack|"&amp;"discord|telegram|whatsapp|notion|trello|drive|sheets?|meeting|scheduler|appointment|mattermost""), ""Productivity &amp; Communication"",
  REGEXMATCH(A864&amp;B864, ""(?i)github|api|webhook|http|mysql|supabase|mongodb|redis|rss|pr|code review|incident|pagerduty|j"&amp;"ira""), ""Development &amp; Utilities"",
  TRUE, ""Others""
)"),"CRM &amp; Sales")</f>
        <v>CRM &amp; Sales</v>
      </c>
    </row>
    <row r="865" ht="15.75" customHeight="1">
      <c r="A865" s="14" t="s">
        <v>1710</v>
      </c>
      <c r="B865" s="15" t="s">
        <v>1711</v>
      </c>
      <c r="C865" s="16" t="s">
        <v>7</v>
      </c>
      <c r="D865" s="12" t="str">
        <f>IFERROR(__xludf.DUMMYFUNCTION("IFS(
  REGEXMATCH(A865&amp;B865, ""(?i)openai|gpt|gemini|anthropic|claude|mistral|cohere|rag|vector|llm|chatbot|ai-powered""), ""AI &amp; LLM"",
  REGEXMATCH(A865&amp;B865, ""(?i)twitter|instagram|facebook|linkedin|youtube|tiktok|threads|bluesky|pinterest|social vid"&amp;"eo|reels?|shorts?""), ""Social Media"",
  REGEXMATCH(A865&amp;B865, ""(?i)hubspot|pipedrive|stripe|shopify|woocommerce|sales|crm|invoice|order|leads?|recruitment|bamboohr|erpnext""), ""CRM &amp; Sales"",
  REGEXMATCH(A865&amp;B865, ""(?i)gmail|outlook|calendar|slack|"&amp;"discord|telegram|whatsapp|notion|trello|drive|sheets?|meeting|scheduler|appointment|mattermost""), ""Productivity &amp; Communication"",
  REGEXMATCH(A865&amp;B865, ""(?i)github|api|webhook|http|mysql|supabase|mongodb|redis|rss|pr|code review|incident|pagerduty|j"&amp;"ira""), ""Development &amp; Utilities"",
  TRUE, ""Others""
)"),"Social Media")</f>
        <v>Social Media</v>
      </c>
    </row>
    <row r="866" ht="15.75" customHeight="1">
      <c r="A866" s="14" t="s">
        <v>1712</v>
      </c>
      <c r="B866" s="15" t="s">
        <v>1713</v>
      </c>
      <c r="C866" s="16" t="s">
        <v>7</v>
      </c>
      <c r="D866" s="12" t="str">
        <f>IFERROR(__xludf.DUMMYFUNCTION("IFS(
  REGEXMATCH(A866&amp;B866, ""(?i)openai|gpt|gemini|anthropic|claude|mistral|cohere|rag|vector|llm|chatbot|ai-powered""), ""AI &amp; LLM"",
  REGEXMATCH(A866&amp;B866, ""(?i)twitter|instagram|facebook|linkedin|youtube|tiktok|threads|bluesky|pinterest|social vid"&amp;"eo|reels?|shorts?""), ""Social Media"",
  REGEXMATCH(A866&amp;B866, ""(?i)hubspot|pipedrive|stripe|shopify|woocommerce|sales|crm|invoice|order|leads?|recruitment|bamboohr|erpnext""), ""CRM &amp; Sales"",
  REGEXMATCH(A866&amp;B866, ""(?i)gmail|outlook|calendar|slack|"&amp;"discord|telegram|whatsapp|notion|trello|drive|sheets?|meeting|scheduler|appointment|mattermost""), ""Productivity &amp; Communication"",
  REGEXMATCH(A866&amp;B866, ""(?i)github|api|webhook|http|mysql|supabase|mongodb|redis|rss|pr|code review|incident|pagerduty|j"&amp;"ira""), ""Development &amp; Utilities"",
  TRUE, ""Others""
)"),"Productivity &amp; Communication")</f>
        <v>Productivity &amp; Communication</v>
      </c>
    </row>
    <row r="867" ht="15.75" customHeight="1">
      <c r="A867" s="14" t="s">
        <v>1714</v>
      </c>
      <c r="B867" s="15" t="s">
        <v>1715</v>
      </c>
      <c r="C867" s="16" t="s">
        <v>7</v>
      </c>
      <c r="D867" s="12" t="str">
        <f>IFERROR(__xludf.DUMMYFUNCTION("IFS(
  REGEXMATCH(A867&amp;B867, ""(?i)openai|gpt|gemini|anthropic|claude|mistral|cohere|rag|vector|llm|chatbot|ai-powered""), ""AI &amp; LLM"",
  REGEXMATCH(A867&amp;B867, ""(?i)twitter|instagram|facebook|linkedin|youtube|tiktok|threads|bluesky|pinterest|social vid"&amp;"eo|reels?|shorts?""), ""Social Media"",
  REGEXMATCH(A867&amp;B867, ""(?i)hubspot|pipedrive|stripe|shopify|woocommerce|sales|crm|invoice|order|leads?|recruitment|bamboohr|erpnext""), ""CRM &amp; Sales"",
  REGEXMATCH(A867&amp;B867, ""(?i)gmail|outlook|calendar|slack|"&amp;"discord|telegram|whatsapp|notion|trello|drive|sheets?|meeting|scheduler|appointment|mattermost""), ""Productivity &amp; Communication"",
  REGEXMATCH(A867&amp;B867, ""(?i)github|api|webhook|http|mysql|supabase|mongodb|redis|rss|pr|code review|incident|pagerduty|j"&amp;"ira""), ""Development &amp; Utilities"",
  TRUE, ""Others""
)"),"Development &amp; Utilities")</f>
        <v>Development &amp; Utilities</v>
      </c>
    </row>
    <row r="868" ht="15.75" customHeight="1">
      <c r="A868" s="14" t="s">
        <v>1716</v>
      </c>
      <c r="B868" s="15" t="s">
        <v>1717</v>
      </c>
      <c r="C868" s="16" t="s">
        <v>7</v>
      </c>
      <c r="D868" s="12" t="str">
        <f>IFERROR(__xludf.DUMMYFUNCTION("IFS(
  REGEXMATCH(A868&amp;B868, ""(?i)openai|gpt|gemini|anthropic|claude|mistral|cohere|rag|vector|llm|chatbot|ai-powered""), ""AI &amp; LLM"",
  REGEXMATCH(A868&amp;B868, ""(?i)twitter|instagram|facebook|linkedin|youtube|tiktok|threads|bluesky|pinterest|social vid"&amp;"eo|reels?|shorts?""), ""Social Media"",
  REGEXMATCH(A868&amp;B868, ""(?i)hubspot|pipedrive|stripe|shopify|woocommerce|sales|crm|invoice|order|leads?|recruitment|bamboohr|erpnext""), ""CRM &amp; Sales"",
  REGEXMATCH(A868&amp;B868, ""(?i)gmail|outlook|calendar|slack|"&amp;"discord|telegram|whatsapp|notion|trello|drive|sheets?|meeting|scheduler|appointment|mattermost""), ""Productivity &amp; Communication"",
  REGEXMATCH(A868&amp;B868, ""(?i)github|api|webhook|http|mysql|supabase|mongodb|redis|rss|pr|code review|incident|pagerduty|j"&amp;"ira""), ""Development &amp; Utilities"",
  TRUE, ""Others""
)"),"CRM &amp; Sales")</f>
        <v>CRM &amp; Sales</v>
      </c>
    </row>
    <row r="869" ht="15.75" customHeight="1">
      <c r="A869" s="14" t="s">
        <v>1718</v>
      </c>
      <c r="B869" s="15" t="s">
        <v>1719</v>
      </c>
      <c r="C869" s="16" t="s">
        <v>7</v>
      </c>
      <c r="D869" s="12" t="str">
        <f>IFERROR(__xludf.DUMMYFUNCTION("IFS(
  REGEXMATCH(A869&amp;B869, ""(?i)openai|gpt|gemini|anthropic|claude|mistral|cohere|rag|vector|llm|chatbot|ai-powered""), ""AI &amp; LLM"",
  REGEXMATCH(A869&amp;B869, ""(?i)twitter|instagram|facebook|linkedin|youtube|tiktok|threads|bluesky|pinterest|social vid"&amp;"eo|reels?|shorts?""), ""Social Media"",
  REGEXMATCH(A869&amp;B869, ""(?i)hubspot|pipedrive|stripe|shopify|woocommerce|sales|crm|invoice|order|leads?|recruitment|bamboohr|erpnext""), ""CRM &amp; Sales"",
  REGEXMATCH(A869&amp;B869, ""(?i)gmail|outlook|calendar|slack|"&amp;"discord|telegram|whatsapp|notion|trello|drive|sheets?|meeting|scheduler|appointment|mattermost""), ""Productivity &amp; Communication"",
  REGEXMATCH(A869&amp;B869, ""(?i)github|api|webhook|http|mysql|supabase|mongodb|redis|rss|pr|code review|incident|pagerduty|j"&amp;"ira""), ""Development &amp; Utilities"",
  TRUE, ""Others""
)"),"Productivity &amp; Communication")</f>
        <v>Productivity &amp; Communication</v>
      </c>
    </row>
    <row r="870" ht="15.75" customHeight="1">
      <c r="A870" s="14" t="s">
        <v>1720</v>
      </c>
      <c r="B870" s="15" t="s">
        <v>1721</v>
      </c>
      <c r="C870" s="16" t="s">
        <v>7</v>
      </c>
      <c r="D870" s="12" t="str">
        <f>IFERROR(__xludf.DUMMYFUNCTION("IFS(
  REGEXMATCH(A870&amp;B870, ""(?i)openai|gpt|gemini|anthropic|claude|mistral|cohere|rag|vector|llm|chatbot|ai-powered""), ""AI &amp; LLM"",
  REGEXMATCH(A870&amp;B870, ""(?i)twitter|instagram|facebook|linkedin|youtube|tiktok|threads|bluesky|pinterest|social vid"&amp;"eo|reels?|shorts?""), ""Social Media"",
  REGEXMATCH(A870&amp;B870, ""(?i)hubspot|pipedrive|stripe|shopify|woocommerce|sales|crm|invoice|order|leads?|recruitment|bamboohr|erpnext""), ""CRM &amp; Sales"",
  REGEXMATCH(A870&amp;B870, ""(?i)gmail|outlook|calendar|slack|"&amp;"discord|telegram|whatsapp|notion|trello|drive|sheets?|meeting|scheduler|appointment|mattermost""), ""Productivity &amp; Communication"",
  REGEXMATCH(A870&amp;B870, ""(?i)github|api|webhook|http|mysql|supabase|mongodb|redis|rss|pr|code review|incident|pagerduty|j"&amp;"ira""), ""Development &amp; Utilities"",
  TRUE, ""Others""
)"),"Social Media")</f>
        <v>Social Media</v>
      </c>
    </row>
    <row r="871" ht="15.75" customHeight="1">
      <c r="A871" s="14" t="s">
        <v>1722</v>
      </c>
      <c r="B871" s="15" t="s">
        <v>1723</v>
      </c>
      <c r="C871" s="16" t="s">
        <v>7</v>
      </c>
      <c r="D871" s="12" t="str">
        <f>IFERROR(__xludf.DUMMYFUNCTION("IFS(
  REGEXMATCH(A871&amp;B871, ""(?i)openai|gpt|gemini|anthropic|claude|mistral|cohere|rag|vector|llm|chatbot|ai-powered""), ""AI &amp; LLM"",
  REGEXMATCH(A871&amp;B871, ""(?i)twitter|instagram|facebook|linkedin|youtube|tiktok|threads|bluesky|pinterest|social vid"&amp;"eo|reels?|shorts?""), ""Social Media"",
  REGEXMATCH(A871&amp;B871, ""(?i)hubspot|pipedrive|stripe|shopify|woocommerce|sales|crm|invoice|order|leads?|recruitment|bamboohr|erpnext""), ""CRM &amp; Sales"",
  REGEXMATCH(A871&amp;B871, ""(?i)gmail|outlook|calendar|slack|"&amp;"discord|telegram|whatsapp|notion|trello|drive|sheets?|meeting|scheduler|appointment|mattermost""), ""Productivity &amp; Communication"",
  REGEXMATCH(A871&amp;B871, ""(?i)github|api|webhook|http|mysql|supabase|mongodb|redis|rss|pr|code review|incident|pagerduty|j"&amp;"ira""), ""Development &amp; Utilities"",
  TRUE, ""Others""
)"),"Productivity &amp; Communication")</f>
        <v>Productivity &amp; Communication</v>
      </c>
    </row>
    <row r="872" ht="15.75" customHeight="1">
      <c r="A872" s="14" t="s">
        <v>1724</v>
      </c>
      <c r="B872" s="15" t="s">
        <v>1725</v>
      </c>
      <c r="C872" s="16" t="s">
        <v>7</v>
      </c>
      <c r="D872" s="12" t="str">
        <f>IFERROR(__xludf.DUMMYFUNCTION("IFS(
  REGEXMATCH(A872&amp;B872, ""(?i)openai|gpt|gemini|anthropic|claude|mistral|cohere|rag|vector|llm|chatbot|ai-powered""), ""AI &amp; LLM"",
  REGEXMATCH(A872&amp;B872, ""(?i)twitter|instagram|facebook|linkedin|youtube|tiktok|threads|bluesky|pinterest|social vid"&amp;"eo|reels?|shorts?""), ""Social Media"",
  REGEXMATCH(A872&amp;B872, ""(?i)hubspot|pipedrive|stripe|shopify|woocommerce|sales|crm|invoice|order|leads?|recruitment|bamboohr|erpnext""), ""CRM &amp; Sales"",
  REGEXMATCH(A872&amp;B872, ""(?i)gmail|outlook|calendar|slack|"&amp;"discord|telegram|whatsapp|notion|trello|drive|sheets?|meeting|scheduler|appointment|mattermost""), ""Productivity &amp; Communication"",
  REGEXMATCH(A872&amp;B872, ""(?i)github|api|webhook|http|mysql|supabase|mongodb|redis|rss|pr|code review|incident|pagerduty|j"&amp;"ira""), ""Development &amp; Utilities"",
  TRUE, ""Others""
)"),"AI &amp; LLM")</f>
        <v>AI &amp; LLM</v>
      </c>
    </row>
    <row r="873" ht="15.75" customHeight="1">
      <c r="A873" s="14" t="s">
        <v>1726</v>
      </c>
      <c r="B873" s="15" t="s">
        <v>1727</v>
      </c>
      <c r="C873" s="16" t="s">
        <v>7</v>
      </c>
      <c r="D873" s="12" t="str">
        <f>IFERROR(__xludf.DUMMYFUNCTION("IFS(
  REGEXMATCH(A873&amp;B873, ""(?i)openai|gpt|gemini|anthropic|claude|mistral|cohere|rag|vector|llm|chatbot|ai-powered""), ""AI &amp; LLM"",
  REGEXMATCH(A873&amp;B873, ""(?i)twitter|instagram|facebook|linkedin|youtube|tiktok|threads|bluesky|pinterest|social vid"&amp;"eo|reels?|shorts?""), ""Social Media"",
  REGEXMATCH(A873&amp;B873, ""(?i)hubspot|pipedrive|stripe|shopify|woocommerce|sales|crm|invoice|order|leads?|recruitment|bamboohr|erpnext""), ""CRM &amp; Sales"",
  REGEXMATCH(A873&amp;B873, ""(?i)gmail|outlook|calendar|slack|"&amp;"discord|telegram|whatsapp|notion|trello|drive|sheets?|meeting|scheduler|appointment|mattermost""), ""Productivity &amp; Communication"",
  REGEXMATCH(A873&amp;B873, ""(?i)github|api|webhook|http|mysql|supabase|mongodb|redis|rss|pr|code review|incident|pagerduty|j"&amp;"ira""), ""Development &amp; Utilities"",
  TRUE, ""Others""
)"),"AI &amp; LLM")</f>
        <v>AI &amp; LLM</v>
      </c>
    </row>
    <row r="874" ht="15.75" customHeight="1">
      <c r="A874" s="14" t="s">
        <v>1728</v>
      </c>
      <c r="B874" s="15" t="s">
        <v>1729</v>
      </c>
      <c r="C874" s="16" t="s">
        <v>7</v>
      </c>
      <c r="D874" s="12" t="str">
        <f>IFERROR(__xludf.DUMMYFUNCTION("IFS(
  REGEXMATCH(A874&amp;B874, ""(?i)openai|gpt|gemini|anthropic|claude|mistral|cohere|rag|vector|llm|chatbot|ai-powered""), ""AI &amp; LLM"",
  REGEXMATCH(A874&amp;B874, ""(?i)twitter|instagram|facebook|linkedin|youtube|tiktok|threads|bluesky|pinterest|social vid"&amp;"eo|reels?|shorts?""), ""Social Media"",
  REGEXMATCH(A874&amp;B874, ""(?i)hubspot|pipedrive|stripe|shopify|woocommerce|sales|crm|invoice|order|leads?|recruitment|bamboohr|erpnext""), ""CRM &amp; Sales"",
  REGEXMATCH(A874&amp;B874, ""(?i)gmail|outlook|calendar|slack|"&amp;"discord|telegram|whatsapp|notion|trello|drive|sheets?|meeting|scheduler|appointment|mattermost""), ""Productivity &amp; Communication"",
  REGEXMATCH(A874&amp;B874, ""(?i)github|api|webhook|http|mysql|supabase|mongodb|redis|rss|pr|code review|incident|pagerduty|j"&amp;"ira""), ""Development &amp; Utilities"",
  TRUE, ""Others""
)"),"Productivity &amp; Communication")</f>
        <v>Productivity &amp; Communication</v>
      </c>
    </row>
    <row r="875" ht="15.75" customHeight="1">
      <c r="A875" s="14" t="s">
        <v>1730</v>
      </c>
      <c r="B875" s="15" t="s">
        <v>1731</v>
      </c>
      <c r="C875" s="16" t="s">
        <v>7</v>
      </c>
      <c r="D875" s="12" t="str">
        <f>IFERROR(__xludf.DUMMYFUNCTION("IFS(
  REGEXMATCH(A875&amp;B875, ""(?i)openai|gpt|gemini|anthropic|claude|mistral|cohere|rag|vector|llm|chatbot|ai-powered""), ""AI &amp; LLM"",
  REGEXMATCH(A875&amp;B875, ""(?i)twitter|instagram|facebook|linkedin|youtube|tiktok|threads|bluesky|pinterest|social vid"&amp;"eo|reels?|shorts?""), ""Social Media"",
  REGEXMATCH(A875&amp;B875, ""(?i)hubspot|pipedrive|stripe|shopify|woocommerce|sales|crm|invoice|order|leads?|recruitment|bamboohr|erpnext""), ""CRM &amp; Sales"",
  REGEXMATCH(A875&amp;B875, ""(?i)gmail|outlook|calendar|slack|"&amp;"discord|telegram|whatsapp|notion|trello|drive|sheets?|meeting|scheduler|appointment|mattermost""), ""Productivity &amp; Communication"",
  REGEXMATCH(A875&amp;B875, ""(?i)github|api|webhook|http|mysql|supabase|mongodb|redis|rss|pr|code review|incident|pagerduty|j"&amp;"ira""), ""Development &amp; Utilities"",
  TRUE, ""Others""
)"),"Productivity &amp; Communication")</f>
        <v>Productivity &amp; Communication</v>
      </c>
    </row>
    <row r="876" ht="15.75" customHeight="1">
      <c r="A876" s="14" t="s">
        <v>1732</v>
      </c>
      <c r="B876" s="15" t="s">
        <v>1733</v>
      </c>
      <c r="C876" s="16" t="s">
        <v>7</v>
      </c>
      <c r="D876" s="12" t="str">
        <f>IFERROR(__xludf.DUMMYFUNCTION("IFS(
  REGEXMATCH(A876&amp;B876, ""(?i)openai|gpt|gemini|anthropic|claude|mistral|cohere|rag|vector|llm|chatbot|ai-powered""), ""AI &amp; LLM"",
  REGEXMATCH(A876&amp;B876, ""(?i)twitter|instagram|facebook|linkedin|youtube|tiktok|threads|bluesky|pinterest|social vid"&amp;"eo|reels?|shorts?""), ""Social Media"",
  REGEXMATCH(A876&amp;B876, ""(?i)hubspot|pipedrive|stripe|shopify|woocommerce|sales|crm|invoice|order|leads?|recruitment|bamboohr|erpnext""), ""CRM &amp; Sales"",
  REGEXMATCH(A876&amp;B876, ""(?i)gmail|outlook|calendar|slack|"&amp;"discord|telegram|whatsapp|notion|trello|drive|sheets?|meeting|scheduler|appointment|mattermost""), ""Productivity &amp; Communication"",
  REGEXMATCH(A876&amp;B876, ""(?i)github|api|webhook|http|mysql|supabase|mongodb|redis|rss|pr|code review|incident|pagerduty|j"&amp;"ira""), ""Development &amp; Utilities"",
  TRUE, ""Others""
)"),"CRM &amp; Sales")</f>
        <v>CRM &amp; Sales</v>
      </c>
    </row>
    <row r="877" ht="15.75" customHeight="1">
      <c r="A877" s="14" t="s">
        <v>1734</v>
      </c>
      <c r="B877" s="15" t="s">
        <v>1735</v>
      </c>
      <c r="C877" s="16" t="s">
        <v>7</v>
      </c>
      <c r="D877" s="12" t="str">
        <f>IFERROR(__xludf.DUMMYFUNCTION("IFS(
  REGEXMATCH(A877&amp;B877, ""(?i)openai|gpt|gemini|anthropic|claude|mistral|cohere|rag|vector|llm|chatbot|ai-powered""), ""AI &amp; LLM"",
  REGEXMATCH(A877&amp;B877, ""(?i)twitter|instagram|facebook|linkedin|youtube|tiktok|threads|bluesky|pinterest|social vid"&amp;"eo|reels?|shorts?""), ""Social Media"",
  REGEXMATCH(A877&amp;B877, ""(?i)hubspot|pipedrive|stripe|shopify|woocommerce|sales|crm|invoice|order|leads?|recruitment|bamboohr|erpnext""), ""CRM &amp; Sales"",
  REGEXMATCH(A877&amp;B877, ""(?i)gmail|outlook|calendar|slack|"&amp;"discord|telegram|whatsapp|notion|trello|drive|sheets?|meeting|scheduler|appointment|mattermost""), ""Productivity &amp; Communication"",
  REGEXMATCH(A877&amp;B877, ""(?i)github|api|webhook|http|mysql|supabase|mongodb|redis|rss|pr|code review|incident|pagerduty|j"&amp;"ira""), ""Development &amp; Utilities"",
  TRUE, ""Others""
)"),"Productivity &amp; Communication")</f>
        <v>Productivity &amp; Communication</v>
      </c>
    </row>
    <row r="878" ht="15.75" customHeight="1">
      <c r="A878" s="14" t="s">
        <v>1736</v>
      </c>
      <c r="B878" s="15" t="s">
        <v>1737</v>
      </c>
      <c r="C878" s="16" t="s">
        <v>7</v>
      </c>
      <c r="D878" s="12" t="str">
        <f>IFERROR(__xludf.DUMMYFUNCTION("IFS(
  REGEXMATCH(A878&amp;B878, ""(?i)openai|gpt|gemini|anthropic|claude|mistral|cohere|rag|vector|llm|chatbot|ai-powered""), ""AI &amp; LLM"",
  REGEXMATCH(A878&amp;B878, ""(?i)twitter|instagram|facebook|linkedin|youtube|tiktok|threads|bluesky|pinterest|social vid"&amp;"eo|reels?|shorts?""), ""Social Media"",
  REGEXMATCH(A878&amp;B878, ""(?i)hubspot|pipedrive|stripe|shopify|woocommerce|sales|crm|invoice|order|leads?|recruitment|bamboohr|erpnext""), ""CRM &amp; Sales"",
  REGEXMATCH(A878&amp;B878, ""(?i)gmail|outlook|calendar|slack|"&amp;"discord|telegram|whatsapp|notion|trello|drive|sheets?|meeting|scheduler|appointment|mattermost""), ""Productivity &amp; Communication"",
  REGEXMATCH(A878&amp;B878, ""(?i)github|api|webhook|http|mysql|supabase|mongodb|redis|rss|pr|code review|incident|pagerduty|j"&amp;"ira""), ""Development &amp; Utilities"",
  TRUE, ""Others""
)"),"Productivity &amp; Communication")</f>
        <v>Productivity &amp; Communication</v>
      </c>
    </row>
    <row r="879" ht="15.75" customHeight="1">
      <c r="A879" s="14" t="s">
        <v>1738</v>
      </c>
      <c r="B879" s="15" t="s">
        <v>1739</v>
      </c>
      <c r="C879" s="16" t="s">
        <v>7</v>
      </c>
      <c r="D879" s="12" t="str">
        <f>IFERROR(__xludf.DUMMYFUNCTION("IFS(
  REGEXMATCH(A879&amp;B879, ""(?i)openai|gpt|gemini|anthropic|claude|mistral|cohere|rag|vector|llm|chatbot|ai-powered""), ""AI &amp; LLM"",
  REGEXMATCH(A879&amp;B879, ""(?i)twitter|instagram|facebook|linkedin|youtube|tiktok|threads|bluesky|pinterest|social vid"&amp;"eo|reels?|shorts?""), ""Social Media"",
  REGEXMATCH(A879&amp;B879, ""(?i)hubspot|pipedrive|stripe|shopify|woocommerce|sales|crm|invoice|order|leads?|recruitment|bamboohr|erpnext""), ""CRM &amp; Sales"",
  REGEXMATCH(A879&amp;B879, ""(?i)gmail|outlook|calendar|slack|"&amp;"discord|telegram|whatsapp|notion|trello|drive|sheets?|meeting|scheduler|appointment|mattermost""), ""Productivity &amp; Communication"",
  REGEXMATCH(A879&amp;B879, ""(?i)github|api|webhook|http|mysql|supabase|mongodb|redis|rss|pr|code review|incident|pagerduty|j"&amp;"ira""), ""Development &amp; Utilities"",
  TRUE, ""Others""
)"),"AI &amp; LLM")</f>
        <v>AI &amp; LLM</v>
      </c>
    </row>
    <row r="880" ht="15.75" customHeight="1">
      <c r="A880" s="14" t="s">
        <v>1740</v>
      </c>
      <c r="B880" s="15" t="s">
        <v>1741</v>
      </c>
      <c r="C880" s="16" t="s">
        <v>7</v>
      </c>
      <c r="D880" s="12" t="str">
        <f>IFERROR(__xludf.DUMMYFUNCTION("IFS(
  REGEXMATCH(A880&amp;B880, ""(?i)openai|gpt|gemini|anthropic|claude|mistral|cohere|rag|vector|llm|chatbot|ai-powered""), ""AI &amp; LLM"",
  REGEXMATCH(A880&amp;B880, ""(?i)twitter|instagram|facebook|linkedin|youtube|tiktok|threads|bluesky|pinterest|social vid"&amp;"eo|reels?|shorts?""), ""Social Media"",
  REGEXMATCH(A880&amp;B880, ""(?i)hubspot|pipedrive|stripe|shopify|woocommerce|sales|crm|invoice|order|leads?|recruitment|bamboohr|erpnext""), ""CRM &amp; Sales"",
  REGEXMATCH(A880&amp;B880, ""(?i)gmail|outlook|calendar|slack|"&amp;"discord|telegram|whatsapp|notion|trello|drive|sheets?|meeting|scheduler|appointment|mattermost""), ""Productivity &amp; Communication"",
  REGEXMATCH(A880&amp;B880, ""(?i)github|api|webhook|http|mysql|supabase|mongodb|redis|rss|pr|code review|incident|pagerduty|j"&amp;"ira""), ""Development &amp; Utilities"",
  TRUE, ""Others""
)"),"AI &amp; LLM")</f>
        <v>AI &amp; LLM</v>
      </c>
    </row>
    <row r="881" ht="15.75" customHeight="1">
      <c r="A881" s="14" t="s">
        <v>1742</v>
      </c>
      <c r="B881" s="15" t="s">
        <v>1743</v>
      </c>
      <c r="C881" s="16" t="s">
        <v>7</v>
      </c>
      <c r="D881" s="12" t="str">
        <f>IFERROR(__xludf.DUMMYFUNCTION("IFS(
  REGEXMATCH(A881&amp;B881, ""(?i)openai|gpt|gemini|anthropic|claude|mistral|cohere|rag|vector|llm|chatbot|ai-powered""), ""AI &amp; LLM"",
  REGEXMATCH(A881&amp;B881, ""(?i)twitter|instagram|facebook|linkedin|youtube|tiktok|threads|bluesky|pinterest|social vid"&amp;"eo|reels?|shorts?""), ""Social Media"",
  REGEXMATCH(A881&amp;B881, ""(?i)hubspot|pipedrive|stripe|shopify|woocommerce|sales|crm|invoice|order|leads?|recruitment|bamboohr|erpnext""), ""CRM &amp; Sales"",
  REGEXMATCH(A881&amp;B881, ""(?i)gmail|outlook|calendar|slack|"&amp;"discord|telegram|whatsapp|notion|trello|drive|sheets?|meeting|scheduler|appointment|mattermost""), ""Productivity &amp; Communication"",
  REGEXMATCH(A881&amp;B881, ""(?i)github|api|webhook|http|mysql|supabase|mongodb|redis|rss|pr|code review|incident|pagerduty|j"&amp;"ira""), ""Development &amp; Utilities"",
  TRUE, ""Others""
)"),"CRM &amp; Sales")</f>
        <v>CRM &amp; Sales</v>
      </c>
    </row>
    <row r="882" ht="15.75" customHeight="1">
      <c r="A882" s="14" t="s">
        <v>1744</v>
      </c>
      <c r="B882" s="15" t="s">
        <v>1745</v>
      </c>
      <c r="C882" s="16" t="s">
        <v>7</v>
      </c>
      <c r="D882" s="12" t="str">
        <f>IFERROR(__xludf.DUMMYFUNCTION("IFS(
  REGEXMATCH(A882&amp;B882, ""(?i)openai|gpt|gemini|anthropic|claude|mistral|cohere|rag|vector|llm|chatbot|ai-powered""), ""AI &amp; LLM"",
  REGEXMATCH(A882&amp;B882, ""(?i)twitter|instagram|facebook|linkedin|youtube|tiktok|threads|bluesky|pinterest|social vid"&amp;"eo|reels?|shorts?""), ""Social Media"",
  REGEXMATCH(A882&amp;B882, ""(?i)hubspot|pipedrive|stripe|shopify|woocommerce|sales|crm|invoice|order|leads?|recruitment|bamboohr|erpnext""), ""CRM &amp; Sales"",
  REGEXMATCH(A882&amp;B882, ""(?i)gmail|outlook|calendar|slack|"&amp;"discord|telegram|whatsapp|notion|trello|drive|sheets?|meeting|scheduler|appointment|mattermost""), ""Productivity &amp; Communication"",
  REGEXMATCH(A882&amp;B882, ""(?i)github|api|webhook|http|mysql|supabase|mongodb|redis|rss|pr|code review|incident|pagerduty|j"&amp;"ira""), ""Development &amp; Utilities"",
  TRUE, ""Others""
)"),"Development &amp; Utilities")</f>
        <v>Development &amp; Utilities</v>
      </c>
    </row>
    <row r="883" ht="15.75" customHeight="1">
      <c r="A883" s="14" t="s">
        <v>1746</v>
      </c>
      <c r="B883" s="15" t="s">
        <v>1747</v>
      </c>
      <c r="C883" s="16" t="s">
        <v>7</v>
      </c>
      <c r="D883" s="12" t="str">
        <f>IFERROR(__xludf.DUMMYFUNCTION("IFS(
  REGEXMATCH(A883&amp;B883, ""(?i)openai|gpt|gemini|anthropic|claude|mistral|cohere|rag|vector|llm|chatbot|ai-powered""), ""AI &amp; LLM"",
  REGEXMATCH(A883&amp;B883, ""(?i)twitter|instagram|facebook|linkedin|youtube|tiktok|threads|bluesky|pinterest|social vid"&amp;"eo|reels?|shorts?""), ""Social Media"",
  REGEXMATCH(A883&amp;B883, ""(?i)hubspot|pipedrive|stripe|shopify|woocommerce|sales|crm|invoice|order|leads?|recruitment|bamboohr|erpnext""), ""CRM &amp; Sales"",
  REGEXMATCH(A883&amp;B883, ""(?i)gmail|outlook|calendar|slack|"&amp;"discord|telegram|whatsapp|notion|trello|drive|sheets?|meeting|scheduler|appointment|mattermost""), ""Productivity &amp; Communication"",
  REGEXMATCH(A883&amp;B883, ""(?i)github|api|webhook|http|mysql|supabase|mongodb|redis|rss|pr|code review|incident|pagerduty|j"&amp;"ira""), ""Development &amp; Utilities"",
  TRUE, ""Others""
)"),"Productivity &amp; Communication")</f>
        <v>Productivity &amp; Communication</v>
      </c>
    </row>
    <row r="884" ht="15.75" customHeight="1">
      <c r="A884" s="14" t="s">
        <v>1748</v>
      </c>
      <c r="B884" s="15" t="s">
        <v>1749</v>
      </c>
      <c r="C884" s="16" t="s">
        <v>7</v>
      </c>
      <c r="D884" s="12" t="str">
        <f>IFERROR(__xludf.DUMMYFUNCTION("IFS(
  REGEXMATCH(A884&amp;B884, ""(?i)openai|gpt|gemini|anthropic|claude|mistral|cohere|rag|vector|llm|chatbot|ai-powered""), ""AI &amp; LLM"",
  REGEXMATCH(A884&amp;B884, ""(?i)twitter|instagram|facebook|linkedin|youtube|tiktok|threads|bluesky|pinterest|social vid"&amp;"eo|reels?|shorts?""), ""Social Media"",
  REGEXMATCH(A884&amp;B884, ""(?i)hubspot|pipedrive|stripe|shopify|woocommerce|sales|crm|invoice|order|leads?|recruitment|bamboohr|erpnext""), ""CRM &amp; Sales"",
  REGEXMATCH(A884&amp;B884, ""(?i)gmail|outlook|calendar|slack|"&amp;"discord|telegram|whatsapp|notion|trello|drive|sheets?|meeting|scheduler|appointment|mattermost""), ""Productivity &amp; Communication"",
  REGEXMATCH(A884&amp;B884, ""(?i)github|api|webhook|http|mysql|supabase|mongodb|redis|rss|pr|code review|incident|pagerduty|j"&amp;"ira""), ""Development &amp; Utilities"",
  TRUE, ""Others""
)"),"AI &amp; LLM")</f>
        <v>AI &amp; LLM</v>
      </c>
    </row>
    <row r="885" ht="15.75" customHeight="1">
      <c r="A885" s="14" t="s">
        <v>1750</v>
      </c>
      <c r="B885" s="15" t="s">
        <v>1751</v>
      </c>
      <c r="C885" s="16" t="s">
        <v>7</v>
      </c>
      <c r="D885" s="12" t="str">
        <f>IFERROR(__xludf.DUMMYFUNCTION("IFS(
  REGEXMATCH(A885&amp;B885, ""(?i)openai|gpt|gemini|anthropic|claude|mistral|cohere|rag|vector|llm|chatbot|ai-powered""), ""AI &amp; LLM"",
  REGEXMATCH(A885&amp;B885, ""(?i)twitter|instagram|facebook|linkedin|youtube|tiktok|threads|bluesky|pinterest|social vid"&amp;"eo|reels?|shorts?""), ""Social Media"",
  REGEXMATCH(A885&amp;B885, ""(?i)hubspot|pipedrive|stripe|shopify|woocommerce|sales|crm|invoice|order|leads?|recruitment|bamboohr|erpnext""), ""CRM &amp; Sales"",
  REGEXMATCH(A885&amp;B885, ""(?i)gmail|outlook|calendar|slack|"&amp;"discord|telegram|whatsapp|notion|trello|drive|sheets?|meeting|scheduler|appointment|mattermost""), ""Productivity &amp; Communication"",
  REGEXMATCH(A885&amp;B885, ""(?i)github|api|webhook|http|mysql|supabase|mongodb|redis|rss|pr|code review|incident|pagerduty|j"&amp;"ira""), ""Development &amp; Utilities"",
  TRUE, ""Others""
)"),"AI &amp; LLM")</f>
        <v>AI &amp; LLM</v>
      </c>
    </row>
    <row r="886" ht="15.75" customHeight="1">
      <c r="A886" s="14" t="s">
        <v>1752</v>
      </c>
      <c r="B886" s="15" t="s">
        <v>1753</v>
      </c>
      <c r="C886" s="16" t="s">
        <v>7</v>
      </c>
      <c r="D886" s="12" t="str">
        <f>IFERROR(__xludf.DUMMYFUNCTION("IFS(
  REGEXMATCH(A886&amp;B886, ""(?i)openai|gpt|gemini|anthropic|claude|mistral|cohere|rag|vector|llm|chatbot|ai-powered""), ""AI &amp; LLM"",
  REGEXMATCH(A886&amp;B886, ""(?i)twitter|instagram|facebook|linkedin|youtube|tiktok|threads|bluesky|pinterest|social vid"&amp;"eo|reels?|shorts?""), ""Social Media"",
  REGEXMATCH(A886&amp;B886, ""(?i)hubspot|pipedrive|stripe|shopify|woocommerce|sales|crm|invoice|order|leads?|recruitment|bamboohr|erpnext""), ""CRM &amp; Sales"",
  REGEXMATCH(A886&amp;B886, ""(?i)gmail|outlook|calendar|slack|"&amp;"discord|telegram|whatsapp|notion|trello|drive|sheets?|meeting|scheduler|appointment|mattermost""), ""Productivity &amp; Communication"",
  REGEXMATCH(A886&amp;B886, ""(?i)github|api|webhook|http|mysql|supabase|mongodb|redis|rss|pr|code review|incident|pagerduty|j"&amp;"ira""), ""Development &amp; Utilities"",
  TRUE, ""Others""
)"),"AI &amp; LLM")</f>
        <v>AI &amp; LLM</v>
      </c>
    </row>
    <row r="887" ht="15.75" customHeight="1">
      <c r="A887" s="14" t="s">
        <v>1754</v>
      </c>
      <c r="B887" s="15" t="s">
        <v>1755</v>
      </c>
      <c r="C887" s="16" t="s">
        <v>7</v>
      </c>
      <c r="D887" s="12" t="str">
        <f>IFERROR(__xludf.DUMMYFUNCTION("IFS(
  REGEXMATCH(A887&amp;B887, ""(?i)openai|gpt|gemini|anthropic|claude|mistral|cohere|rag|vector|llm|chatbot|ai-powered""), ""AI &amp; LLM"",
  REGEXMATCH(A887&amp;B887, ""(?i)twitter|instagram|facebook|linkedin|youtube|tiktok|threads|bluesky|pinterest|social vid"&amp;"eo|reels?|shorts?""), ""Social Media"",
  REGEXMATCH(A887&amp;B887, ""(?i)hubspot|pipedrive|stripe|shopify|woocommerce|sales|crm|invoice|order|leads?|recruitment|bamboohr|erpnext""), ""CRM &amp; Sales"",
  REGEXMATCH(A887&amp;B887, ""(?i)gmail|outlook|calendar|slack|"&amp;"discord|telegram|whatsapp|notion|trello|drive|sheets?|meeting|scheduler|appointment|mattermost""), ""Productivity &amp; Communication"",
  REGEXMATCH(A887&amp;B887, ""(?i)github|api|webhook|http|mysql|supabase|mongodb|redis|rss|pr|code review|incident|pagerduty|j"&amp;"ira""), ""Development &amp; Utilities"",
  TRUE, ""Others""
)"),"AI &amp; LLM")</f>
        <v>AI &amp; LLM</v>
      </c>
    </row>
    <row r="888" ht="15.75" customHeight="1">
      <c r="A888" s="14" t="s">
        <v>1756</v>
      </c>
      <c r="B888" s="15" t="s">
        <v>1757</v>
      </c>
      <c r="C888" s="16" t="s">
        <v>7</v>
      </c>
      <c r="D888" s="12" t="str">
        <f>IFERROR(__xludf.DUMMYFUNCTION("IFS(
  REGEXMATCH(A888&amp;B888, ""(?i)openai|gpt|gemini|anthropic|claude|mistral|cohere|rag|vector|llm|chatbot|ai-powered""), ""AI &amp; LLM"",
  REGEXMATCH(A888&amp;B888, ""(?i)twitter|instagram|facebook|linkedin|youtube|tiktok|threads|bluesky|pinterest|social vid"&amp;"eo|reels?|shorts?""), ""Social Media"",
  REGEXMATCH(A888&amp;B888, ""(?i)hubspot|pipedrive|stripe|shopify|woocommerce|sales|crm|invoice|order|leads?|recruitment|bamboohr|erpnext""), ""CRM &amp; Sales"",
  REGEXMATCH(A888&amp;B888, ""(?i)gmail|outlook|calendar|slack|"&amp;"discord|telegram|whatsapp|notion|trello|drive|sheets?|meeting|scheduler|appointment|mattermost""), ""Productivity &amp; Communication"",
  REGEXMATCH(A888&amp;B888, ""(?i)github|api|webhook|http|mysql|supabase|mongodb|redis|rss|pr|code review|incident|pagerduty|j"&amp;"ira""), ""Development &amp; Utilities"",
  TRUE, ""Others""
)"),"Productivity &amp; Communication")</f>
        <v>Productivity &amp; Communication</v>
      </c>
    </row>
    <row r="889" ht="15.75" customHeight="1">
      <c r="A889" s="14" t="s">
        <v>1758</v>
      </c>
      <c r="B889" s="15" t="s">
        <v>1759</v>
      </c>
      <c r="C889" s="16" t="s">
        <v>7</v>
      </c>
      <c r="D889" s="12" t="str">
        <f>IFERROR(__xludf.DUMMYFUNCTION("IFS(
  REGEXMATCH(A889&amp;B889, ""(?i)openai|gpt|gemini|anthropic|claude|mistral|cohere|rag|vector|llm|chatbot|ai-powered""), ""AI &amp; LLM"",
  REGEXMATCH(A889&amp;B889, ""(?i)twitter|instagram|facebook|linkedin|youtube|tiktok|threads|bluesky|pinterest|social vid"&amp;"eo|reels?|shorts?""), ""Social Media"",
  REGEXMATCH(A889&amp;B889, ""(?i)hubspot|pipedrive|stripe|shopify|woocommerce|sales|crm|invoice|order|leads?|recruitment|bamboohr|erpnext""), ""CRM &amp; Sales"",
  REGEXMATCH(A889&amp;B889, ""(?i)gmail|outlook|calendar|slack|"&amp;"discord|telegram|whatsapp|notion|trello|drive|sheets?|meeting|scheduler|appointment|mattermost""), ""Productivity &amp; Communication"",
  REGEXMATCH(A889&amp;B889, ""(?i)github|api|webhook|http|mysql|supabase|mongodb|redis|rss|pr|code review|incident|pagerduty|j"&amp;"ira""), ""Development &amp; Utilities"",
  TRUE, ""Others""
)"),"AI &amp; LLM")</f>
        <v>AI &amp; LLM</v>
      </c>
    </row>
    <row r="890" ht="15.75" customHeight="1">
      <c r="A890" s="14" t="s">
        <v>1760</v>
      </c>
      <c r="B890" s="15" t="s">
        <v>1761</v>
      </c>
      <c r="C890" s="16" t="s">
        <v>7</v>
      </c>
      <c r="D890" s="12" t="str">
        <f>IFERROR(__xludf.DUMMYFUNCTION("IFS(
  REGEXMATCH(A890&amp;B890, ""(?i)openai|gpt|gemini|anthropic|claude|mistral|cohere|rag|vector|llm|chatbot|ai-powered""), ""AI &amp; LLM"",
  REGEXMATCH(A890&amp;B890, ""(?i)twitter|instagram|facebook|linkedin|youtube|tiktok|threads|bluesky|pinterest|social vid"&amp;"eo|reels?|shorts?""), ""Social Media"",
  REGEXMATCH(A890&amp;B890, ""(?i)hubspot|pipedrive|stripe|shopify|woocommerce|sales|crm|invoice|order|leads?|recruitment|bamboohr|erpnext""), ""CRM &amp; Sales"",
  REGEXMATCH(A890&amp;B890, ""(?i)gmail|outlook|calendar|slack|"&amp;"discord|telegram|whatsapp|notion|trello|drive|sheets?|meeting|scheduler|appointment|mattermost""), ""Productivity &amp; Communication"",
  REGEXMATCH(A890&amp;B890, ""(?i)github|api|webhook|http|mysql|supabase|mongodb|redis|rss|pr|code review|incident|pagerduty|j"&amp;"ira""), ""Development &amp; Utilities"",
  TRUE, ""Others""
)"),"Social Media")</f>
        <v>Social Media</v>
      </c>
    </row>
    <row r="891" ht="15.75" customHeight="1">
      <c r="A891" s="14" t="s">
        <v>1762</v>
      </c>
      <c r="B891" s="15" t="s">
        <v>1763</v>
      </c>
      <c r="C891" s="16" t="s">
        <v>7</v>
      </c>
      <c r="D891" s="12" t="str">
        <f>IFERROR(__xludf.DUMMYFUNCTION("IFS(
  REGEXMATCH(A891&amp;B891, ""(?i)openai|gpt|gemini|anthropic|claude|mistral|cohere|rag|vector|llm|chatbot|ai-powered""), ""AI &amp; LLM"",
  REGEXMATCH(A891&amp;B891, ""(?i)twitter|instagram|facebook|linkedin|youtube|tiktok|threads|bluesky|pinterest|social vid"&amp;"eo|reels?|shorts?""), ""Social Media"",
  REGEXMATCH(A891&amp;B891, ""(?i)hubspot|pipedrive|stripe|shopify|woocommerce|sales|crm|invoice|order|leads?|recruitment|bamboohr|erpnext""), ""CRM &amp; Sales"",
  REGEXMATCH(A891&amp;B891, ""(?i)gmail|outlook|calendar|slack|"&amp;"discord|telegram|whatsapp|notion|trello|drive|sheets?|meeting|scheduler|appointment|mattermost""), ""Productivity &amp; Communication"",
  REGEXMATCH(A891&amp;B891, ""(?i)github|api|webhook|http|mysql|supabase|mongodb|redis|rss|pr|code review|incident|pagerduty|j"&amp;"ira""), ""Development &amp; Utilities"",
  TRUE, ""Others""
)"),"Development &amp; Utilities")</f>
        <v>Development &amp; Utilities</v>
      </c>
    </row>
    <row r="892" ht="15.75" customHeight="1">
      <c r="A892" s="14" t="s">
        <v>1764</v>
      </c>
      <c r="B892" s="15" t="s">
        <v>1765</v>
      </c>
      <c r="C892" s="16" t="s">
        <v>7</v>
      </c>
      <c r="D892" s="12" t="str">
        <f>IFERROR(__xludf.DUMMYFUNCTION("IFS(
  REGEXMATCH(A892&amp;B892, ""(?i)openai|gpt|gemini|anthropic|claude|mistral|cohere|rag|vector|llm|chatbot|ai-powered""), ""AI &amp; LLM"",
  REGEXMATCH(A892&amp;B892, ""(?i)twitter|instagram|facebook|linkedin|youtube|tiktok|threads|bluesky|pinterest|social vid"&amp;"eo|reels?|shorts?""), ""Social Media"",
  REGEXMATCH(A892&amp;B892, ""(?i)hubspot|pipedrive|stripe|shopify|woocommerce|sales|crm|invoice|order|leads?|recruitment|bamboohr|erpnext""), ""CRM &amp; Sales"",
  REGEXMATCH(A892&amp;B892, ""(?i)gmail|outlook|calendar|slack|"&amp;"discord|telegram|whatsapp|notion|trello|drive|sheets?|meeting|scheduler|appointment|mattermost""), ""Productivity &amp; Communication"",
  REGEXMATCH(A892&amp;B892, ""(?i)github|api|webhook|http|mysql|supabase|mongodb|redis|rss|pr|code review|incident|pagerduty|j"&amp;"ira""), ""Development &amp; Utilities"",
  TRUE, ""Others""
)"),"AI &amp; LLM")</f>
        <v>AI &amp; LLM</v>
      </c>
    </row>
    <row r="893" ht="15.75" customHeight="1">
      <c r="A893" s="14" t="s">
        <v>1766</v>
      </c>
      <c r="B893" s="15" t="s">
        <v>1767</v>
      </c>
      <c r="C893" s="16" t="s">
        <v>7</v>
      </c>
      <c r="D893" s="12" t="str">
        <f>IFERROR(__xludf.DUMMYFUNCTION("IFS(
  REGEXMATCH(A893&amp;B893, ""(?i)openai|gpt|gemini|anthropic|claude|mistral|cohere|rag|vector|llm|chatbot|ai-powered""), ""AI &amp; LLM"",
  REGEXMATCH(A893&amp;B893, ""(?i)twitter|instagram|facebook|linkedin|youtube|tiktok|threads|bluesky|pinterest|social vid"&amp;"eo|reels?|shorts?""), ""Social Media"",
  REGEXMATCH(A893&amp;B893, ""(?i)hubspot|pipedrive|stripe|shopify|woocommerce|sales|crm|invoice|order|leads?|recruitment|bamboohr|erpnext""), ""CRM &amp; Sales"",
  REGEXMATCH(A893&amp;B893, ""(?i)gmail|outlook|calendar|slack|"&amp;"discord|telegram|whatsapp|notion|trello|drive|sheets?|meeting|scheduler|appointment|mattermost""), ""Productivity &amp; Communication"",
  REGEXMATCH(A893&amp;B893, ""(?i)github|api|webhook|http|mysql|supabase|mongodb|redis|rss|pr|code review|incident|pagerduty|j"&amp;"ira""), ""Development &amp; Utilities"",
  TRUE, ""Others""
)"),"AI &amp; LLM")</f>
        <v>AI &amp; LLM</v>
      </c>
    </row>
    <row r="894" ht="15.75" customHeight="1">
      <c r="A894" s="14" t="s">
        <v>1768</v>
      </c>
      <c r="B894" s="15" t="s">
        <v>1769</v>
      </c>
      <c r="C894" s="16" t="s">
        <v>7</v>
      </c>
      <c r="D894" s="12" t="str">
        <f>IFERROR(__xludf.DUMMYFUNCTION("IFS(
  REGEXMATCH(A894&amp;B894, ""(?i)openai|gpt|gemini|anthropic|claude|mistral|cohere|rag|vector|llm|chatbot|ai-powered""), ""AI &amp; LLM"",
  REGEXMATCH(A894&amp;B894, ""(?i)twitter|instagram|facebook|linkedin|youtube|tiktok|threads|bluesky|pinterest|social vid"&amp;"eo|reels?|shorts?""), ""Social Media"",
  REGEXMATCH(A894&amp;B894, ""(?i)hubspot|pipedrive|stripe|shopify|woocommerce|sales|crm|invoice|order|leads?|recruitment|bamboohr|erpnext""), ""CRM &amp; Sales"",
  REGEXMATCH(A894&amp;B894, ""(?i)gmail|outlook|calendar|slack|"&amp;"discord|telegram|whatsapp|notion|trello|drive|sheets?|meeting|scheduler|appointment|mattermost""), ""Productivity &amp; Communication"",
  REGEXMATCH(A894&amp;B894, ""(?i)github|api|webhook|http|mysql|supabase|mongodb|redis|rss|pr|code review|incident|pagerduty|j"&amp;"ira""), ""Development &amp; Utilities"",
  TRUE, ""Others""
)"),"Productivity &amp; Communication")</f>
        <v>Productivity &amp; Communication</v>
      </c>
    </row>
    <row r="895" ht="15.75" customHeight="1">
      <c r="A895" s="14" t="s">
        <v>1770</v>
      </c>
      <c r="B895" s="15" t="s">
        <v>1771</v>
      </c>
      <c r="C895" s="16" t="s">
        <v>7</v>
      </c>
      <c r="D895" s="12" t="str">
        <f>IFERROR(__xludf.DUMMYFUNCTION("IFS(
  REGEXMATCH(A895&amp;B895, ""(?i)openai|gpt|gemini|anthropic|claude|mistral|cohere|rag|vector|llm|chatbot|ai-powered""), ""AI &amp; LLM"",
  REGEXMATCH(A895&amp;B895, ""(?i)twitter|instagram|facebook|linkedin|youtube|tiktok|threads|bluesky|pinterest|social vid"&amp;"eo|reels?|shorts?""), ""Social Media"",
  REGEXMATCH(A895&amp;B895, ""(?i)hubspot|pipedrive|stripe|shopify|woocommerce|sales|crm|invoice|order|leads?|recruitment|bamboohr|erpnext""), ""CRM &amp; Sales"",
  REGEXMATCH(A895&amp;B895, ""(?i)gmail|outlook|calendar|slack|"&amp;"discord|telegram|whatsapp|notion|trello|drive|sheets?|meeting|scheduler|appointment|mattermost""), ""Productivity &amp; Communication"",
  REGEXMATCH(A895&amp;B895, ""(?i)github|api|webhook|http|mysql|supabase|mongodb|redis|rss|pr|code review|incident|pagerduty|j"&amp;"ira""), ""Development &amp; Utilities"",
  TRUE, ""Others""
)"),"AI &amp; LLM")</f>
        <v>AI &amp; LLM</v>
      </c>
    </row>
    <row r="896" ht="15.75" customHeight="1">
      <c r="A896" s="14" t="s">
        <v>1772</v>
      </c>
      <c r="B896" s="15" t="s">
        <v>1773</v>
      </c>
      <c r="C896" s="16" t="s">
        <v>7</v>
      </c>
      <c r="D896" s="12" t="str">
        <f>IFERROR(__xludf.DUMMYFUNCTION("IFS(
  REGEXMATCH(A896&amp;B896, ""(?i)openai|gpt|gemini|anthropic|claude|mistral|cohere|rag|vector|llm|chatbot|ai-powered""), ""AI &amp; LLM"",
  REGEXMATCH(A896&amp;B896, ""(?i)twitter|instagram|facebook|linkedin|youtube|tiktok|threads|bluesky|pinterest|social vid"&amp;"eo|reels?|shorts?""), ""Social Media"",
  REGEXMATCH(A896&amp;B896, ""(?i)hubspot|pipedrive|stripe|shopify|woocommerce|sales|crm|invoice|order|leads?|recruitment|bamboohr|erpnext""), ""CRM &amp; Sales"",
  REGEXMATCH(A896&amp;B896, ""(?i)gmail|outlook|calendar|slack|"&amp;"discord|telegram|whatsapp|notion|trello|drive|sheets?|meeting|scheduler|appointment|mattermost""), ""Productivity &amp; Communication"",
  REGEXMATCH(A896&amp;B896, ""(?i)github|api|webhook|http|mysql|supabase|mongodb|redis|rss|pr|code review|incident|pagerduty|j"&amp;"ira""), ""Development &amp; Utilities"",
  TRUE, ""Others""
)"),"AI &amp; LLM")</f>
        <v>AI &amp; LLM</v>
      </c>
    </row>
    <row r="897" ht="15.75" customHeight="1">
      <c r="A897" s="14" t="s">
        <v>1774</v>
      </c>
      <c r="B897" s="15" t="s">
        <v>1775</v>
      </c>
      <c r="C897" s="16" t="s">
        <v>7</v>
      </c>
      <c r="D897" s="12" t="str">
        <f>IFERROR(__xludf.DUMMYFUNCTION("IFS(
  REGEXMATCH(A897&amp;B897, ""(?i)openai|gpt|gemini|anthropic|claude|mistral|cohere|rag|vector|llm|chatbot|ai-powered""), ""AI &amp; LLM"",
  REGEXMATCH(A897&amp;B897, ""(?i)twitter|instagram|facebook|linkedin|youtube|tiktok|threads|bluesky|pinterest|social vid"&amp;"eo|reels?|shorts?""), ""Social Media"",
  REGEXMATCH(A897&amp;B897, ""(?i)hubspot|pipedrive|stripe|shopify|woocommerce|sales|crm|invoice|order|leads?|recruitment|bamboohr|erpnext""), ""CRM &amp; Sales"",
  REGEXMATCH(A897&amp;B897, ""(?i)gmail|outlook|calendar|slack|"&amp;"discord|telegram|whatsapp|notion|trello|drive|sheets?|meeting|scheduler|appointment|mattermost""), ""Productivity &amp; Communication"",
  REGEXMATCH(A897&amp;B897, ""(?i)github|api|webhook|http|mysql|supabase|mongodb|redis|rss|pr|code review|incident|pagerduty|j"&amp;"ira""), ""Development &amp; Utilities"",
  TRUE, ""Others""
)"),"AI &amp; LLM")</f>
        <v>AI &amp; LLM</v>
      </c>
    </row>
    <row r="898" ht="15.75" customHeight="1">
      <c r="A898" s="14" t="s">
        <v>1776</v>
      </c>
      <c r="B898" s="15" t="s">
        <v>1777</v>
      </c>
      <c r="C898" s="16" t="s">
        <v>7</v>
      </c>
      <c r="D898" s="12" t="str">
        <f>IFERROR(__xludf.DUMMYFUNCTION("IFS(
  REGEXMATCH(A898&amp;B898, ""(?i)openai|gpt|gemini|anthropic|claude|mistral|cohere|rag|vector|llm|chatbot|ai-powered""), ""AI &amp; LLM"",
  REGEXMATCH(A898&amp;B898, ""(?i)twitter|instagram|facebook|linkedin|youtube|tiktok|threads|bluesky|pinterest|social vid"&amp;"eo|reels?|shorts?""), ""Social Media"",
  REGEXMATCH(A898&amp;B898, ""(?i)hubspot|pipedrive|stripe|shopify|woocommerce|sales|crm|invoice|order|leads?|recruitment|bamboohr|erpnext""), ""CRM &amp; Sales"",
  REGEXMATCH(A898&amp;B898, ""(?i)gmail|outlook|calendar|slack|"&amp;"discord|telegram|whatsapp|notion|trello|drive|sheets?|meeting|scheduler|appointment|mattermost""), ""Productivity &amp; Communication"",
  REGEXMATCH(A898&amp;B898, ""(?i)github|api|webhook|http|mysql|supabase|mongodb|redis|rss|pr|code review|incident|pagerduty|j"&amp;"ira""), ""Development &amp; Utilities"",
  TRUE, ""Others""
)"),"AI &amp; LLM")</f>
        <v>AI &amp; LLM</v>
      </c>
    </row>
    <row r="899" ht="15.75" customHeight="1">
      <c r="A899" s="14" t="s">
        <v>1778</v>
      </c>
      <c r="B899" s="15" t="s">
        <v>1779</v>
      </c>
      <c r="C899" s="16" t="s">
        <v>7</v>
      </c>
      <c r="D899" s="12" t="str">
        <f>IFERROR(__xludf.DUMMYFUNCTION("IFS(
  REGEXMATCH(A899&amp;B899, ""(?i)openai|gpt|gemini|anthropic|claude|mistral|cohere|rag|vector|llm|chatbot|ai-powered""), ""AI &amp; LLM"",
  REGEXMATCH(A899&amp;B899, ""(?i)twitter|instagram|facebook|linkedin|youtube|tiktok|threads|bluesky|pinterest|social vid"&amp;"eo|reels?|shorts?""), ""Social Media"",
  REGEXMATCH(A899&amp;B899, ""(?i)hubspot|pipedrive|stripe|shopify|woocommerce|sales|crm|invoice|order|leads?|recruitment|bamboohr|erpnext""), ""CRM &amp; Sales"",
  REGEXMATCH(A899&amp;B899, ""(?i)gmail|outlook|calendar|slack|"&amp;"discord|telegram|whatsapp|notion|trello|drive|sheets?|meeting|scheduler|appointment|mattermost""), ""Productivity &amp; Communication"",
  REGEXMATCH(A899&amp;B899, ""(?i)github|api|webhook|http|mysql|supabase|mongodb|redis|rss|pr|code review|incident|pagerduty|j"&amp;"ira""), ""Development &amp; Utilities"",
  TRUE, ""Others""
)"),"AI &amp; LLM")</f>
        <v>AI &amp; LLM</v>
      </c>
    </row>
    <row r="900" ht="15.75" customHeight="1">
      <c r="A900" s="14" t="s">
        <v>1780</v>
      </c>
      <c r="B900" s="15" t="s">
        <v>1781</v>
      </c>
      <c r="C900" s="16" t="s">
        <v>7</v>
      </c>
      <c r="D900" s="12" t="str">
        <f>IFERROR(__xludf.DUMMYFUNCTION("IFS(
  REGEXMATCH(A900&amp;B900, ""(?i)openai|gpt|gemini|anthropic|claude|mistral|cohere|rag|vector|llm|chatbot|ai-powered""), ""AI &amp; LLM"",
  REGEXMATCH(A900&amp;B900, ""(?i)twitter|instagram|facebook|linkedin|youtube|tiktok|threads|bluesky|pinterest|social vid"&amp;"eo|reels?|shorts?""), ""Social Media"",
  REGEXMATCH(A900&amp;B900, ""(?i)hubspot|pipedrive|stripe|shopify|woocommerce|sales|crm|invoice|order|leads?|recruitment|bamboohr|erpnext""), ""CRM &amp; Sales"",
  REGEXMATCH(A900&amp;B900, ""(?i)gmail|outlook|calendar|slack|"&amp;"discord|telegram|whatsapp|notion|trello|drive|sheets?|meeting|scheduler|appointment|mattermost""), ""Productivity &amp; Communication"",
  REGEXMATCH(A900&amp;B900, ""(?i)github|api|webhook|http|mysql|supabase|mongodb|redis|rss|pr|code review|incident|pagerduty|j"&amp;"ira""), ""Development &amp; Utilities"",
  TRUE, ""Others""
)"),"AI &amp; LLM")</f>
        <v>AI &amp; LLM</v>
      </c>
    </row>
    <row r="901" ht="15.75" customHeight="1">
      <c r="A901" s="14" t="s">
        <v>1782</v>
      </c>
      <c r="B901" s="15" t="s">
        <v>1783</v>
      </c>
      <c r="C901" s="16" t="s">
        <v>7</v>
      </c>
      <c r="D901" s="12" t="str">
        <f>IFERROR(__xludf.DUMMYFUNCTION("IFS(
  REGEXMATCH(A901&amp;B901, ""(?i)openai|gpt|gemini|anthropic|claude|mistral|cohere|rag|vector|llm|chatbot|ai-powered""), ""AI &amp; LLM"",
  REGEXMATCH(A901&amp;B901, ""(?i)twitter|instagram|facebook|linkedin|youtube|tiktok|threads|bluesky|pinterest|social vid"&amp;"eo|reels?|shorts?""), ""Social Media"",
  REGEXMATCH(A901&amp;B901, ""(?i)hubspot|pipedrive|stripe|shopify|woocommerce|sales|crm|invoice|order|leads?|recruitment|bamboohr|erpnext""), ""CRM &amp; Sales"",
  REGEXMATCH(A901&amp;B901, ""(?i)gmail|outlook|calendar|slack|"&amp;"discord|telegram|whatsapp|notion|trello|drive|sheets?|meeting|scheduler|appointment|mattermost""), ""Productivity &amp; Communication"",
  REGEXMATCH(A901&amp;B901, ""(?i)github|api|webhook|http|mysql|supabase|mongodb|redis|rss|pr|code review|incident|pagerduty|j"&amp;"ira""), ""Development &amp; Utilities"",
  TRUE, ""Others""
)"),"AI &amp; LLM")</f>
        <v>AI &amp; LLM</v>
      </c>
    </row>
    <row r="902" ht="15.75" customHeight="1">
      <c r="A902" s="14" t="s">
        <v>1784</v>
      </c>
      <c r="B902" s="15" t="s">
        <v>1785</v>
      </c>
      <c r="C902" s="16" t="s">
        <v>7</v>
      </c>
      <c r="D902" s="12" t="str">
        <f>IFERROR(__xludf.DUMMYFUNCTION("IFS(
  REGEXMATCH(A902&amp;B902, ""(?i)openai|gpt|gemini|anthropic|claude|mistral|cohere|rag|vector|llm|chatbot|ai-powered""), ""AI &amp; LLM"",
  REGEXMATCH(A902&amp;B902, ""(?i)twitter|instagram|facebook|linkedin|youtube|tiktok|threads|bluesky|pinterest|social vid"&amp;"eo|reels?|shorts?""), ""Social Media"",
  REGEXMATCH(A902&amp;B902, ""(?i)hubspot|pipedrive|stripe|shopify|woocommerce|sales|crm|invoice|order|leads?|recruitment|bamboohr|erpnext""), ""CRM &amp; Sales"",
  REGEXMATCH(A902&amp;B902, ""(?i)gmail|outlook|calendar|slack|"&amp;"discord|telegram|whatsapp|notion|trello|drive|sheets?|meeting|scheduler|appointment|mattermost""), ""Productivity &amp; Communication"",
  REGEXMATCH(A902&amp;B902, ""(?i)github|api|webhook|http|mysql|supabase|mongodb|redis|rss|pr|code review|incident|pagerduty|j"&amp;"ira""), ""Development &amp; Utilities"",
  TRUE, ""Others""
)"),"AI &amp; LLM")</f>
        <v>AI &amp; LLM</v>
      </c>
    </row>
    <row r="903" ht="15.75" customHeight="1">
      <c r="A903" s="14" t="s">
        <v>1786</v>
      </c>
      <c r="B903" s="15" t="s">
        <v>1787</v>
      </c>
      <c r="C903" s="16" t="s">
        <v>7</v>
      </c>
      <c r="D903" s="12" t="str">
        <f>IFERROR(__xludf.DUMMYFUNCTION("IFS(
  REGEXMATCH(A903&amp;B903, ""(?i)openai|gpt|gemini|anthropic|claude|mistral|cohere|rag|vector|llm|chatbot|ai-powered""), ""AI &amp; LLM"",
  REGEXMATCH(A903&amp;B903, ""(?i)twitter|instagram|facebook|linkedin|youtube|tiktok|threads|bluesky|pinterest|social vid"&amp;"eo|reels?|shorts?""), ""Social Media"",
  REGEXMATCH(A903&amp;B903, ""(?i)hubspot|pipedrive|stripe|shopify|woocommerce|sales|crm|invoice|order|leads?|recruitment|bamboohr|erpnext""), ""CRM &amp; Sales"",
  REGEXMATCH(A903&amp;B903, ""(?i)gmail|outlook|calendar|slack|"&amp;"discord|telegram|whatsapp|notion|trello|drive|sheets?|meeting|scheduler|appointment|mattermost""), ""Productivity &amp; Communication"",
  REGEXMATCH(A903&amp;B903, ""(?i)github|api|webhook|http|mysql|supabase|mongodb|redis|rss|pr|code review|incident|pagerduty|j"&amp;"ira""), ""Development &amp; Utilities"",
  TRUE, ""Others""
)"),"AI &amp; LLM")</f>
        <v>AI &amp; LLM</v>
      </c>
    </row>
    <row r="904" ht="15.75" customHeight="1">
      <c r="A904" s="14" t="s">
        <v>1788</v>
      </c>
      <c r="B904" s="15" t="s">
        <v>1789</v>
      </c>
      <c r="C904" s="16" t="s">
        <v>7</v>
      </c>
      <c r="D904" s="12" t="str">
        <f>IFERROR(__xludf.DUMMYFUNCTION("IFS(
  REGEXMATCH(A904&amp;B904, ""(?i)openai|gpt|gemini|anthropic|claude|mistral|cohere|rag|vector|llm|chatbot|ai-powered""), ""AI &amp; LLM"",
  REGEXMATCH(A904&amp;B904, ""(?i)twitter|instagram|facebook|linkedin|youtube|tiktok|threads|bluesky|pinterest|social vid"&amp;"eo|reels?|shorts?""), ""Social Media"",
  REGEXMATCH(A904&amp;B904, ""(?i)hubspot|pipedrive|stripe|shopify|woocommerce|sales|crm|invoice|order|leads?|recruitment|bamboohr|erpnext""), ""CRM &amp; Sales"",
  REGEXMATCH(A904&amp;B904, ""(?i)gmail|outlook|calendar|slack|"&amp;"discord|telegram|whatsapp|notion|trello|drive|sheets?|meeting|scheduler|appointment|mattermost""), ""Productivity &amp; Communication"",
  REGEXMATCH(A904&amp;B904, ""(?i)github|api|webhook|http|mysql|supabase|mongodb|redis|rss|pr|code review|incident|pagerduty|j"&amp;"ira""), ""Development &amp; Utilities"",
  TRUE, ""Others""
)"),"AI &amp; LLM")</f>
        <v>AI &amp; LLM</v>
      </c>
    </row>
    <row r="905" ht="15.75" customHeight="1">
      <c r="A905" s="14" t="s">
        <v>1790</v>
      </c>
      <c r="B905" s="15" t="s">
        <v>1791</v>
      </c>
      <c r="C905" s="16" t="s">
        <v>7</v>
      </c>
      <c r="D905" s="12" t="str">
        <f>IFERROR(__xludf.DUMMYFUNCTION("IFS(
  REGEXMATCH(A905&amp;B905, ""(?i)openai|gpt|gemini|anthropic|claude|mistral|cohere|rag|vector|llm|chatbot|ai-powered""), ""AI &amp; LLM"",
  REGEXMATCH(A905&amp;B905, ""(?i)twitter|instagram|facebook|linkedin|youtube|tiktok|threads|bluesky|pinterest|social vid"&amp;"eo|reels?|shorts?""), ""Social Media"",
  REGEXMATCH(A905&amp;B905, ""(?i)hubspot|pipedrive|stripe|shopify|woocommerce|sales|crm|invoice|order|leads?|recruitment|bamboohr|erpnext""), ""CRM &amp; Sales"",
  REGEXMATCH(A905&amp;B905, ""(?i)gmail|outlook|calendar|slack|"&amp;"discord|telegram|whatsapp|notion|trello|drive|sheets?|meeting|scheduler|appointment|mattermost""), ""Productivity &amp; Communication"",
  REGEXMATCH(A905&amp;B905, ""(?i)github|api|webhook|http|mysql|supabase|mongodb|redis|rss|pr|code review|incident|pagerduty|j"&amp;"ira""), ""Development &amp; Utilities"",
  TRUE, ""Others""
)"),"AI &amp; LLM")</f>
        <v>AI &amp; LLM</v>
      </c>
    </row>
    <row r="906" ht="15.75" customHeight="1">
      <c r="A906" s="14" t="s">
        <v>1792</v>
      </c>
      <c r="B906" s="15" t="s">
        <v>1793</v>
      </c>
      <c r="C906" s="16" t="s">
        <v>7</v>
      </c>
      <c r="D906" s="12" t="str">
        <f>IFERROR(__xludf.DUMMYFUNCTION("IFS(
  REGEXMATCH(A906&amp;B906, ""(?i)openai|gpt|gemini|anthropic|claude|mistral|cohere|rag|vector|llm|chatbot|ai-powered""), ""AI &amp; LLM"",
  REGEXMATCH(A906&amp;B906, ""(?i)twitter|instagram|facebook|linkedin|youtube|tiktok|threads|bluesky|pinterest|social vid"&amp;"eo|reels?|shorts?""), ""Social Media"",
  REGEXMATCH(A906&amp;B906, ""(?i)hubspot|pipedrive|stripe|shopify|woocommerce|sales|crm|invoice|order|leads?|recruitment|bamboohr|erpnext""), ""CRM &amp; Sales"",
  REGEXMATCH(A906&amp;B906, ""(?i)gmail|outlook|calendar|slack|"&amp;"discord|telegram|whatsapp|notion|trello|drive|sheets?|meeting|scheduler|appointment|mattermost""), ""Productivity &amp; Communication"",
  REGEXMATCH(A906&amp;B906, ""(?i)github|api|webhook|http|mysql|supabase|mongodb|redis|rss|pr|code review|incident|pagerduty|j"&amp;"ira""), ""Development &amp; Utilities"",
  TRUE, ""Others""
)"),"Development &amp; Utilities")</f>
        <v>Development &amp; Utilities</v>
      </c>
    </row>
    <row r="907" ht="15.75" customHeight="1">
      <c r="A907" s="14" t="s">
        <v>1794</v>
      </c>
      <c r="B907" s="15" t="s">
        <v>1795</v>
      </c>
      <c r="C907" s="16" t="s">
        <v>7</v>
      </c>
      <c r="D907" s="12" t="str">
        <f>IFERROR(__xludf.DUMMYFUNCTION("IFS(
  REGEXMATCH(A907&amp;B907, ""(?i)openai|gpt|gemini|anthropic|claude|mistral|cohere|rag|vector|llm|chatbot|ai-powered""), ""AI &amp; LLM"",
  REGEXMATCH(A907&amp;B907, ""(?i)twitter|instagram|facebook|linkedin|youtube|tiktok|threads|bluesky|pinterest|social vid"&amp;"eo|reels?|shorts?""), ""Social Media"",
  REGEXMATCH(A907&amp;B907, ""(?i)hubspot|pipedrive|stripe|shopify|woocommerce|sales|crm|invoice|order|leads?|recruitment|bamboohr|erpnext""), ""CRM &amp; Sales"",
  REGEXMATCH(A907&amp;B907, ""(?i)gmail|outlook|calendar|slack|"&amp;"discord|telegram|whatsapp|notion|trello|drive|sheets?|meeting|scheduler|appointment|mattermost""), ""Productivity &amp; Communication"",
  REGEXMATCH(A907&amp;B907, ""(?i)github|api|webhook|http|mysql|supabase|mongodb|redis|rss|pr|code review|incident|pagerduty|j"&amp;"ira""), ""Development &amp; Utilities"",
  TRUE, ""Others""
)"),"Productivity &amp; Communication")</f>
        <v>Productivity &amp; Communication</v>
      </c>
    </row>
    <row r="908" ht="15.75" customHeight="1">
      <c r="A908" s="14" t="s">
        <v>1796</v>
      </c>
      <c r="B908" s="15" t="s">
        <v>1797</v>
      </c>
      <c r="C908" s="16" t="s">
        <v>7</v>
      </c>
      <c r="D908" s="12" t="str">
        <f>IFERROR(__xludf.DUMMYFUNCTION("IFS(
  REGEXMATCH(A908&amp;B908, ""(?i)openai|gpt|gemini|anthropic|claude|mistral|cohere|rag|vector|llm|chatbot|ai-powered""), ""AI &amp; LLM"",
  REGEXMATCH(A908&amp;B908, ""(?i)twitter|instagram|facebook|linkedin|youtube|tiktok|threads|bluesky|pinterest|social vid"&amp;"eo|reels?|shorts?""), ""Social Media"",
  REGEXMATCH(A908&amp;B908, ""(?i)hubspot|pipedrive|stripe|shopify|woocommerce|sales|crm|invoice|order|leads?|recruitment|bamboohr|erpnext""), ""CRM &amp; Sales"",
  REGEXMATCH(A908&amp;B908, ""(?i)gmail|outlook|calendar|slack|"&amp;"discord|telegram|whatsapp|notion|trello|drive|sheets?|meeting|scheduler|appointment|mattermost""), ""Productivity &amp; Communication"",
  REGEXMATCH(A908&amp;B908, ""(?i)github|api|webhook|http|mysql|supabase|mongodb|redis|rss|pr|code review|incident|pagerduty|j"&amp;"ira""), ""Development &amp; Utilities"",
  TRUE, ""Others""
)"),"Development &amp; Utilities")</f>
        <v>Development &amp; Utilities</v>
      </c>
    </row>
    <row r="909" ht="15.75" customHeight="1">
      <c r="A909" s="14" t="s">
        <v>1798</v>
      </c>
      <c r="B909" s="15" t="s">
        <v>1799</v>
      </c>
      <c r="C909" s="16" t="s">
        <v>7</v>
      </c>
      <c r="D909" s="12" t="str">
        <f>IFERROR(__xludf.DUMMYFUNCTION("IFS(
  REGEXMATCH(A909&amp;B909, ""(?i)openai|gpt|gemini|anthropic|claude|mistral|cohere|rag|vector|llm|chatbot|ai-powered""), ""AI &amp; LLM"",
  REGEXMATCH(A909&amp;B909, ""(?i)twitter|instagram|facebook|linkedin|youtube|tiktok|threads|bluesky|pinterest|social vid"&amp;"eo|reels?|shorts?""), ""Social Media"",
  REGEXMATCH(A909&amp;B909, ""(?i)hubspot|pipedrive|stripe|shopify|woocommerce|sales|crm|invoice|order|leads?|recruitment|bamboohr|erpnext""), ""CRM &amp; Sales"",
  REGEXMATCH(A909&amp;B909, ""(?i)gmail|outlook|calendar|slack|"&amp;"discord|telegram|whatsapp|notion|trello|drive|sheets?|meeting|scheduler|appointment|mattermost""), ""Productivity &amp; Communication"",
  REGEXMATCH(A909&amp;B909, ""(?i)github|api|webhook|http|mysql|supabase|mongodb|redis|rss|pr|code review|incident|pagerduty|j"&amp;"ira""), ""Development &amp; Utilities"",
  TRUE, ""Others""
)"),"Development &amp; Utilities")</f>
        <v>Development &amp; Utilities</v>
      </c>
    </row>
    <row r="910" ht="15.75" customHeight="1">
      <c r="A910" s="14" t="s">
        <v>1800</v>
      </c>
      <c r="B910" s="15" t="s">
        <v>1801</v>
      </c>
      <c r="C910" s="16" t="s">
        <v>7</v>
      </c>
      <c r="D910" s="12" t="str">
        <f>IFERROR(__xludf.DUMMYFUNCTION("IFS(
  REGEXMATCH(A910&amp;B910, ""(?i)openai|gpt|gemini|anthropic|claude|mistral|cohere|rag|vector|llm|chatbot|ai-powered""), ""AI &amp; LLM"",
  REGEXMATCH(A910&amp;B910, ""(?i)twitter|instagram|facebook|linkedin|youtube|tiktok|threads|bluesky|pinterest|social vid"&amp;"eo|reels?|shorts?""), ""Social Media"",
  REGEXMATCH(A910&amp;B910, ""(?i)hubspot|pipedrive|stripe|shopify|woocommerce|sales|crm|invoice|order|leads?|recruitment|bamboohr|erpnext""), ""CRM &amp; Sales"",
  REGEXMATCH(A910&amp;B910, ""(?i)gmail|outlook|calendar|slack|"&amp;"discord|telegram|whatsapp|notion|trello|drive|sheets?|meeting|scheduler|appointment|mattermost""), ""Productivity &amp; Communication"",
  REGEXMATCH(A910&amp;B910, ""(?i)github|api|webhook|http|mysql|supabase|mongodb|redis|rss|pr|code review|incident|pagerduty|j"&amp;"ira""), ""Development &amp; Utilities"",
  TRUE, ""Others""
)"),"Productivity &amp; Communication")</f>
        <v>Productivity &amp; Communication</v>
      </c>
    </row>
    <row r="911" ht="15.75" customHeight="1">
      <c r="A911" s="14" t="s">
        <v>1802</v>
      </c>
      <c r="B911" s="15" t="s">
        <v>1803</v>
      </c>
      <c r="C911" s="16" t="s">
        <v>7</v>
      </c>
      <c r="D911" s="12" t="str">
        <f>IFERROR(__xludf.DUMMYFUNCTION("IFS(
  REGEXMATCH(A911&amp;B911, ""(?i)openai|gpt|gemini|anthropic|claude|mistral|cohere|rag|vector|llm|chatbot|ai-powered""), ""AI &amp; LLM"",
  REGEXMATCH(A911&amp;B911, ""(?i)twitter|instagram|facebook|linkedin|youtube|tiktok|threads|bluesky|pinterest|social vid"&amp;"eo|reels?|shorts?""), ""Social Media"",
  REGEXMATCH(A911&amp;B911, ""(?i)hubspot|pipedrive|stripe|shopify|woocommerce|sales|crm|invoice|order|leads?|recruitment|bamboohr|erpnext""), ""CRM &amp; Sales"",
  REGEXMATCH(A911&amp;B911, ""(?i)gmail|outlook|calendar|slack|"&amp;"discord|telegram|whatsapp|notion|trello|drive|sheets?|meeting|scheduler|appointment|mattermost""), ""Productivity &amp; Communication"",
  REGEXMATCH(A911&amp;B911, ""(?i)github|api|webhook|http|mysql|supabase|mongodb|redis|rss|pr|code review|incident|pagerduty|j"&amp;"ira""), ""Development &amp; Utilities"",
  TRUE, ""Others""
)"),"Productivity &amp; Communication")</f>
        <v>Productivity &amp; Communication</v>
      </c>
    </row>
    <row r="912" ht="15.75" customHeight="1">
      <c r="A912" s="14" t="s">
        <v>1804</v>
      </c>
      <c r="B912" s="15" t="s">
        <v>1805</v>
      </c>
      <c r="C912" s="16" t="s">
        <v>7</v>
      </c>
      <c r="D912" s="12" t="str">
        <f>IFERROR(__xludf.DUMMYFUNCTION("IFS(
  REGEXMATCH(A912&amp;B912, ""(?i)openai|gpt|gemini|anthropic|claude|mistral|cohere|rag|vector|llm|chatbot|ai-powered""), ""AI &amp; LLM"",
  REGEXMATCH(A912&amp;B912, ""(?i)twitter|instagram|facebook|linkedin|youtube|tiktok|threads|bluesky|pinterest|social vid"&amp;"eo|reels?|shorts?""), ""Social Media"",
  REGEXMATCH(A912&amp;B912, ""(?i)hubspot|pipedrive|stripe|shopify|woocommerce|sales|crm|invoice|order|leads?|recruitment|bamboohr|erpnext""), ""CRM &amp; Sales"",
  REGEXMATCH(A912&amp;B912, ""(?i)gmail|outlook|calendar|slack|"&amp;"discord|telegram|whatsapp|notion|trello|drive|sheets?|meeting|scheduler|appointment|mattermost""), ""Productivity &amp; Communication"",
  REGEXMATCH(A912&amp;B912, ""(?i)github|api|webhook|http|mysql|supabase|mongodb|redis|rss|pr|code review|incident|pagerduty|j"&amp;"ira""), ""Development &amp; Utilities"",
  TRUE, ""Others""
)"),"Development &amp; Utilities")</f>
        <v>Development &amp; Utilities</v>
      </c>
    </row>
    <row r="913" ht="15.75" customHeight="1">
      <c r="A913" s="14" t="s">
        <v>1806</v>
      </c>
      <c r="B913" s="15" t="s">
        <v>1807</v>
      </c>
      <c r="C913" s="16" t="s">
        <v>7</v>
      </c>
      <c r="D913" s="12" t="str">
        <f>IFERROR(__xludf.DUMMYFUNCTION("IFS(
  REGEXMATCH(A913&amp;B913, ""(?i)openai|gpt|gemini|anthropic|claude|mistral|cohere|rag|vector|llm|chatbot|ai-powered""), ""AI &amp; LLM"",
  REGEXMATCH(A913&amp;B913, ""(?i)twitter|instagram|facebook|linkedin|youtube|tiktok|threads|bluesky|pinterest|social vid"&amp;"eo|reels?|shorts?""), ""Social Media"",
  REGEXMATCH(A913&amp;B913, ""(?i)hubspot|pipedrive|stripe|shopify|woocommerce|sales|crm|invoice|order|leads?|recruitment|bamboohr|erpnext""), ""CRM &amp; Sales"",
  REGEXMATCH(A913&amp;B913, ""(?i)gmail|outlook|calendar|slack|"&amp;"discord|telegram|whatsapp|notion|trello|drive|sheets?|meeting|scheduler|appointment|mattermost""), ""Productivity &amp; Communication"",
  REGEXMATCH(A913&amp;B913, ""(?i)github|api|webhook|http|mysql|supabase|mongodb|redis|rss|pr|code review|incident|pagerduty|j"&amp;"ira""), ""Development &amp; Utilities"",
  TRUE, ""Others""
)"),"CRM &amp; Sales")</f>
        <v>CRM &amp; Sales</v>
      </c>
    </row>
    <row r="914" ht="15.75" customHeight="1">
      <c r="A914" s="14" t="s">
        <v>1808</v>
      </c>
      <c r="B914" s="15" t="s">
        <v>1809</v>
      </c>
      <c r="C914" s="16" t="s">
        <v>7</v>
      </c>
      <c r="D914" s="12" t="str">
        <f>IFERROR(__xludf.DUMMYFUNCTION("IFS(
  REGEXMATCH(A914&amp;B914, ""(?i)openai|gpt|gemini|anthropic|claude|mistral|cohere|rag|vector|llm|chatbot|ai-powered""), ""AI &amp; LLM"",
  REGEXMATCH(A914&amp;B914, ""(?i)twitter|instagram|facebook|linkedin|youtube|tiktok|threads|bluesky|pinterest|social vid"&amp;"eo|reels?|shorts?""), ""Social Media"",
  REGEXMATCH(A914&amp;B914, ""(?i)hubspot|pipedrive|stripe|shopify|woocommerce|sales|crm|invoice|order|leads?|recruitment|bamboohr|erpnext""), ""CRM &amp; Sales"",
  REGEXMATCH(A914&amp;B914, ""(?i)gmail|outlook|calendar|slack|"&amp;"discord|telegram|whatsapp|notion|trello|drive|sheets?|meeting|scheduler|appointment|mattermost""), ""Productivity &amp; Communication"",
  REGEXMATCH(A914&amp;B914, ""(?i)github|api|webhook|http|mysql|supabase|mongodb|redis|rss|pr|code review|incident|pagerduty|j"&amp;"ira""), ""Development &amp; Utilities"",
  TRUE, ""Others""
)"),"AI &amp; LLM")</f>
        <v>AI &amp; LLM</v>
      </c>
    </row>
    <row r="915" ht="15.75" customHeight="1">
      <c r="A915" s="14" t="s">
        <v>1810</v>
      </c>
      <c r="B915" s="15" t="s">
        <v>1811</v>
      </c>
      <c r="C915" s="16" t="s">
        <v>7</v>
      </c>
      <c r="D915" s="12" t="str">
        <f>IFERROR(__xludf.DUMMYFUNCTION("IFS(
  REGEXMATCH(A915&amp;B915, ""(?i)openai|gpt|gemini|anthropic|claude|mistral|cohere|rag|vector|llm|chatbot|ai-powered""), ""AI &amp; LLM"",
  REGEXMATCH(A915&amp;B915, ""(?i)twitter|instagram|facebook|linkedin|youtube|tiktok|threads|bluesky|pinterest|social vid"&amp;"eo|reels?|shorts?""), ""Social Media"",
  REGEXMATCH(A915&amp;B915, ""(?i)hubspot|pipedrive|stripe|shopify|woocommerce|sales|crm|invoice|order|leads?|recruitment|bamboohr|erpnext""), ""CRM &amp; Sales"",
  REGEXMATCH(A915&amp;B915, ""(?i)gmail|outlook|calendar|slack|"&amp;"discord|telegram|whatsapp|notion|trello|drive|sheets?|meeting|scheduler|appointment|mattermost""), ""Productivity &amp; Communication"",
  REGEXMATCH(A915&amp;B915, ""(?i)github|api|webhook|http|mysql|supabase|mongodb|redis|rss|pr|code review|incident|pagerduty|j"&amp;"ira""), ""Development &amp; Utilities"",
  TRUE, ""Others""
)"),"Productivity &amp; Communication")</f>
        <v>Productivity &amp; Communication</v>
      </c>
    </row>
    <row r="916" ht="15.75" customHeight="1">
      <c r="A916" s="14" t="s">
        <v>1812</v>
      </c>
      <c r="B916" s="15" t="s">
        <v>1813</v>
      </c>
      <c r="C916" s="16" t="s">
        <v>7</v>
      </c>
      <c r="D916" s="12" t="str">
        <f>IFERROR(__xludf.DUMMYFUNCTION("IFS(
  REGEXMATCH(A916&amp;B916, ""(?i)openai|gpt|gemini|anthropic|claude|mistral|cohere|rag|vector|llm|chatbot|ai-powered""), ""AI &amp; LLM"",
  REGEXMATCH(A916&amp;B916, ""(?i)twitter|instagram|facebook|linkedin|youtube|tiktok|threads|bluesky|pinterest|social vid"&amp;"eo|reels?|shorts?""), ""Social Media"",
  REGEXMATCH(A916&amp;B916, ""(?i)hubspot|pipedrive|stripe|shopify|woocommerce|sales|crm|invoice|order|leads?|recruitment|bamboohr|erpnext""), ""CRM &amp; Sales"",
  REGEXMATCH(A916&amp;B916, ""(?i)gmail|outlook|calendar|slack|"&amp;"discord|telegram|whatsapp|notion|trello|drive|sheets?|meeting|scheduler|appointment|mattermost""), ""Productivity &amp; Communication"",
  REGEXMATCH(A916&amp;B916, ""(?i)github|api|webhook|http|mysql|supabase|mongodb|redis|rss|pr|code review|incident|pagerduty|j"&amp;"ira""), ""Development &amp; Utilities"",
  TRUE, ""Others""
)"),"AI &amp; LLM")</f>
        <v>AI &amp; LLM</v>
      </c>
    </row>
    <row r="917" ht="15.75" customHeight="1">
      <c r="A917" s="14" t="s">
        <v>1814</v>
      </c>
      <c r="B917" s="15" t="s">
        <v>1815</v>
      </c>
      <c r="C917" s="16" t="s">
        <v>7</v>
      </c>
      <c r="D917" s="12" t="str">
        <f>IFERROR(__xludf.DUMMYFUNCTION("IFS(
  REGEXMATCH(A917&amp;B917, ""(?i)openai|gpt|gemini|anthropic|claude|mistral|cohere|rag|vector|llm|chatbot|ai-powered""), ""AI &amp; LLM"",
  REGEXMATCH(A917&amp;B917, ""(?i)twitter|instagram|facebook|linkedin|youtube|tiktok|threads|bluesky|pinterest|social vid"&amp;"eo|reels?|shorts?""), ""Social Media"",
  REGEXMATCH(A917&amp;B917, ""(?i)hubspot|pipedrive|stripe|shopify|woocommerce|sales|crm|invoice|order|leads?|recruitment|bamboohr|erpnext""), ""CRM &amp; Sales"",
  REGEXMATCH(A917&amp;B917, ""(?i)gmail|outlook|calendar|slack|"&amp;"discord|telegram|whatsapp|notion|trello|drive|sheets?|meeting|scheduler|appointment|mattermost""), ""Productivity &amp; Communication"",
  REGEXMATCH(A917&amp;B917, ""(?i)github|api|webhook|http|mysql|supabase|mongodb|redis|rss|pr|code review|incident|pagerduty|j"&amp;"ira""), ""Development &amp; Utilities"",
  TRUE, ""Others""
)"),"AI &amp; LLM")</f>
        <v>AI &amp; LLM</v>
      </c>
    </row>
    <row r="918" ht="15.75" customHeight="1">
      <c r="A918" s="14" t="s">
        <v>1816</v>
      </c>
      <c r="B918" s="15" t="s">
        <v>1817</v>
      </c>
      <c r="C918" s="16" t="s">
        <v>7</v>
      </c>
      <c r="D918" s="12" t="str">
        <f>IFERROR(__xludf.DUMMYFUNCTION("IFS(
  REGEXMATCH(A918&amp;B918, ""(?i)openai|gpt|gemini|anthropic|claude|mistral|cohere|rag|vector|llm|chatbot|ai-powered""), ""AI &amp; LLM"",
  REGEXMATCH(A918&amp;B918, ""(?i)twitter|instagram|facebook|linkedin|youtube|tiktok|threads|bluesky|pinterest|social vid"&amp;"eo|reels?|shorts?""), ""Social Media"",
  REGEXMATCH(A918&amp;B918, ""(?i)hubspot|pipedrive|stripe|shopify|woocommerce|sales|crm|invoice|order|leads?|recruitment|bamboohr|erpnext""), ""CRM &amp; Sales"",
  REGEXMATCH(A918&amp;B918, ""(?i)gmail|outlook|calendar|slack|"&amp;"discord|telegram|whatsapp|notion|trello|drive|sheets?|meeting|scheduler|appointment|mattermost""), ""Productivity &amp; Communication"",
  REGEXMATCH(A918&amp;B918, ""(?i)github|api|webhook|http|mysql|supabase|mongodb|redis|rss|pr|code review|incident|pagerduty|j"&amp;"ira""), ""Development &amp; Utilities"",
  TRUE, ""Others""
)"),"CRM &amp; Sales")</f>
        <v>CRM &amp; Sales</v>
      </c>
    </row>
    <row r="919" ht="15.75" customHeight="1">
      <c r="A919" s="14" t="s">
        <v>1818</v>
      </c>
      <c r="B919" s="15" t="s">
        <v>1819</v>
      </c>
      <c r="C919" s="16" t="s">
        <v>7</v>
      </c>
      <c r="D919" s="12" t="str">
        <f>IFERROR(__xludf.DUMMYFUNCTION("IFS(
  REGEXMATCH(A919&amp;B919, ""(?i)openai|gpt|gemini|anthropic|claude|mistral|cohere|rag|vector|llm|chatbot|ai-powered""), ""AI &amp; LLM"",
  REGEXMATCH(A919&amp;B919, ""(?i)twitter|instagram|facebook|linkedin|youtube|tiktok|threads|bluesky|pinterest|social vid"&amp;"eo|reels?|shorts?""), ""Social Media"",
  REGEXMATCH(A919&amp;B919, ""(?i)hubspot|pipedrive|stripe|shopify|woocommerce|sales|crm|invoice|order|leads?|recruitment|bamboohr|erpnext""), ""CRM &amp; Sales"",
  REGEXMATCH(A919&amp;B919, ""(?i)gmail|outlook|calendar|slack|"&amp;"discord|telegram|whatsapp|notion|trello|drive|sheets?|meeting|scheduler|appointment|mattermost""), ""Productivity &amp; Communication"",
  REGEXMATCH(A919&amp;B919, ""(?i)github|api|webhook|http|mysql|supabase|mongodb|redis|rss|pr|code review|incident|pagerduty|j"&amp;"ira""), ""Development &amp; Utilities"",
  TRUE, ""Others""
)"),"AI &amp; LLM")</f>
        <v>AI &amp; LLM</v>
      </c>
    </row>
    <row r="920" ht="15.75" customHeight="1">
      <c r="A920" s="14" t="s">
        <v>1820</v>
      </c>
      <c r="B920" s="15" t="s">
        <v>1821</v>
      </c>
      <c r="C920" s="16" t="s">
        <v>7</v>
      </c>
      <c r="D920" s="12" t="str">
        <f>IFERROR(__xludf.DUMMYFUNCTION("IFS(
  REGEXMATCH(A920&amp;B920, ""(?i)openai|gpt|gemini|anthropic|claude|mistral|cohere|rag|vector|llm|chatbot|ai-powered""), ""AI &amp; LLM"",
  REGEXMATCH(A920&amp;B920, ""(?i)twitter|instagram|facebook|linkedin|youtube|tiktok|threads|bluesky|pinterest|social vid"&amp;"eo|reels?|shorts?""), ""Social Media"",
  REGEXMATCH(A920&amp;B920, ""(?i)hubspot|pipedrive|stripe|shopify|woocommerce|sales|crm|invoice|order|leads?|recruitment|bamboohr|erpnext""), ""CRM &amp; Sales"",
  REGEXMATCH(A920&amp;B920, ""(?i)gmail|outlook|calendar|slack|"&amp;"discord|telegram|whatsapp|notion|trello|drive|sheets?|meeting|scheduler|appointment|mattermost""), ""Productivity &amp; Communication"",
  REGEXMATCH(A920&amp;B920, ""(?i)github|api|webhook|http|mysql|supabase|mongodb|redis|rss|pr|code review|incident|pagerduty|j"&amp;"ira""), ""Development &amp; Utilities"",
  TRUE, ""Others""
)"),"AI &amp; LLM")</f>
        <v>AI &amp; LLM</v>
      </c>
    </row>
    <row r="921" ht="15.75" customHeight="1">
      <c r="A921" s="14" t="s">
        <v>1822</v>
      </c>
      <c r="B921" s="15" t="s">
        <v>1823</v>
      </c>
      <c r="C921" s="16" t="s">
        <v>7</v>
      </c>
      <c r="D921" s="12" t="str">
        <f>IFERROR(__xludf.DUMMYFUNCTION("IFS(
  REGEXMATCH(A921&amp;B921, ""(?i)openai|gpt|gemini|anthropic|claude|mistral|cohere|rag|vector|llm|chatbot|ai-powered""), ""AI &amp; LLM"",
  REGEXMATCH(A921&amp;B921, ""(?i)twitter|instagram|facebook|linkedin|youtube|tiktok|threads|bluesky|pinterest|social vid"&amp;"eo|reels?|shorts?""), ""Social Media"",
  REGEXMATCH(A921&amp;B921, ""(?i)hubspot|pipedrive|stripe|shopify|woocommerce|sales|crm|invoice|order|leads?|recruitment|bamboohr|erpnext""), ""CRM &amp; Sales"",
  REGEXMATCH(A921&amp;B921, ""(?i)gmail|outlook|calendar|slack|"&amp;"discord|telegram|whatsapp|notion|trello|drive|sheets?|meeting|scheduler|appointment|mattermost""), ""Productivity &amp; Communication"",
  REGEXMATCH(A921&amp;B921, ""(?i)github|api|webhook|http|mysql|supabase|mongodb|redis|rss|pr|code review|incident|pagerduty|j"&amp;"ira""), ""Development &amp; Utilities"",
  TRUE, ""Others""
)"),"AI &amp; LLM")</f>
        <v>AI &amp; LLM</v>
      </c>
    </row>
    <row r="922" ht="15.75" customHeight="1">
      <c r="A922" s="14" t="s">
        <v>1824</v>
      </c>
      <c r="B922" s="15" t="s">
        <v>1825</v>
      </c>
      <c r="C922" s="16" t="s">
        <v>7</v>
      </c>
      <c r="D922" s="12" t="str">
        <f>IFERROR(__xludf.DUMMYFUNCTION("IFS(
  REGEXMATCH(A922&amp;B922, ""(?i)openai|gpt|gemini|anthropic|claude|mistral|cohere|rag|vector|llm|chatbot|ai-powered""), ""AI &amp; LLM"",
  REGEXMATCH(A922&amp;B922, ""(?i)twitter|instagram|facebook|linkedin|youtube|tiktok|threads|bluesky|pinterest|social vid"&amp;"eo|reels?|shorts?""), ""Social Media"",
  REGEXMATCH(A922&amp;B922, ""(?i)hubspot|pipedrive|stripe|shopify|woocommerce|sales|crm|invoice|order|leads?|recruitment|bamboohr|erpnext""), ""CRM &amp; Sales"",
  REGEXMATCH(A922&amp;B922, ""(?i)gmail|outlook|calendar|slack|"&amp;"discord|telegram|whatsapp|notion|trello|drive|sheets?|meeting|scheduler|appointment|mattermost""), ""Productivity &amp; Communication"",
  REGEXMATCH(A922&amp;B922, ""(?i)github|api|webhook|http|mysql|supabase|mongodb|redis|rss|pr|code review|incident|pagerduty|j"&amp;"ira""), ""Development &amp; Utilities"",
  TRUE, ""Others""
)"),"Productivity &amp; Communication")</f>
        <v>Productivity &amp; Communication</v>
      </c>
    </row>
    <row r="923" ht="15.75" customHeight="1">
      <c r="A923" s="14" t="s">
        <v>1826</v>
      </c>
      <c r="B923" s="15" t="s">
        <v>1827</v>
      </c>
      <c r="C923" s="16" t="s">
        <v>7</v>
      </c>
      <c r="D923" s="12" t="str">
        <f>IFERROR(__xludf.DUMMYFUNCTION("IFS(
  REGEXMATCH(A923&amp;B923, ""(?i)openai|gpt|gemini|anthropic|claude|mistral|cohere|rag|vector|llm|chatbot|ai-powered""), ""AI &amp; LLM"",
  REGEXMATCH(A923&amp;B923, ""(?i)twitter|instagram|facebook|linkedin|youtube|tiktok|threads|bluesky|pinterest|social vid"&amp;"eo|reels?|shorts?""), ""Social Media"",
  REGEXMATCH(A923&amp;B923, ""(?i)hubspot|pipedrive|stripe|shopify|woocommerce|sales|crm|invoice|order|leads?|recruitment|bamboohr|erpnext""), ""CRM &amp; Sales"",
  REGEXMATCH(A923&amp;B923, ""(?i)gmail|outlook|calendar|slack|"&amp;"discord|telegram|whatsapp|notion|trello|drive|sheets?|meeting|scheduler|appointment|mattermost""), ""Productivity &amp; Communication"",
  REGEXMATCH(A923&amp;B923, ""(?i)github|api|webhook|http|mysql|supabase|mongodb|redis|rss|pr|code review|incident|pagerduty|j"&amp;"ira""), ""Development &amp; Utilities"",
  TRUE, ""Others""
)"),"CRM &amp; Sales")</f>
        <v>CRM &amp; Sales</v>
      </c>
    </row>
    <row r="924" ht="15.75" customHeight="1">
      <c r="A924" s="14" t="s">
        <v>1828</v>
      </c>
      <c r="B924" s="15" t="s">
        <v>1829</v>
      </c>
      <c r="C924" s="16" t="s">
        <v>7</v>
      </c>
      <c r="D924" s="12" t="str">
        <f>IFERROR(__xludf.DUMMYFUNCTION("IFS(
  REGEXMATCH(A924&amp;B924, ""(?i)openai|gpt|gemini|anthropic|claude|mistral|cohere|rag|vector|llm|chatbot|ai-powered""), ""AI &amp; LLM"",
  REGEXMATCH(A924&amp;B924, ""(?i)twitter|instagram|facebook|linkedin|youtube|tiktok|threads|bluesky|pinterest|social vid"&amp;"eo|reels?|shorts?""), ""Social Media"",
  REGEXMATCH(A924&amp;B924, ""(?i)hubspot|pipedrive|stripe|shopify|woocommerce|sales|crm|invoice|order|leads?|recruitment|bamboohr|erpnext""), ""CRM &amp; Sales"",
  REGEXMATCH(A924&amp;B924, ""(?i)gmail|outlook|calendar|slack|"&amp;"discord|telegram|whatsapp|notion|trello|drive|sheets?|meeting|scheduler|appointment|mattermost""), ""Productivity &amp; Communication"",
  REGEXMATCH(A924&amp;B924, ""(?i)github|api|webhook|http|mysql|supabase|mongodb|redis|rss|pr|code review|incident|pagerduty|j"&amp;"ira""), ""Development &amp; Utilities"",
  TRUE, ""Others""
)"),"AI &amp; LLM")</f>
        <v>AI &amp; LLM</v>
      </c>
    </row>
    <row r="925" ht="15.75" customHeight="1">
      <c r="A925" s="14" t="s">
        <v>1830</v>
      </c>
      <c r="B925" s="15" t="s">
        <v>1831</v>
      </c>
      <c r="C925" s="16" t="s">
        <v>7</v>
      </c>
      <c r="D925" s="12" t="str">
        <f>IFERROR(__xludf.DUMMYFUNCTION("IFS(
  REGEXMATCH(A925&amp;B925, ""(?i)openai|gpt|gemini|anthropic|claude|mistral|cohere|rag|vector|llm|chatbot|ai-powered""), ""AI &amp; LLM"",
  REGEXMATCH(A925&amp;B925, ""(?i)twitter|instagram|facebook|linkedin|youtube|tiktok|threads|bluesky|pinterest|social vid"&amp;"eo|reels?|shorts?""), ""Social Media"",
  REGEXMATCH(A925&amp;B925, ""(?i)hubspot|pipedrive|stripe|shopify|woocommerce|sales|crm|invoice|order|leads?|recruitment|bamboohr|erpnext""), ""CRM &amp; Sales"",
  REGEXMATCH(A925&amp;B925, ""(?i)gmail|outlook|calendar|slack|"&amp;"discord|telegram|whatsapp|notion|trello|drive|sheets?|meeting|scheduler|appointment|mattermost""), ""Productivity &amp; Communication"",
  REGEXMATCH(A925&amp;B925, ""(?i)github|api|webhook|http|mysql|supabase|mongodb|redis|rss|pr|code review|incident|pagerduty|j"&amp;"ira""), ""Development &amp; Utilities"",
  TRUE, ""Others""
)"),"AI &amp; LLM")</f>
        <v>AI &amp; LLM</v>
      </c>
    </row>
    <row r="926" ht="15.75" customHeight="1">
      <c r="A926" s="14" t="s">
        <v>1832</v>
      </c>
      <c r="B926" s="15" t="s">
        <v>1833</v>
      </c>
      <c r="C926" s="16" t="s">
        <v>7</v>
      </c>
      <c r="D926" s="12" t="str">
        <f>IFERROR(__xludf.DUMMYFUNCTION("IFS(
  REGEXMATCH(A926&amp;B926, ""(?i)openai|gpt|gemini|anthropic|claude|mistral|cohere|rag|vector|llm|chatbot|ai-powered""), ""AI &amp; LLM"",
  REGEXMATCH(A926&amp;B926, ""(?i)twitter|instagram|facebook|linkedin|youtube|tiktok|threads|bluesky|pinterest|social vid"&amp;"eo|reels?|shorts?""), ""Social Media"",
  REGEXMATCH(A926&amp;B926, ""(?i)hubspot|pipedrive|stripe|shopify|woocommerce|sales|crm|invoice|order|leads?|recruitment|bamboohr|erpnext""), ""CRM &amp; Sales"",
  REGEXMATCH(A926&amp;B926, ""(?i)gmail|outlook|calendar|slack|"&amp;"discord|telegram|whatsapp|notion|trello|drive|sheets?|meeting|scheduler|appointment|mattermost""), ""Productivity &amp; Communication"",
  REGEXMATCH(A926&amp;B926, ""(?i)github|api|webhook|http|mysql|supabase|mongodb|redis|rss|pr|code review|incident|pagerduty|j"&amp;"ira""), ""Development &amp; Utilities"",
  TRUE, ""Others""
)"),"AI &amp; LLM")</f>
        <v>AI &amp; LLM</v>
      </c>
    </row>
    <row r="927" ht="15.75" customHeight="1">
      <c r="A927" s="14" t="s">
        <v>1834</v>
      </c>
      <c r="B927" s="15" t="s">
        <v>1835</v>
      </c>
      <c r="C927" s="16" t="s">
        <v>7</v>
      </c>
      <c r="D927" s="12" t="str">
        <f>IFERROR(__xludf.DUMMYFUNCTION("IFS(
  REGEXMATCH(A927&amp;B927, ""(?i)openai|gpt|gemini|anthropic|claude|mistral|cohere|rag|vector|llm|chatbot|ai-powered""), ""AI &amp; LLM"",
  REGEXMATCH(A927&amp;B927, ""(?i)twitter|instagram|facebook|linkedin|youtube|tiktok|threads|bluesky|pinterest|social vid"&amp;"eo|reels?|shorts?""), ""Social Media"",
  REGEXMATCH(A927&amp;B927, ""(?i)hubspot|pipedrive|stripe|shopify|woocommerce|sales|crm|invoice|order|leads?|recruitment|bamboohr|erpnext""), ""CRM &amp; Sales"",
  REGEXMATCH(A927&amp;B927, ""(?i)gmail|outlook|calendar|slack|"&amp;"discord|telegram|whatsapp|notion|trello|drive|sheets?|meeting|scheduler|appointment|mattermost""), ""Productivity &amp; Communication"",
  REGEXMATCH(A927&amp;B927, ""(?i)github|api|webhook|http|mysql|supabase|mongodb|redis|rss|pr|code review|incident|pagerduty|j"&amp;"ira""), ""Development &amp; Utilities"",
  TRUE, ""Others""
)"),"AI &amp; LLM")</f>
        <v>AI &amp; LLM</v>
      </c>
    </row>
    <row r="928" ht="15.75" customHeight="1">
      <c r="A928" s="14" t="s">
        <v>1836</v>
      </c>
      <c r="B928" s="15" t="s">
        <v>1837</v>
      </c>
      <c r="C928" s="16" t="s">
        <v>7</v>
      </c>
      <c r="D928" s="12" t="str">
        <f>IFERROR(__xludf.DUMMYFUNCTION("IFS(
  REGEXMATCH(A928&amp;B928, ""(?i)openai|gpt|gemini|anthropic|claude|mistral|cohere|rag|vector|llm|chatbot|ai-powered""), ""AI &amp; LLM"",
  REGEXMATCH(A928&amp;B928, ""(?i)twitter|instagram|facebook|linkedin|youtube|tiktok|threads|bluesky|pinterest|social vid"&amp;"eo|reels?|shorts?""), ""Social Media"",
  REGEXMATCH(A928&amp;B928, ""(?i)hubspot|pipedrive|stripe|shopify|woocommerce|sales|crm|invoice|order|leads?|recruitment|bamboohr|erpnext""), ""CRM &amp; Sales"",
  REGEXMATCH(A928&amp;B928, ""(?i)gmail|outlook|calendar|slack|"&amp;"discord|telegram|whatsapp|notion|trello|drive|sheets?|meeting|scheduler|appointment|mattermost""), ""Productivity &amp; Communication"",
  REGEXMATCH(A928&amp;B928, ""(?i)github|api|webhook|http|mysql|supabase|mongodb|redis|rss|pr|code review|incident|pagerduty|j"&amp;"ira""), ""Development &amp; Utilities"",
  TRUE, ""Others""
)"),"AI &amp; LLM")</f>
        <v>AI &amp; LLM</v>
      </c>
    </row>
    <row r="929" ht="15.75" customHeight="1">
      <c r="A929" s="14" t="s">
        <v>1838</v>
      </c>
      <c r="B929" s="15" t="s">
        <v>1839</v>
      </c>
      <c r="C929" s="16" t="s">
        <v>7</v>
      </c>
      <c r="D929" s="12" t="str">
        <f>IFERROR(__xludf.DUMMYFUNCTION("IFS(
  REGEXMATCH(A929&amp;B929, ""(?i)openai|gpt|gemini|anthropic|claude|mistral|cohere|rag|vector|llm|chatbot|ai-powered""), ""AI &amp; LLM"",
  REGEXMATCH(A929&amp;B929, ""(?i)twitter|instagram|facebook|linkedin|youtube|tiktok|threads|bluesky|pinterest|social vid"&amp;"eo|reels?|shorts?""), ""Social Media"",
  REGEXMATCH(A929&amp;B929, ""(?i)hubspot|pipedrive|stripe|shopify|woocommerce|sales|crm|invoice|order|leads?|recruitment|bamboohr|erpnext""), ""CRM &amp; Sales"",
  REGEXMATCH(A929&amp;B929, ""(?i)gmail|outlook|calendar|slack|"&amp;"discord|telegram|whatsapp|notion|trello|drive|sheets?|meeting|scheduler|appointment|mattermost""), ""Productivity &amp; Communication"",
  REGEXMATCH(A929&amp;B929, ""(?i)github|api|webhook|http|mysql|supabase|mongodb|redis|rss|pr|code review|incident|pagerduty|j"&amp;"ira""), ""Development &amp; Utilities"",
  TRUE, ""Others""
)"),"AI &amp; LLM")</f>
        <v>AI &amp; LLM</v>
      </c>
    </row>
    <row r="930" ht="15.75" customHeight="1">
      <c r="A930" s="14" t="s">
        <v>1840</v>
      </c>
      <c r="B930" s="15" t="s">
        <v>1841</v>
      </c>
      <c r="C930" s="16" t="s">
        <v>7</v>
      </c>
      <c r="D930" s="12" t="str">
        <f>IFERROR(__xludf.DUMMYFUNCTION("IFS(
  REGEXMATCH(A930&amp;B930, ""(?i)openai|gpt|gemini|anthropic|claude|mistral|cohere|rag|vector|llm|chatbot|ai-powered""), ""AI &amp; LLM"",
  REGEXMATCH(A930&amp;B930, ""(?i)twitter|instagram|facebook|linkedin|youtube|tiktok|threads|bluesky|pinterest|social vid"&amp;"eo|reels?|shorts?""), ""Social Media"",
  REGEXMATCH(A930&amp;B930, ""(?i)hubspot|pipedrive|stripe|shopify|woocommerce|sales|crm|invoice|order|leads?|recruitment|bamboohr|erpnext""), ""CRM &amp; Sales"",
  REGEXMATCH(A930&amp;B930, ""(?i)gmail|outlook|calendar|slack|"&amp;"discord|telegram|whatsapp|notion|trello|drive|sheets?|meeting|scheduler|appointment|mattermost""), ""Productivity &amp; Communication"",
  REGEXMATCH(A930&amp;B930, ""(?i)github|api|webhook|http|mysql|supabase|mongodb|redis|rss|pr|code review|incident|pagerduty|j"&amp;"ira""), ""Development &amp; Utilities"",
  TRUE, ""Others""
)"),"Development &amp; Utilities")</f>
        <v>Development &amp; Utilities</v>
      </c>
    </row>
    <row r="931" ht="15.75" customHeight="1">
      <c r="A931" s="14" t="s">
        <v>1842</v>
      </c>
      <c r="B931" s="15" t="s">
        <v>1843</v>
      </c>
      <c r="C931" s="16" t="s">
        <v>7</v>
      </c>
      <c r="D931" s="12" t="str">
        <f>IFERROR(__xludf.DUMMYFUNCTION("IFS(
  REGEXMATCH(A931&amp;B931, ""(?i)openai|gpt|gemini|anthropic|claude|mistral|cohere|rag|vector|llm|chatbot|ai-powered""), ""AI &amp; LLM"",
  REGEXMATCH(A931&amp;B931, ""(?i)twitter|instagram|facebook|linkedin|youtube|tiktok|threads|bluesky|pinterest|social vid"&amp;"eo|reels?|shorts?""), ""Social Media"",
  REGEXMATCH(A931&amp;B931, ""(?i)hubspot|pipedrive|stripe|shopify|woocommerce|sales|crm|invoice|order|leads?|recruitment|bamboohr|erpnext""), ""CRM &amp; Sales"",
  REGEXMATCH(A931&amp;B931, ""(?i)gmail|outlook|calendar|slack|"&amp;"discord|telegram|whatsapp|notion|trello|drive|sheets?|meeting|scheduler|appointment|mattermost""), ""Productivity &amp; Communication"",
  REGEXMATCH(A931&amp;B931, ""(?i)github|api|webhook|http|mysql|supabase|mongodb|redis|rss|pr|code review|incident|pagerduty|j"&amp;"ira""), ""Development &amp; Utilities"",
  TRUE, ""Others""
)"),"Social Media")</f>
        <v>Social Media</v>
      </c>
    </row>
    <row r="932" ht="15.75" customHeight="1">
      <c r="A932" s="14" t="s">
        <v>1844</v>
      </c>
      <c r="B932" s="15" t="s">
        <v>1845</v>
      </c>
      <c r="C932" s="16" t="s">
        <v>7</v>
      </c>
      <c r="D932" s="12" t="str">
        <f>IFERROR(__xludf.DUMMYFUNCTION("IFS(
  REGEXMATCH(A932&amp;B932, ""(?i)openai|gpt|gemini|anthropic|claude|mistral|cohere|rag|vector|llm|chatbot|ai-powered""), ""AI &amp; LLM"",
  REGEXMATCH(A932&amp;B932, ""(?i)twitter|instagram|facebook|linkedin|youtube|tiktok|threads|bluesky|pinterest|social vid"&amp;"eo|reels?|shorts?""), ""Social Media"",
  REGEXMATCH(A932&amp;B932, ""(?i)hubspot|pipedrive|stripe|shopify|woocommerce|sales|crm|invoice|order|leads?|recruitment|bamboohr|erpnext""), ""CRM &amp; Sales"",
  REGEXMATCH(A932&amp;B932, ""(?i)gmail|outlook|calendar|slack|"&amp;"discord|telegram|whatsapp|notion|trello|drive|sheets?|meeting|scheduler|appointment|mattermost""), ""Productivity &amp; Communication"",
  REGEXMATCH(A932&amp;B932, ""(?i)github|api|webhook|http|mysql|supabase|mongodb|redis|rss|pr|code review|incident|pagerduty|j"&amp;"ira""), ""Development &amp; Utilities"",
  TRUE, ""Others""
)"),"AI &amp; LLM")</f>
        <v>AI &amp; LLM</v>
      </c>
    </row>
    <row r="933" ht="15.75" customHeight="1">
      <c r="A933" s="14" t="s">
        <v>1846</v>
      </c>
      <c r="B933" s="15" t="s">
        <v>1847</v>
      </c>
      <c r="C933" s="16" t="s">
        <v>7</v>
      </c>
      <c r="D933" s="12" t="str">
        <f>IFERROR(__xludf.DUMMYFUNCTION("IFS(
  REGEXMATCH(A933&amp;B933, ""(?i)openai|gpt|gemini|anthropic|claude|mistral|cohere|rag|vector|llm|chatbot|ai-powered""), ""AI &amp; LLM"",
  REGEXMATCH(A933&amp;B933, ""(?i)twitter|instagram|facebook|linkedin|youtube|tiktok|threads|bluesky|pinterest|social vid"&amp;"eo|reels?|shorts?""), ""Social Media"",
  REGEXMATCH(A933&amp;B933, ""(?i)hubspot|pipedrive|stripe|shopify|woocommerce|sales|crm|invoice|order|leads?|recruitment|bamboohr|erpnext""), ""CRM &amp; Sales"",
  REGEXMATCH(A933&amp;B933, ""(?i)gmail|outlook|calendar|slack|"&amp;"discord|telegram|whatsapp|notion|trello|drive|sheets?|meeting|scheduler|appointment|mattermost""), ""Productivity &amp; Communication"",
  REGEXMATCH(A933&amp;B933, ""(?i)github|api|webhook|http|mysql|supabase|mongodb|redis|rss|pr|code review|incident|pagerduty|j"&amp;"ira""), ""Development &amp; Utilities"",
  TRUE, ""Others""
)"),"CRM &amp; Sales")</f>
        <v>CRM &amp; Sales</v>
      </c>
    </row>
    <row r="934" ht="15.75" customHeight="1">
      <c r="A934" s="14" t="s">
        <v>1848</v>
      </c>
      <c r="B934" s="15" t="s">
        <v>1849</v>
      </c>
      <c r="C934" s="16" t="s">
        <v>7</v>
      </c>
      <c r="D934" s="12" t="str">
        <f>IFERROR(__xludf.DUMMYFUNCTION("IFS(
  REGEXMATCH(A934&amp;B934, ""(?i)openai|gpt|gemini|anthropic|claude|mistral|cohere|rag|vector|llm|chatbot|ai-powered""), ""AI &amp; LLM"",
  REGEXMATCH(A934&amp;B934, ""(?i)twitter|instagram|facebook|linkedin|youtube|tiktok|threads|bluesky|pinterest|social vid"&amp;"eo|reels?|shorts?""), ""Social Media"",
  REGEXMATCH(A934&amp;B934, ""(?i)hubspot|pipedrive|stripe|shopify|woocommerce|sales|crm|invoice|order|leads?|recruitment|bamboohr|erpnext""), ""CRM &amp; Sales"",
  REGEXMATCH(A934&amp;B934, ""(?i)gmail|outlook|calendar|slack|"&amp;"discord|telegram|whatsapp|notion|trello|drive|sheets?|meeting|scheduler|appointment|mattermost""), ""Productivity &amp; Communication"",
  REGEXMATCH(A934&amp;B934, ""(?i)github|api|webhook|http|mysql|supabase|mongodb|redis|rss|pr|code review|incident|pagerduty|j"&amp;"ira""), ""Development &amp; Utilities"",
  TRUE, ""Others""
)"),"AI &amp; LLM")</f>
        <v>AI &amp; LLM</v>
      </c>
    </row>
    <row r="935" ht="15.75" customHeight="1">
      <c r="A935" s="14" t="s">
        <v>1850</v>
      </c>
      <c r="B935" s="15" t="s">
        <v>1851</v>
      </c>
      <c r="C935" s="16" t="s">
        <v>7</v>
      </c>
      <c r="D935" s="12" t="str">
        <f>IFERROR(__xludf.DUMMYFUNCTION("IFS(
  REGEXMATCH(A935&amp;B935, ""(?i)openai|gpt|gemini|anthropic|claude|mistral|cohere|rag|vector|llm|chatbot|ai-powered""), ""AI &amp; LLM"",
  REGEXMATCH(A935&amp;B935, ""(?i)twitter|instagram|facebook|linkedin|youtube|tiktok|threads|bluesky|pinterest|social vid"&amp;"eo|reels?|shorts?""), ""Social Media"",
  REGEXMATCH(A935&amp;B935, ""(?i)hubspot|pipedrive|stripe|shopify|woocommerce|sales|crm|invoice|order|leads?|recruitment|bamboohr|erpnext""), ""CRM &amp; Sales"",
  REGEXMATCH(A935&amp;B935, ""(?i)gmail|outlook|calendar|slack|"&amp;"discord|telegram|whatsapp|notion|trello|drive|sheets?|meeting|scheduler|appointment|mattermost""), ""Productivity &amp; Communication"",
  REGEXMATCH(A935&amp;B935, ""(?i)github|api|webhook|http|mysql|supabase|mongodb|redis|rss|pr|code review|incident|pagerduty|j"&amp;"ira""), ""Development &amp; Utilities"",
  TRUE, ""Others""
)"),"AI &amp; LLM")</f>
        <v>AI &amp; LLM</v>
      </c>
    </row>
    <row r="936" ht="15.75" customHeight="1">
      <c r="A936" s="14" t="s">
        <v>1852</v>
      </c>
      <c r="B936" s="15" t="s">
        <v>1853</v>
      </c>
      <c r="C936" s="16" t="s">
        <v>7</v>
      </c>
      <c r="D936" s="12" t="str">
        <f>IFERROR(__xludf.DUMMYFUNCTION("IFS(
  REGEXMATCH(A936&amp;B936, ""(?i)openai|gpt|gemini|anthropic|claude|mistral|cohere|rag|vector|llm|chatbot|ai-powered""), ""AI &amp; LLM"",
  REGEXMATCH(A936&amp;B936, ""(?i)twitter|instagram|facebook|linkedin|youtube|tiktok|threads|bluesky|pinterest|social vid"&amp;"eo|reels?|shorts?""), ""Social Media"",
  REGEXMATCH(A936&amp;B936, ""(?i)hubspot|pipedrive|stripe|shopify|woocommerce|sales|crm|invoice|order|leads?|recruitment|bamboohr|erpnext""), ""CRM &amp; Sales"",
  REGEXMATCH(A936&amp;B936, ""(?i)gmail|outlook|calendar|slack|"&amp;"discord|telegram|whatsapp|notion|trello|drive|sheets?|meeting|scheduler|appointment|mattermost""), ""Productivity &amp; Communication"",
  REGEXMATCH(A936&amp;B936, ""(?i)github|api|webhook|http|mysql|supabase|mongodb|redis|rss|pr|code review|incident|pagerduty|j"&amp;"ira""), ""Development &amp; Utilities"",
  TRUE, ""Others""
)"),"AI &amp; LLM")</f>
        <v>AI &amp; LLM</v>
      </c>
    </row>
    <row r="937" ht="15.75" customHeight="1">
      <c r="A937" s="14" t="s">
        <v>1854</v>
      </c>
      <c r="B937" s="15" t="s">
        <v>1855</v>
      </c>
      <c r="C937" s="16" t="s">
        <v>7</v>
      </c>
      <c r="D937" s="12" t="str">
        <f>IFERROR(__xludf.DUMMYFUNCTION("IFS(
  REGEXMATCH(A937&amp;B937, ""(?i)openai|gpt|gemini|anthropic|claude|mistral|cohere|rag|vector|llm|chatbot|ai-powered""), ""AI &amp; LLM"",
  REGEXMATCH(A937&amp;B937, ""(?i)twitter|instagram|facebook|linkedin|youtube|tiktok|threads|bluesky|pinterest|social vid"&amp;"eo|reels?|shorts?""), ""Social Media"",
  REGEXMATCH(A937&amp;B937, ""(?i)hubspot|pipedrive|stripe|shopify|woocommerce|sales|crm|invoice|order|leads?|recruitment|bamboohr|erpnext""), ""CRM &amp; Sales"",
  REGEXMATCH(A937&amp;B937, ""(?i)gmail|outlook|calendar|slack|"&amp;"discord|telegram|whatsapp|notion|trello|drive|sheets?|meeting|scheduler|appointment|mattermost""), ""Productivity &amp; Communication"",
  REGEXMATCH(A937&amp;B937, ""(?i)github|api|webhook|http|mysql|supabase|mongodb|redis|rss|pr|code review|incident|pagerduty|j"&amp;"ira""), ""Development &amp; Utilities"",
  TRUE, ""Others""
)"),"AI &amp; LLM")</f>
        <v>AI &amp; LLM</v>
      </c>
    </row>
    <row r="938" ht="15.75" customHeight="1">
      <c r="A938" s="14" t="s">
        <v>1856</v>
      </c>
      <c r="B938" s="15" t="s">
        <v>1857</v>
      </c>
      <c r="C938" s="16" t="s">
        <v>7</v>
      </c>
      <c r="D938" s="12" t="str">
        <f>IFERROR(__xludf.DUMMYFUNCTION("IFS(
  REGEXMATCH(A938&amp;B938, ""(?i)openai|gpt|gemini|anthropic|claude|mistral|cohere|rag|vector|llm|chatbot|ai-powered""), ""AI &amp; LLM"",
  REGEXMATCH(A938&amp;B938, ""(?i)twitter|instagram|facebook|linkedin|youtube|tiktok|threads|bluesky|pinterest|social vid"&amp;"eo|reels?|shorts?""), ""Social Media"",
  REGEXMATCH(A938&amp;B938, ""(?i)hubspot|pipedrive|stripe|shopify|woocommerce|sales|crm|invoice|order|leads?|recruitment|bamboohr|erpnext""), ""CRM &amp; Sales"",
  REGEXMATCH(A938&amp;B938, ""(?i)gmail|outlook|calendar|slack|"&amp;"discord|telegram|whatsapp|notion|trello|drive|sheets?|meeting|scheduler|appointment|mattermost""), ""Productivity &amp; Communication"",
  REGEXMATCH(A938&amp;B938, ""(?i)github|api|webhook|http|mysql|supabase|mongodb|redis|rss|pr|code review|incident|pagerduty|j"&amp;"ira""), ""Development &amp; Utilities"",
  TRUE, ""Others""
)"),"AI &amp; LLM")</f>
        <v>AI &amp; LLM</v>
      </c>
    </row>
    <row r="939" ht="15.75" customHeight="1">
      <c r="A939" s="14" t="s">
        <v>1858</v>
      </c>
      <c r="B939" s="15" t="s">
        <v>1859</v>
      </c>
      <c r="C939" s="16" t="s">
        <v>7</v>
      </c>
      <c r="D939" s="12" t="str">
        <f>IFERROR(__xludf.DUMMYFUNCTION("IFS(
  REGEXMATCH(A939&amp;B939, ""(?i)openai|gpt|gemini|anthropic|claude|mistral|cohere|rag|vector|llm|chatbot|ai-powered""), ""AI &amp; LLM"",
  REGEXMATCH(A939&amp;B939, ""(?i)twitter|instagram|facebook|linkedin|youtube|tiktok|threads|bluesky|pinterest|social vid"&amp;"eo|reels?|shorts?""), ""Social Media"",
  REGEXMATCH(A939&amp;B939, ""(?i)hubspot|pipedrive|stripe|shopify|woocommerce|sales|crm|invoice|order|leads?|recruitment|bamboohr|erpnext""), ""CRM &amp; Sales"",
  REGEXMATCH(A939&amp;B939, ""(?i)gmail|outlook|calendar|slack|"&amp;"discord|telegram|whatsapp|notion|trello|drive|sheets?|meeting|scheduler|appointment|mattermost""), ""Productivity &amp; Communication"",
  REGEXMATCH(A939&amp;B939, ""(?i)github|api|webhook|http|mysql|supabase|mongodb|redis|rss|pr|code review|incident|pagerduty|j"&amp;"ira""), ""Development &amp; Utilities"",
  TRUE, ""Others""
)"),"AI &amp; LLM")</f>
        <v>AI &amp; LLM</v>
      </c>
    </row>
    <row r="940" ht="15.75" customHeight="1">
      <c r="A940" s="14" t="s">
        <v>1860</v>
      </c>
      <c r="B940" s="15" t="s">
        <v>1861</v>
      </c>
      <c r="C940" s="16" t="s">
        <v>7</v>
      </c>
      <c r="D940" s="12" t="str">
        <f>IFERROR(__xludf.DUMMYFUNCTION("IFS(
  REGEXMATCH(A940&amp;B940, ""(?i)openai|gpt|gemini|anthropic|claude|mistral|cohere|rag|vector|llm|chatbot|ai-powered""), ""AI &amp; LLM"",
  REGEXMATCH(A940&amp;B940, ""(?i)twitter|instagram|facebook|linkedin|youtube|tiktok|threads|bluesky|pinterest|social vid"&amp;"eo|reels?|shorts?""), ""Social Media"",
  REGEXMATCH(A940&amp;B940, ""(?i)hubspot|pipedrive|stripe|shopify|woocommerce|sales|crm|invoice|order|leads?|recruitment|bamboohr|erpnext""), ""CRM &amp; Sales"",
  REGEXMATCH(A940&amp;B940, ""(?i)gmail|outlook|calendar|slack|"&amp;"discord|telegram|whatsapp|notion|trello|drive|sheets?|meeting|scheduler|appointment|mattermost""), ""Productivity &amp; Communication"",
  REGEXMATCH(A940&amp;B940, ""(?i)github|api|webhook|http|mysql|supabase|mongodb|redis|rss|pr|code review|incident|pagerduty|j"&amp;"ira""), ""Development &amp; Utilities"",
  TRUE, ""Others""
)"),"Development &amp; Utilities")</f>
        <v>Development &amp; Utilities</v>
      </c>
    </row>
    <row r="941" ht="15.75" customHeight="1">
      <c r="A941" s="14" t="s">
        <v>1862</v>
      </c>
      <c r="B941" s="15" t="s">
        <v>1863</v>
      </c>
      <c r="C941" s="16" t="s">
        <v>7</v>
      </c>
      <c r="D941" s="12" t="str">
        <f>IFERROR(__xludf.DUMMYFUNCTION("IFS(
  REGEXMATCH(A941&amp;B941, ""(?i)openai|gpt|gemini|anthropic|claude|mistral|cohere|rag|vector|llm|chatbot|ai-powered""), ""AI &amp; LLM"",
  REGEXMATCH(A941&amp;B941, ""(?i)twitter|instagram|facebook|linkedin|youtube|tiktok|threads|bluesky|pinterest|social vid"&amp;"eo|reels?|shorts?""), ""Social Media"",
  REGEXMATCH(A941&amp;B941, ""(?i)hubspot|pipedrive|stripe|shopify|woocommerce|sales|crm|invoice|order|leads?|recruitment|bamboohr|erpnext""), ""CRM &amp; Sales"",
  REGEXMATCH(A941&amp;B941, ""(?i)gmail|outlook|calendar|slack|"&amp;"discord|telegram|whatsapp|notion|trello|drive|sheets?|meeting|scheduler|appointment|mattermost""), ""Productivity &amp; Communication"",
  REGEXMATCH(A941&amp;B941, ""(?i)github|api|webhook|http|mysql|supabase|mongodb|redis|rss|pr|code review|incident|pagerduty|j"&amp;"ira""), ""Development &amp; Utilities"",
  TRUE, ""Others""
)"),"Productivity &amp; Communication")</f>
        <v>Productivity &amp; Communication</v>
      </c>
    </row>
    <row r="942" ht="15.75" customHeight="1">
      <c r="A942" s="14" t="s">
        <v>1864</v>
      </c>
      <c r="B942" s="15" t="s">
        <v>1865</v>
      </c>
      <c r="C942" s="16" t="s">
        <v>7</v>
      </c>
      <c r="D942" s="12" t="str">
        <f>IFERROR(__xludf.DUMMYFUNCTION("IFS(
  REGEXMATCH(A942&amp;B942, ""(?i)openai|gpt|gemini|anthropic|claude|mistral|cohere|rag|vector|llm|chatbot|ai-powered""), ""AI &amp; LLM"",
  REGEXMATCH(A942&amp;B942, ""(?i)twitter|instagram|facebook|linkedin|youtube|tiktok|threads|bluesky|pinterest|social vid"&amp;"eo|reels?|shorts?""), ""Social Media"",
  REGEXMATCH(A942&amp;B942, ""(?i)hubspot|pipedrive|stripe|shopify|woocommerce|sales|crm|invoice|order|leads?|recruitment|bamboohr|erpnext""), ""CRM &amp; Sales"",
  REGEXMATCH(A942&amp;B942, ""(?i)gmail|outlook|calendar|slack|"&amp;"discord|telegram|whatsapp|notion|trello|drive|sheets?|meeting|scheduler|appointment|mattermost""), ""Productivity &amp; Communication"",
  REGEXMATCH(A942&amp;B942, ""(?i)github|api|webhook|http|mysql|supabase|mongodb|redis|rss|pr|code review|incident|pagerduty|j"&amp;"ira""), ""Development &amp; Utilities"",
  TRUE, ""Others""
)"),"Development &amp; Utilities")</f>
        <v>Development &amp; Utilities</v>
      </c>
    </row>
    <row r="943" ht="15.75" customHeight="1">
      <c r="A943" s="14" t="s">
        <v>1866</v>
      </c>
      <c r="B943" s="15" t="s">
        <v>1867</v>
      </c>
      <c r="C943" s="16" t="s">
        <v>7</v>
      </c>
      <c r="D943" s="12" t="str">
        <f>IFERROR(__xludf.DUMMYFUNCTION("IFS(
  REGEXMATCH(A943&amp;B943, ""(?i)openai|gpt|gemini|anthropic|claude|mistral|cohere|rag|vector|llm|chatbot|ai-powered""), ""AI &amp; LLM"",
  REGEXMATCH(A943&amp;B943, ""(?i)twitter|instagram|facebook|linkedin|youtube|tiktok|threads|bluesky|pinterest|social vid"&amp;"eo|reels?|shorts?""), ""Social Media"",
  REGEXMATCH(A943&amp;B943, ""(?i)hubspot|pipedrive|stripe|shopify|woocommerce|sales|crm|invoice|order|leads?|recruitment|bamboohr|erpnext""), ""CRM &amp; Sales"",
  REGEXMATCH(A943&amp;B943, ""(?i)gmail|outlook|calendar|slack|"&amp;"discord|telegram|whatsapp|notion|trello|drive|sheets?|meeting|scheduler|appointment|mattermost""), ""Productivity &amp; Communication"",
  REGEXMATCH(A943&amp;B943, ""(?i)github|api|webhook|http|mysql|supabase|mongodb|redis|rss|pr|code review|incident|pagerduty|j"&amp;"ira""), ""Development &amp; Utilities"",
  TRUE, ""Others""
)"),"AI &amp; LLM")</f>
        <v>AI &amp; LLM</v>
      </c>
    </row>
    <row r="944" ht="15.75" customHeight="1">
      <c r="A944" s="14" t="s">
        <v>1868</v>
      </c>
      <c r="B944" s="15" t="s">
        <v>1869</v>
      </c>
      <c r="C944" s="16" t="s">
        <v>7</v>
      </c>
      <c r="D944" s="12" t="str">
        <f>IFERROR(__xludf.DUMMYFUNCTION("IFS(
  REGEXMATCH(A944&amp;B944, ""(?i)openai|gpt|gemini|anthropic|claude|mistral|cohere|rag|vector|llm|chatbot|ai-powered""), ""AI &amp; LLM"",
  REGEXMATCH(A944&amp;B944, ""(?i)twitter|instagram|facebook|linkedin|youtube|tiktok|threads|bluesky|pinterest|social vid"&amp;"eo|reels?|shorts?""), ""Social Media"",
  REGEXMATCH(A944&amp;B944, ""(?i)hubspot|pipedrive|stripe|shopify|woocommerce|sales|crm|invoice|order|leads?|recruitment|bamboohr|erpnext""), ""CRM &amp; Sales"",
  REGEXMATCH(A944&amp;B944, ""(?i)gmail|outlook|calendar|slack|"&amp;"discord|telegram|whatsapp|notion|trello|drive|sheets?|meeting|scheduler|appointment|mattermost""), ""Productivity &amp; Communication"",
  REGEXMATCH(A944&amp;B944, ""(?i)github|api|webhook|http|mysql|supabase|mongodb|redis|rss|pr|code review|incident|pagerduty|j"&amp;"ira""), ""Development &amp; Utilities"",
  TRUE, ""Others""
)"),"Development &amp; Utilities")</f>
        <v>Development &amp; Utilities</v>
      </c>
    </row>
    <row r="945" ht="15.75" customHeight="1">
      <c r="A945" s="14" t="s">
        <v>1870</v>
      </c>
      <c r="B945" s="15" t="s">
        <v>1871</v>
      </c>
      <c r="C945" s="16" t="s">
        <v>7</v>
      </c>
      <c r="D945" s="12" t="str">
        <f>IFERROR(__xludf.DUMMYFUNCTION("IFS(
  REGEXMATCH(A945&amp;B945, ""(?i)openai|gpt|gemini|anthropic|claude|mistral|cohere|rag|vector|llm|chatbot|ai-powered""), ""AI &amp; LLM"",
  REGEXMATCH(A945&amp;B945, ""(?i)twitter|instagram|facebook|linkedin|youtube|tiktok|threads|bluesky|pinterest|social vid"&amp;"eo|reels?|shorts?""), ""Social Media"",
  REGEXMATCH(A945&amp;B945, ""(?i)hubspot|pipedrive|stripe|shopify|woocommerce|sales|crm|invoice|order|leads?|recruitment|bamboohr|erpnext""), ""CRM &amp; Sales"",
  REGEXMATCH(A945&amp;B945, ""(?i)gmail|outlook|calendar|slack|"&amp;"discord|telegram|whatsapp|notion|trello|drive|sheets?|meeting|scheduler|appointment|mattermost""), ""Productivity &amp; Communication"",
  REGEXMATCH(A945&amp;B945, ""(?i)github|api|webhook|http|mysql|supabase|mongodb|redis|rss|pr|code review|incident|pagerduty|j"&amp;"ira""), ""Development &amp; Utilities"",
  TRUE, ""Others""
)"),"Development &amp; Utilities")</f>
        <v>Development &amp; Utilities</v>
      </c>
    </row>
    <row r="946" ht="15.75" customHeight="1">
      <c r="A946" s="14" t="s">
        <v>1872</v>
      </c>
      <c r="B946" s="15" t="s">
        <v>1873</v>
      </c>
      <c r="C946" s="16" t="s">
        <v>7</v>
      </c>
      <c r="D946" s="12" t="str">
        <f>IFERROR(__xludf.DUMMYFUNCTION("IFS(
  REGEXMATCH(A946&amp;B946, ""(?i)openai|gpt|gemini|anthropic|claude|mistral|cohere|rag|vector|llm|chatbot|ai-powered""), ""AI &amp; LLM"",
  REGEXMATCH(A946&amp;B946, ""(?i)twitter|instagram|facebook|linkedin|youtube|tiktok|threads|bluesky|pinterest|social vid"&amp;"eo|reels?|shorts?""), ""Social Media"",
  REGEXMATCH(A946&amp;B946, ""(?i)hubspot|pipedrive|stripe|shopify|woocommerce|sales|crm|invoice|order|leads?|recruitment|bamboohr|erpnext""), ""CRM &amp; Sales"",
  REGEXMATCH(A946&amp;B946, ""(?i)gmail|outlook|calendar|slack|"&amp;"discord|telegram|whatsapp|notion|trello|drive|sheets?|meeting|scheduler|appointment|mattermost""), ""Productivity &amp; Communication"",
  REGEXMATCH(A946&amp;B946, ""(?i)github|api|webhook|http|mysql|supabase|mongodb|redis|rss|pr|code review|incident|pagerduty|j"&amp;"ira""), ""Development &amp; Utilities"",
  TRUE, ""Others""
)"),"Productivity &amp; Communication")</f>
        <v>Productivity &amp; Communication</v>
      </c>
    </row>
    <row r="947" ht="15.75" customHeight="1">
      <c r="A947" s="14" t="s">
        <v>1874</v>
      </c>
      <c r="B947" s="15" t="s">
        <v>1875</v>
      </c>
      <c r="C947" s="16" t="s">
        <v>7</v>
      </c>
      <c r="D947" s="12" t="str">
        <f>IFERROR(__xludf.DUMMYFUNCTION("IFS(
  REGEXMATCH(A947&amp;B947, ""(?i)openai|gpt|gemini|anthropic|claude|mistral|cohere|rag|vector|llm|chatbot|ai-powered""), ""AI &amp; LLM"",
  REGEXMATCH(A947&amp;B947, ""(?i)twitter|instagram|facebook|linkedin|youtube|tiktok|threads|bluesky|pinterest|social vid"&amp;"eo|reels?|shorts?""), ""Social Media"",
  REGEXMATCH(A947&amp;B947, ""(?i)hubspot|pipedrive|stripe|shopify|woocommerce|sales|crm|invoice|order|leads?|recruitment|bamboohr|erpnext""), ""CRM &amp; Sales"",
  REGEXMATCH(A947&amp;B947, ""(?i)gmail|outlook|calendar|slack|"&amp;"discord|telegram|whatsapp|notion|trello|drive|sheets?|meeting|scheduler|appointment|mattermost""), ""Productivity &amp; Communication"",
  REGEXMATCH(A947&amp;B947, ""(?i)github|api|webhook|http|mysql|supabase|mongodb|redis|rss|pr|code review|incident|pagerduty|j"&amp;"ira""), ""Development &amp; Utilities"",
  TRUE, ""Others""
)"),"AI &amp; LLM")</f>
        <v>AI &amp; LLM</v>
      </c>
    </row>
    <row r="948" ht="15.75" customHeight="1">
      <c r="A948" s="14" t="s">
        <v>1876</v>
      </c>
      <c r="B948" s="15" t="s">
        <v>1877</v>
      </c>
      <c r="C948" s="16" t="s">
        <v>7</v>
      </c>
      <c r="D948" s="12" t="str">
        <f>IFERROR(__xludf.DUMMYFUNCTION("IFS(
  REGEXMATCH(A948&amp;B948, ""(?i)openai|gpt|gemini|anthropic|claude|mistral|cohere|rag|vector|llm|chatbot|ai-powered""), ""AI &amp; LLM"",
  REGEXMATCH(A948&amp;B948, ""(?i)twitter|instagram|facebook|linkedin|youtube|tiktok|threads|bluesky|pinterest|social vid"&amp;"eo|reels?|shorts?""), ""Social Media"",
  REGEXMATCH(A948&amp;B948, ""(?i)hubspot|pipedrive|stripe|shopify|woocommerce|sales|crm|invoice|order|leads?|recruitment|bamboohr|erpnext""), ""CRM &amp; Sales"",
  REGEXMATCH(A948&amp;B948, ""(?i)gmail|outlook|calendar|slack|"&amp;"discord|telegram|whatsapp|notion|trello|drive|sheets?|meeting|scheduler|appointment|mattermost""), ""Productivity &amp; Communication"",
  REGEXMATCH(A948&amp;B948, ""(?i)github|api|webhook|http|mysql|supabase|mongodb|redis|rss|pr|code review|incident|pagerduty|j"&amp;"ira""), ""Development &amp; Utilities"",
  TRUE, ""Others""
)"),"CRM &amp; Sales")</f>
        <v>CRM &amp; Sales</v>
      </c>
    </row>
    <row r="949" ht="15.75" customHeight="1">
      <c r="A949" s="14" t="s">
        <v>1878</v>
      </c>
      <c r="B949" s="15" t="s">
        <v>1879</v>
      </c>
      <c r="C949" s="16" t="s">
        <v>7</v>
      </c>
      <c r="D949" s="12" t="str">
        <f>IFERROR(__xludf.DUMMYFUNCTION("IFS(
  REGEXMATCH(A949&amp;B949, ""(?i)openai|gpt|gemini|anthropic|claude|mistral|cohere|rag|vector|llm|chatbot|ai-powered""), ""AI &amp; LLM"",
  REGEXMATCH(A949&amp;B949, ""(?i)twitter|instagram|facebook|linkedin|youtube|tiktok|threads|bluesky|pinterest|social vid"&amp;"eo|reels?|shorts?""), ""Social Media"",
  REGEXMATCH(A949&amp;B949, ""(?i)hubspot|pipedrive|stripe|shopify|woocommerce|sales|crm|invoice|order|leads?|recruitment|bamboohr|erpnext""), ""CRM &amp; Sales"",
  REGEXMATCH(A949&amp;B949, ""(?i)gmail|outlook|calendar|slack|"&amp;"discord|telegram|whatsapp|notion|trello|drive|sheets?|meeting|scheduler|appointment|mattermost""), ""Productivity &amp; Communication"",
  REGEXMATCH(A949&amp;B949, ""(?i)github|api|webhook|http|mysql|supabase|mongodb|redis|rss|pr|code review|incident|pagerduty|j"&amp;"ira""), ""Development &amp; Utilities"",
  TRUE, ""Others""
)"),"AI &amp; LLM")</f>
        <v>AI &amp; LLM</v>
      </c>
    </row>
    <row r="950" ht="15.75" customHeight="1">
      <c r="A950" s="14" t="s">
        <v>1880</v>
      </c>
      <c r="B950" s="15" t="s">
        <v>1881</v>
      </c>
      <c r="C950" s="16" t="s">
        <v>7</v>
      </c>
      <c r="D950" s="12" t="str">
        <f>IFERROR(__xludf.DUMMYFUNCTION("IFS(
  REGEXMATCH(A950&amp;B950, ""(?i)openai|gpt|gemini|anthropic|claude|mistral|cohere|rag|vector|llm|chatbot|ai-powered""), ""AI &amp; LLM"",
  REGEXMATCH(A950&amp;B950, ""(?i)twitter|instagram|facebook|linkedin|youtube|tiktok|threads|bluesky|pinterest|social vid"&amp;"eo|reels?|shorts?""), ""Social Media"",
  REGEXMATCH(A950&amp;B950, ""(?i)hubspot|pipedrive|stripe|shopify|woocommerce|sales|crm|invoice|order|leads?|recruitment|bamboohr|erpnext""), ""CRM &amp; Sales"",
  REGEXMATCH(A950&amp;B950, ""(?i)gmail|outlook|calendar|slack|"&amp;"discord|telegram|whatsapp|notion|trello|drive|sheets?|meeting|scheduler|appointment|mattermost""), ""Productivity &amp; Communication"",
  REGEXMATCH(A950&amp;B950, ""(?i)github|api|webhook|http|mysql|supabase|mongodb|redis|rss|pr|code review|incident|pagerduty|j"&amp;"ira""), ""Development &amp; Utilities"",
  TRUE, ""Others""
)"),"AI &amp; LLM")</f>
        <v>AI &amp; LLM</v>
      </c>
    </row>
    <row r="951" ht="15.75" customHeight="1">
      <c r="A951" s="14" t="s">
        <v>1882</v>
      </c>
      <c r="B951" s="15" t="s">
        <v>1883</v>
      </c>
      <c r="C951" s="16" t="s">
        <v>7</v>
      </c>
      <c r="D951" s="12" t="str">
        <f>IFERROR(__xludf.DUMMYFUNCTION("IFS(
  REGEXMATCH(A951&amp;B951, ""(?i)openai|gpt|gemini|anthropic|claude|mistral|cohere|rag|vector|llm|chatbot|ai-powered""), ""AI &amp; LLM"",
  REGEXMATCH(A951&amp;B951, ""(?i)twitter|instagram|facebook|linkedin|youtube|tiktok|threads|bluesky|pinterest|social vid"&amp;"eo|reels?|shorts?""), ""Social Media"",
  REGEXMATCH(A951&amp;B951, ""(?i)hubspot|pipedrive|stripe|shopify|woocommerce|sales|crm|invoice|order|leads?|recruitment|bamboohr|erpnext""), ""CRM &amp; Sales"",
  REGEXMATCH(A951&amp;B951, ""(?i)gmail|outlook|calendar|slack|"&amp;"discord|telegram|whatsapp|notion|trello|drive|sheets?|meeting|scheduler|appointment|mattermost""), ""Productivity &amp; Communication"",
  REGEXMATCH(A951&amp;B951, ""(?i)github|api|webhook|http|mysql|supabase|mongodb|redis|rss|pr|code review|incident|pagerduty|j"&amp;"ira""), ""Development &amp; Utilities"",
  TRUE, ""Others""
)"),"AI &amp; LLM")</f>
        <v>AI &amp; LLM</v>
      </c>
    </row>
    <row r="952" ht="15.75" customHeight="1">
      <c r="A952" s="14" t="s">
        <v>1884</v>
      </c>
      <c r="B952" s="15" t="s">
        <v>1885</v>
      </c>
      <c r="C952" s="16" t="s">
        <v>7</v>
      </c>
      <c r="D952" s="12" t="str">
        <f>IFERROR(__xludf.DUMMYFUNCTION("IFS(
  REGEXMATCH(A952&amp;B952, ""(?i)openai|gpt|gemini|anthropic|claude|mistral|cohere|rag|vector|llm|chatbot|ai-powered""), ""AI &amp; LLM"",
  REGEXMATCH(A952&amp;B952, ""(?i)twitter|instagram|facebook|linkedin|youtube|tiktok|threads|bluesky|pinterest|social vid"&amp;"eo|reels?|shorts?""), ""Social Media"",
  REGEXMATCH(A952&amp;B952, ""(?i)hubspot|pipedrive|stripe|shopify|woocommerce|sales|crm|invoice|order|leads?|recruitment|bamboohr|erpnext""), ""CRM &amp; Sales"",
  REGEXMATCH(A952&amp;B952, ""(?i)gmail|outlook|calendar|slack|"&amp;"discord|telegram|whatsapp|notion|trello|drive|sheets?|meeting|scheduler|appointment|mattermost""), ""Productivity &amp; Communication"",
  REGEXMATCH(A952&amp;B952, ""(?i)github|api|webhook|http|mysql|supabase|mongodb|redis|rss|pr|code review|incident|pagerduty|j"&amp;"ira""), ""Development &amp; Utilities"",
  TRUE, ""Others""
)"),"AI &amp; LLM")</f>
        <v>AI &amp; LLM</v>
      </c>
    </row>
    <row r="953" ht="15.75" customHeight="1">
      <c r="A953" s="14" t="s">
        <v>1886</v>
      </c>
      <c r="B953" s="15" t="s">
        <v>1887</v>
      </c>
      <c r="C953" s="16" t="s">
        <v>7</v>
      </c>
      <c r="D953" s="12" t="str">
        <f>IFERROR(__xludf.DUMMYFUNCTION("IFS(
  REGEXMATCH(A953&amp;B953, ""(?i)openai|gpt|gemini|anthropic|claude|mistral|cohere|rag|vector|llm|chatbot|ai-powered""), ""AI &amp; LLM"",
  REGEXMATCH(A953&amp;B953, ""(?i)twitter|instagram|facebook|linkedin|youtube|tiktok|threads|bluesky|pinterest|social vid"&amp;"eo|reels?|shorts?""), ""Social Media"",
  REGEXMATCH(A953&amp;B953, ""(?i)hubspot|pipedrive|stripe|shopify|woocommerce|sales|crm|invoice|order|leads?|recruitment|bamboohr|erpnext""), ""CRM &amp; Sales"",
  REGEXMATCH(A953&amp;B953, ""(?i)gmail|outlook|calendar|slack|"&amp;"discord|telegram|whatsapp|notion|trello|drive|sheets?|meeting|scheduler|appointment|mattermost""), ""Productivity &amp; Communication"",
  REGEXMATCH(A953&amp;B953, ""(?i)github|api|webhook|http|mysql|supabase|mongodb|redis|rss|pr|code review|incident|pagerduty|j"&amp;"ira""), ""Development &amp; Utilities"",
  TRUE, ""Others""
)"),"Productivity &amp; Communication")</f>
        <v>Productivity &amp; Communication</v>
      </c>
    </row>
    <row r="954" ht="15.75" customHeight="1">
      <c r="A954" s="14" t="s">
        <v>1888</v>
      </c>
      <c r="B954" s="15" t="s">
        <v>1889</v>
      </c>
      <c r="C954" s="16" t="s">
        <v>7</v>
      </c>
      <c r="D954" s="12" t="str">
        <f>IFERROR(__xludf.DUMMYFUNCTION("IFS(
  REGEXMATCH(A954&amp;B954, ""(?i)openai|gpt|gemini|anthropic|claude|mistral|cohere|rag|vector|llm|chatbot|ai-powered""), ""AI &amp; LLM"",
  REGEXMATCH(A954&amp;B954, ""(?i)twitter|instagram|facebook|linkedin|youtube|tiktok|threads|bluesky|pinterest|social vid"&amp;"eo|reels?|shorts?""), ""Social Media"",
  REGEXMATCH(A954&amp;B954, ""(?i)hubspot|pipedrive|stripe|shopify|woocommerce|sales|crm|invoice|order|leads?|recruitment|bamboohr|erpnext""), ""CRM &amp; Sales"",
  REGEXMATCH(A954&amp;B954, ""(?i)gmail|outlook|calendar|slack|"&amp;"discord|telegram|whatsapp|notion|trello|drive|sheets?|meeting|scheduler|appointment|mattermost""), ""Productivity &amp; Communication"",
  REGEXMATCH(A954&amp;B954, ""(?i)github|api|webhook|http|mysql|supabase|mongodb|redis|rss|pr|code review|incident|pagerduty|j"&amp;"ira""), ""Development &amp; Utilities"",
  TRUE, ""Others""
)"),"Productivity &amp; Communication")</f>
        <v>Productivity &amp; Communication</v>
      </c>
    </row>
    <row r="955" ht="15.75" customHeight="1">
      <c r="A955" s="14" t="s">
        <v>1890</v>
      </c>
      <c r="B955" s="15" t="s">
        <v>1891</v>
      </c>
      <c r="C955" s="16" t="s">
        <v>7</v>
      </c>
      <c r="D955" s="12" t="str">
        <f>IFERROR(__xludf.DUMMYFUNCTION("IFS(
  REGEXMATCH(A955&amp;B955, ""(?i)openai|gpt|gemini|anthropic|claude|mistral|cohere|rag|vector|llm|chatbot|ai-powered""), ""AI &amp; LLM"",
  REGEXMATCH(A955&amp;B955, ""(?i)twitter|instagram|facebook|linkedin|youtube|tiktok|threads|bluesky|pinterest|social vid"&amp;"eo|reels?|shorts?""), ""Social Media"",
  REGEXMATCH(A955&amp;B955, ""(?i)hubspot|pipedrive|stripe|shopify|woocommerce|sales|crm|invoice|order|leads?|recruitment|bamboohr|erpnext""), ""CRM &amp; Sales"",
  REGEXMATCH(A955&amp;B955, ""(?i)gmail|outlook|calendar|slack|"&amp;"discord|telegram|whatsapp|notion|trello|drive|sheets?|meeting|scheduler|appointment|mattermost""), ""Productivity &amp; Communication"",
  REGEXMATCH(A955&amp;B955, ""(?i)github|api|webhook|http|mysql|supabase|mongodb|redis|rss|pr|code review|incident|pagerduty|j"&amp;"ira""), ""Development &amp; Utilities"",
  TRUE, ""Others""
)"),"AI &amp; LLM")</f>
        <v>AI &amp; LLM</v>
      </c>
    </row>
    <row r="956" ht="15.75" customHeight="1">
      <c r="A956" s="14" t="s">
        <v>1892</v>
      </c>
      <c r="B956" s="15" t="s">
        <v>1893</v>
      </c>
      <c r="C956" s="16" t="s">
        <v>7</v>
      </c>
      <c r="D956" s="12" t="str">
        <f>IFERROR(__xludf.DUMMYFUNCTION("IFS(
  REGEXMATCH(A956&amp;B956, ""(?i)openai|gpt|gemini|anthropic|claude|mistral|cohere|rag|vector|llm|chatbot|ai-powered""), ""AI &amp; LLM"",
  REGEXMATCH(A956&amp;B956, ""(?i)twitter|instagram|facebook|linkedin|youtube|tiktok|threads|bluesky|pinterest|social vid"&amp;"eo|reels?|shorts?""), ""Social Media"",
  REGEXMATCH(A956&amp;B956, ""(?i)hubspot|pipedrive|stripe|shopify|woocommerce|sales|crm|invoice|order|leads?|recruitment|bamboohr|erpnext""), ""CRM &amp; Sales"",
  REGEXMATCH(A956&amp;B956, ""(?i)gmail|outlook|calendar|slack|"&amp;"discord|telegram|whatsapp|notion|trello|drive|sheets?|meeting|scheduler|appointment|mattermost""), ""Productivity &amp; Communication"",
  REGEXMATCH(A956&amp;B956, ""(?i)github|api|webhook|http|mysql|supabase|mongodb|redis|rss|pr|code review|incident|pagerduty|j"&amp;"ira""), ""Development &amp; Utilities"",
  TRUE, ""Others""
)"),"Productivity &amp; Communication")</f>
        <v>Productivity &amp; Communication</v>
      </c>
    </row>
    <row r="957" ht="15.75" customHeight="1">
      <c r="A957" s="14" t="s">
        <v>1894</v>
      </c>
      <c r="B957" s="15" t="s">
        <v>1895</v>
      </c>
      <c r="C957" s="16" t="s">
        <v>7</v>
      </c>
      <c r="D957" s="12" t="str">
        <f>IFERROR(__xludf.DUMMYFUNCTION("IFS(
  REGEXMATCH(A957&amp;B957, ""(?i)openai|gpt|gemini|anthropic|claude|mistral|cohere|rag|vector|llm|chatbot|ai-powered""), ""AI &amp; LLM"",
  REGEXMATCH(A957&amp;B957, ""(?i)twitter|instagram|facebook|linkedin|youtube|tiktok|threads|bluesky|pinterest|social vid"&amp;"eo|reels?|shorts?""), ""Social Media"",
  REGEXMATCH(A957&amp;B957, ""(?i)hubspot|pipedrive|stripe|shopify|woocommerce|sales|crm|invoice|order|leads?|recruitment|bamboohr|erpnext""), ""CRM &amp; Sales"",
  REGEXMATCH(A957&amp;B957, ""(?i)gmail|outlook|calendar|slack|"&amp;"discord|telegram|whatsapp|notion|trello|drive|sheets?|meeting|scheduler|appointment|mattermost""), ""Productivity &amp; Communication"",
  REGEXMATCH(A957&amp;B957, ""(?i)github|api|webhook|http|mysql|supabase|mongodb|redis|rss|pr|code review|incident|pagerduty|j"&amp;"ira""), ""Development &amp; Utilities"",
  TRUE, ""Others""
)"),"AI &amp; LLM")</f>
        <v>AI &amp; LLM</v>
      </c>
    </row>
    <row r="958" ht="15.75" customHeight="1">
      <c r="A958" s="14" t="s">
        <v>1896</v>
      </c>
      <c r="B958" s="15" t="s">
        <v>1897</v>
      </c>
      <c r="C958" s="16" t="s">
        <v>7</v>
      </c>
      <c r="D958" s="12" t="str">
        <f>IFERROR(__xludf.DUMMYFUNCTION("IFS(
  REGEXMATCH(A958&amp;B958, ""(?i)openai|gpt|gemini|anthropic|claude|mistral|cohere|rag|vector|llm|chatbot|ai-powered""), ""AI &amp; LLM"",
  REGEXMATCH(A958&amp;B958, ""(?i)twitter|instagram|facebook|linkedin|youtube|tiktok|threads|bluesky|pinterest|social vid"&amp;"eo|reels?|shorts?""), ""Social Media"",
  REGEXMATCH(A958&amp;B958, ""(?i)hubspot|pipedrive|stripe|shopify|woocommerce|sales|crm|invoice|order|leads?|recruitment|bamboohr|erpnext""), ""CRM &amp; Sales"",
  REGEXMATCH(A958&amp;B958, ""(?i)gmail|outlook|calendar|slack|"&amp;"discord|telegram|whatsapp|notion|trello|drive|sheets?|meeting|scheduler|appointment|mattermost""), ""Productivity &amp; Communication"",
  REGEXMATCH(A958&amp;B958, ""(?i)github|api|webhook|http|mysql|supabase|mongodb|redis|rss|pr|code review|incident|pagerduty|j"&amp;"ira""), ""Development &amp; Utilities"",
  TRUE, ""Others""
)"),"AI &amp; LLM")</f>
        <v>AI &amp; LLM</v>
      </c>
    </row>
    <row r="959" ht="15.75" customHeight="1">
      <c r="A959" s="14" t="s">
        <v>1898</v>
      </c>
      <c r="B959" s="15" t="s">
        <v>1899</v>
      </c>
      <c r="C959" s="16" t="s">
        <v>7</v>
      </c>
      <c r="D959" s="12" t="str">
        <f>IFERROR(__xludf.DUMMYFUNCTION("IFS(
  REGEXMATCH(A959&amp;B959, ""(?i)openai|gpt|gemini|anthropic|claude|mistral|cohere|rag|vector|llm|chatbot|ai-powered""), ""AI &amp; LLM"",
  REGEXMATCH(A959&amp;B959, ""(?i)twitter|instagram|facebook|linkedin|youtube|tiktok|threads|bluesky|pinterest|social vid"&amp;"eo|reels?|shorts?""), ""Social Media"",
  REGEXMATCH(A959&amp;B959, ""(?i)hubspot|pipedrive|stripe|shopify|woocommerce|sales|crm|invoice|order|leads?|recruitment|bamboohr|erpnext""), ""CRM &amp; Sales"",
  REGEXMATCH(A959&amp;B959, ""(?i)gmail|outlook|calendar|slack|"&amp;"discord|telegram|whatsapp|notion|trello|drive|sheets?|meeting|scheduler|appointment|mattermost""), ""Productivity &amp; Communication"",
  REGEXMATCH(A959&amp;B959, ""(?i)github|api|webhook|http|mysql|supabase|mongodb|redis|rss|pr|code review|incident|pagerduty|j"&amp;"ira""), ""Development &amp; Utilities"",
  TRUE, ""Others""
)"),"AI &amp; LLM")</f>
        <v>AI &amp; LLM</v>
      </c>
    </row>
    <row r="960" ht="15.75" customHeight="1">
      <c r="A960" s="14" t="s">
        <v>1900</v>
      </c>
      <c r="B960" s="15" t="s">
        <v>1901</v>
      </c>
      <c r="C960" s="16" t="s">
        <v>7</v>
      </c>
      <c r="D960" s="12" t="str">
        <f>IFERROR(__xludf.DUMMYFUNCTION("IFS(
  REGEXMATCH(A960&amp;B960, ""(?i)openai|gpt|gemini|anthropic|claude|mistral|cohere|rag|vector|llm|chatbot|ai-powered""), ""AI &amp; LLM"",
  REGEXMATCH(A960&amp;B960, ""(?i)twitter|instagram|facebook|linkedin|youtube|tiktok|threads|bluesky|pinterest|social vid"&amp;"eo|reels?|shorts?""), ""Social Media"",
  REGEXMATCH(A960&amp;B960, ""(?i)hubspot|pipedrive|stripe|shopify|woocommerce|sales|crm|invoice|order|leads?|recruitment|bamboohr|erpnext""), ""CRM &amp; Sales"",
  REGEXMATCH(A960&amp;B960, ""(?i)gmail|outlook|calendar|slack|"&amp;"discord|telegram|whatsapp|notion|trello|drive|sheets?|meeting|scheduler|appointment|mattermost""), ""Productivity &amp; Communication"",
  REGEXMATCH(A960&amp;B960, ""(?i)github|api|webhook|http|mysql|supabase|mongodb|redis|rss|pr|code review|incident|pagerduty|j"&amp;"ira""), ""Development &amp; Utilities"",
  TRUE, ""Others""
)"),"AI &amp; LLM")</f>
        <v>AI &amp; LLM</v>
      </c>
    </row>
    <row r="961" ht="15.75" customHeight="1">
      <c r="A961" s="14" t="s">
        <v>1902</v>
      </c>
      <c r="B961" s="15" t="s">
        <v>1903</v>
      </c>
      <c r="C961" s="16" t="s">
        <v>7</v>
      </c>
      <c r="D961" s="12" t="str">
        <f>IFERROR(__xludf.DUMMYFUNCTION("IFS(
  REGEXMATCH(A961&amp;B961, ""(?i)openai|gpt|gemini|anthropic|claude|mistral|cohere|rag|vector|llm|chatbot|ai-powered""), ""AI &amp; LLM"",
  REGEXMATCH(A961&amp;B961, ""(?i)twitter|instagram|facebook|linkedin|youtube|tiktok|threads|bluesky|pinterest|social vid"&amp;"eo|reels?|shorts?""), ""Social Media"",
  REGEXMATCH(A961&amp;B961, ""(?i)hubspot|pipedrive|stripe|shopify|woocommerce|sales|crm|invoice|order|leads?|recruitment|bamboohr|erpnext""), ""CRM &amp; Sales"",
  REGEXMATCH(A961&amp;B961, ""(?i)gmail|outlook|calendar|slack|"&amp;"discord|telegram|whatsapp|notion|trello|drive|sheets?|meeting|scheduler|appointment|mattermost""), ""Productivity &amp; Communication"",
  REGEXMATCH(A961&amp;B961, ""(?i)github|api|webhook|http|mysql|supabase|mongodb|redis|rss|pr|code review|incident|pagerduty|j"&amp;"ira""), ""Development &amp; Utilities"",
  TRUE, ""Others""
)"),"AI &amp; LLM")</f>
        <v>AI &amp; LLM</v>
      </c>
    </row>
    <row r="962" ht="15.75" customHeight="1">
      <c r="A962" s="14" t="s">
        <v>1904</v>
      </c>
      <c r="B962" s="15" t="s">
        <v>1905</v>
      </c>
      <c r="C962" s="16" t="s">
        <v>7</v>
      </c>
      <c r="D962" s="12" t="str">
        <f>IFERROR(__xludf.DUMMYFUNCTION("IFS(
  REGEXMATCH(A962&amp;B962, ""(?i)openai|gpt|gemini|anthropic|claude|mistral|cohere|rag|vector|llm|chatbot|ai-powered""), ""AI &amp; LLM"",
  REGEXMATCH(A962&amp;B962, ""(?i)twitter|instagram|facebook|linkedin|youtube|tiktok|threads|bluesky|pinterest|social vid"&amp;"eo|reels?|shorts?""), ""Social Media"",
  REGEXMATCH(A962&amp;B962, ""(?i)hubspot|pipedrive|stripe|shopify|woocommerce|sales|crm|invoice|order|leads?|recruitment|bamboohr|erpnext""), ""CRM &amp; Sales"",
  REGEXMATCH(A962&amp;B962, ""(?i)gmail|outlook|calendar|slack|"&amp;"discord|telegram|whatsapp|notion|trello|drive|sheets?|meeting|scheduler|appointment|mattermost""), ""Productivity &amp; Communication"",
  REGEXMATCH(A962&amp;B962, ""(?i)github|api|webhook|http|mysql|supabase|mongodb|redis|rss|pr|code review|incident|pagerduty|j"&amp;"ira""), ""Development &amp; Utilities"",
  TRUE, ""Others""
)"),"CRM &amp; Sales")</f>
        <v>CRM &amp; Sales</v>
      </c>
    </row>
    <row r="963" ht="15.75" customHeight="1">
      <c r="A963" s="14" t="s">
        <v>1906</v>
      </c>
      <c r="B963" s="15" t="s">
        <v>1907</v>
      </c>
      <c r="C963" s="16" t="s">
        <v>7</v>
      </c>
      <c r="D963" s="12" t="str">
        <f>IFERROR(__xludf.DUMMYFUNCTION("IFS(
  REGEXMATCH(A963&amp;B963, ""(?i)openai|gpt|gemini|anthropic|claude|mistral|cohere|rag|vector|llm|chatbot|ai-powered""), ""AI &amp; LLM"",
  REGEXMATCH(A963&amp;B963, ""(?i)twitter|instagram|facebook|linkedin|youtube|tiktok|threads|bluesky|pinterest|social vid"&amp;"eo|reels?|shorts?""), ""Social Media"",
  REGEXMATCH(A963&amp;B963, ""(?i)hubspot|pipedrive|stripe|shopify|woocommerce|sales|crm|invoice|order|leads?|recruitment|bamboohr|erpnext""), ""CRM &amp; Sales"",
  REGEXMATCH(A963&amp;B963, ""(?i)gmail|outlook|calendar|slack|"&amp;"discord|telegram|whatsapp|notion|trello|drive|sheets?|meeting|scheduler|appointment|mattermost""), ""Productivity &amp; Communication"",
  REGEXMATCH(A963&amp;B963, ""(?i)github|api|webhook|http|mysql|supabase|mongodb|redis|rss|pr|code review|incident|pagerduty|j"&amp;"ira""), ""Development &amp; Utilities"",
  TRUE, ""Others""
)"),"Productivity &amp; Communication")</f>
        <v>Productivity &amp; Communication</v>
      </c>
    </row>
    <row r="964" ht="15.75" customHeight="1">
      <c r="A964" s="14" t="s">
        <v>1908</v>
      </c>
      <c r="B964" s="15" t="s">
        <v>1909</v>
      </c>
      <c r="C964" s="16" t="s">
        <v>7</v>
      </c>
      <c r="D964" s="12" t="str">
        <f>IFERROR(__xludf.DUMMYFUNCTION("IFS(
  REGEXMATCH(A964&amp;B964, ""(?i)openai|gpt|gemini|anthropic|claude|mistral|cohere|rag|vector|llm|chatbot|ai-powered""), ""AI &amp; LLM"",
  REGEXMATCH(A964&amp;B964, ""(?i)twitter|instagram|facebook|linkedin|youtube|tiktok|threads|bluesky|pinterest|social vid"&amp;"eo|reels?|shorts?""), ""Social Media"",
  REGEXMATCH(A964&amp;B964, ""(?i)hubspot|pipedrive|stripe|shopify|woocommerce|sales|crm|invoice|order|leads?|recruitment|bamboohr|erpnext""), ""CRM &amp; Sales"",
  REGEXMATCH(A964&amp;B964, ""(?i)gmail|outlook|calendar|slack|"&amp;"discord|telegram|whatsapp|notion|trello|drive|sheets?|meeting|scheduler|appointment|mattermost""), ""Productivity &amp; Communication"",
  REGEXMATCH(A964&amp;B964, ""(?i)github|api|webhook|http|mysql|supabase|mongodb|redis|rss|pr|code review|incident|pagerduty|j"&amp;"ira""), ""Development &amp; Utilities"",
  TRUE, ""Others""
)"),"AI &amp; LLM")</f>
        <v>AI &amp; LLM</v>
      </c>
    </row>
    <row r="965" ht="15.75" customHeight="1">
      <c r="A965" s="14" t="s">
        <v>1910</v>
      </c>
      <c r="B965" s="15" t="s">
        <v>1911</v>
      </c>
      <c r="C965" s="16" t="s">
        <v>7</v>
      </c>
      <c r="D965" s="12" t="str">
        <f>IFERROR(__xludf.DUMMYFUNCTION("IFS(
  REGEXMATCH(A965&amp;B965, ""(?i)openai|gpt|gemini|anthropic|claude|mistral|cohere|rag|vector|llm|chatbot|ai-powered""), ""AI &amp; LLM"",
  REGEXMATCH(A965&amp;B965, ""(?i)twitter|instagram|facebook|linkedin|youtube|tiktok|threads|bluesky|pinterest|social vid"&amp;"eo|reels?|shorts?""), ""Social Media"",
  REGEXMATCH(A965&amp;B965, ""(?i)hubspot|pipedrive|stripe|shopify|woocommerce|sales|crm|invoice|order|leads?|recruitment|bamboohr|erpnext""), ""CRM &amp; Sales"",
  REGEXMATCH(A965&amp;B965, ""(?i)gmail|outlook|calendar|slack|"&amp;"discord|telegram|whatsapp|notion|trello|drive|sheets?|meeting|scheduler|appointment|mattermost""), ""Productivity &amp; Communication"",
  REGEXMATCH(A965&amp;B965, ""(?i)github|api|webhook|http|mysql|supabase|mongodb|redis|rss|pr|code review|incident|pagerduty|j"&amp;"ira""), ""Development &amp; Utilities"",
  TRUE, ""Others""
)"),"AI &amp; LLM")</f>
        <v>AI &amp; LLM</v>
      </c>
    </row>
    <row r="966" ht="15.75" customHeight="1">
      <c r="A966" s="14" t="s">
        <v>1912</v>
      </c>
      <c r="B966" s="15" t="s">
        <v>1913</v>
      </c>
      <c r="C966" s="16" t="s">
        <v>7</v>
      </c>
      <c r="D966" s="12" t="str">
        <f>IFERROR(__xludf.DUMMYFUNCTION("IFS(
  REGEXMATCH(A966&amp;B966, ""(?i)openai|gpt|gemini|anthropic|claude|mistral|cohere|rag|vector|llm|chatbot|ai-powered""), ""AI &amp; LLM"",
  REGEXMATCH(A966&amp;B966, ""(?i)twitter|instagram|facebook|linkedin|youtube|tiktok|threads|bluesky|pinterest|social vid"&amp;"eo|reels?|shorts?""), ""Social Media"",
  REGEXMATCH(A966&amp;B966, ""(?i)hubspot|pipedrive|stripe|shopify|woocommerce|sales|crm|invoice|order|leads?|recruitment|bamboohr|erpnext""), ""CRM &amp; Sales"",
  REGEXMATCH(A966&amp;B966, ""(?i)gmail|outlook|calendar|slack|"&amp;"discord|telegram|whatsapp|notion|trello|drive|sheets?|meeting|scheduler|appointment|mattermost""), ""Productivity &amp; Communication"",
  REGEXMATCH(A966&amp;B966, ""(?i)github|api|webhook|http|mysql|supabase|mongodb|redis|rss|pr|code review|incident|pagerduty|j"&amp;"ira""), ""Development &amp; Utilities"",
  TRUE, ""Others""
)"),"AI &amp; LLM")</f>
        <v>AI &amp; LLM</v>
      </c>
    </row>
    <row r="967" ht="15.75" customHeight="1">
      <c r="A967" s="14" t="s">
        <v>1914</v>
      </c>
      <c r="B967" s="15" t="s">
        <v>1915</v>
      </c>
      <c r="C967" s="16" t="s">
        <v>7</v>
      </c>
      <c r="D967" s="12" t="str">
        <f>IFERROR(__xludf.DUMMYFUNCTION("IFS(
  REGEXMATCH(A967&amp;B967, ""(?i)openai|gpt|gemini|anthropic|claude|mistral|cohere|rag|vector|llm|chatbot|ai-powered""), ""AI &amp; LLM"",
  REGEXMATCH(A967&amp;B967, ""(?i)twitter|instagram|facebook|linkedin|youtube|tiktok|threads|bluesky|pinterest|social vid"&amp;"eo|reels?|shorts?""), ""Social Media"",
  REGEXMATCH(A967&amp;B967, ""(?i)hubspot|pipedrive|stripe|shopify|woocommerce|sales|crm|invoice|order|leads?|recruitment|bamboohr|erpnext""), ""CRM &amp; Sales"",
  REGEXMATCH(A967&amp;B967, ""(?i)gmail|outlook|calendar|slack|"&amp;"discord|telegram|whatsapp|notion|trello|drive|sheets?|meeting|scheduler|appointment|mattermost""), ""Productivity &amp; Communication"",
  REGEXMATCH(A967&amp;B967, ""(?i)github|api|webhook|http|mysql|supabase|mongodb|redis|rss|pr|code review|incident|pagerduty|j"&amp;"ira""), ""Development &amp; Utilities"",
  TRUE, ""Others""
)"),"Development &amp; Utilities")</f>
        <v>Development &amp; Utilities</v>
      </c>
    </row>
    <row r="968" ht="15.75" customHeight="1">
      <c r="A968" s="14" t="s">
        <v>1916</v>
      </c>
      <c r="B968" s="15" t="s">
        <v>1917</v>
      </c>
      <c r="C968" s="16" t="s">
        <v>7</v>
      </c>
      <c r="D968" s="12" t="str">
        <f>IFERROR(__xludf.DUMMYFUNCTION("IFS(
  REGEXMATCH(A968&amp;B968, ""(?i)openai|gpt|gemini|anthropic|claude|mistral|cohere|rag|vector|llm|chatbot|ai-powered""), ""AI &amp; LLM"",
  REGEXMATCH(A968&amp;B968, ""(?i)twitter|instagram|facebook|linkedin|youtube|tiktok|threads|bluesky|pinterest|social vid"&amp;"eo|reels?|shorts?""), ""Social Media"",
  REGEXMATCH(A968&amp;B968, ""(?i)hubspot|pipedrive|stripe|shopify|woocommerce|sales|crm|invoice|order|leads?|recruitment|bamboohr|erpnext""), ""CRM &amp; Sales"",
  REGEXMATCH(A968&amp;B968, ""(?i)gmail|outlook|calendar|slack|"&amp;"discord|telegram|whatsapp|notion|trello|drive|sheets?|meeting|scheduler|appointment|mattermost""), ""Productivity &amp; Communication"",
  REGEXMATCH(A968&amp;B968, ""(?i)github|api|webhook|http|mysql|supabase|mongodb|redis|rss|pr|code review|incident|pagerduty|j"&amp;"ira""), ""Development &amp; Utilities"",
  TRUE, ""Others""
)"),"AI &amp; LLM")</f>
        <v>AI &amp; LLM</v>
      </c>
    </row>
    <row r="969" ht="15.75" customHeight="1">
      <c r="A969" s="14" t="s">
        <v>1918</v>
      </c>
      <c r="B969" s="15" t="s">
        <v>1919</v>
      </c>
      <c r="C969" s="16" t="s">
        <v>7</v>
      </c>
      <c r="D969" s="12" t="str">
        <f>IFERROR(__xludf.DUMMYFUNCTION("IFS(
  REGEXMATCH(A969&amp;B969, ""(?i)openai|gpt|gemini|anthropic|claude|mistral|cohere|rag|vector|llm|chatbot|ai-powered""), ""AI &amp; LLM"",
  REGEXMATCH(A969&amp;B969, ""(?i)twitter|instagram|facebook|linkedin|youtube|tiktok|threads|bluesky|pinterest|social vid"&amp;"eo|reels?|shorts?""), ""Social Media"",
  REGEXMATCH(A969&amp;B969, ""(?i)hubspot|pipedrive|stripe|shopify|woocommerce|sales|crm|invoice|order|leads?|recruitment|bamboohr|erpnext""), ""CRM &amp; Sales"",
  REGEXMATCH(A969&amp;B969, ""(?i)gmail|outlook|calendar|slack|"&amp;"discord|telegram|whatsapp|notion|trello|drive|sheets?|meeting|scheduler|appointment|mattermost""), ""Productivity &amp; Communication"",
  REGEXMATCH(A969&amp;B969, ""(?i)github|api|webhook|http|mysql|supabase|mongodb|redis|rss|pr|code review|incident|pagerduty|j"&amp;"ira""), ""Development &amp; Utilities"",
  TRUE, ""Others""
)"),"AI &amp; LLM")</f>
        <v>AI &amp; LLM</v>
      </c>
    </row>
    <row r="970" ht="15.75" customHeight="1">
      <c r="A970" s="14" t="s">
        <v>1920</v>
      </c>
      <c r="B970" s="15" t="s">
        <v>1921</v>
      </c>
      <c r="C970" s="16" t="s">
        <v>7</v>
      </c>
      <c r="D970" s="12" t="str">
        <f>IFERROR(__xludf.DUMMYFUNCTION("IFS(
  REGEXMATCH(A970&amp;B970, ""(?i)openai|gpt|gemini|anthropic|claude|mistral|cohere|rag|vector|llm|chatbot|ai-powered""), ""AI &amp; LLM"",
  REGEXMATCH(A970&amp;B970, ""(?i)twitter|instagram|facebook|linkedin|youtube|tiktok|threads|bluesky|pinterest|social vid"&amp;"eo|reels?|shorts?""), ""Social Media"",
  REGEXMATCH(A970&amp;B970, ""(?i)hubspot|pipedrive|stripe|shopify|woocommerce|sales|crm|invoice|order|leads?|recruitment|bamboohr|erpnext""), ""CRM &amp; Sales"",
  REGEXMATCH(A970&amp;B970, ""(?i)gmail|outlook|calendar|slack|"&amp;"discord|telegram|whatsapp|notion|trello|drive|sheets?|meeting|scheduler|appointment|mattermost""), ""Productivity &amp; Communication"",
  REGEXMATCH(A970&amp;B970, ""(?i)github|api|webhook|http|mysql|supabase|mongodb|redis|rss|pr|code review|incident|pagerduty|j"&amp;"ira""), ""Development &amp; Utilities"",
  TRUE, ""Others""
)"),"AI &amp; LLM")</f>
        <v>AI &amp; LLM</v>
      </c>
    </row>
    <row r="971" ht="15.75" customHeight="1">
      <c r="A971" s="14" t="s">
        <v>1922</v>
      </c>
      <c r="B971" s="15" t="s">
        <v>1923</v>
      </c>
      <c r="C971" s="16" t="s">
        <v>7</v>
      </c>
      <c r="D971" s="12" t="str">
        <f>IFERROR(__xludf.DUMMYFUNCTION("IFS(
  REGEXMATCH(A971&amp;B971, ""(?i)openai|gpt|gemini|anthropic|claude|mistral|cohere|rag|vector|llm|chatbot|ai-powered""), ""AI &amp; LLM"",
  REGEXMATCH(A971&amp;B971, ""(?i)twitter|instagram|facebook|linkedin|youtube|tiktok|threads|bluesky|pinterest|social vid"&amp;"eo|reels?|shorts?""), ""Social Media"",
  REGEXMATCH(A971&amp;B971, ""(?i)hubspot|pipedrive|stripe|shopify|woocommerce|sales|crm|invoice|order|leads?|recruitment|bamboohr|erpnext""), ""CRM &amp; Sales"",
  REGEXMATCH(A971&amp;B971, ""(?i)gmail|outlook|calendar|slack|"&amp;"discord|telegram|whatsapp|notion|trello|drive|sheets?|meeting|scheduler|appointment|mattermost""), ""Productivity &amp; Communication"",
  REGEXMATCH(A971&amp;B971, ""(?i)github|api|webhook|http|mysql|supabase|mongodb|redis|rss|pr|code review|incident|pagerduty|j"&amp;"ira""), ""Development &amp; Utilities"",
  TRUE, ""Others""
)"),"Social Media")</f>
        <v>Social Media</v>
      </c>
    </row>
    <row r="972" ht="15.75" customHeight="1">
      <c r="A972" s="14" t="s">
        <v>1924</v>
      </c>
      <c r="B972" s="15" t="s">
        <v>1925</v>
      </c>
      <c r="C972" s="16" t="s">
        <v>7</v>
      </c>
      <c r="D972" s="12" t="str">
        <f>IFERROR(__xludf.DUMMYFUNCTION("IFS(
  REGEXMATCH(A972&amp;B972, ""(?i)openai|gpt|gemini|anthropic|claude|mistral|cohere|rag|vector|llm|chatbot|ai-powered""), ""AI &amp; LLM"",
  REGEXMATCH(A972&amp;B972, ""(?i)twitter|instagram|facebook|linkedin|youtube|tiktok|threads|bluesky|pinterest|social vid"&amp;"eo|reels?|shorts?""), ""Social Media"",
  REGEXMATCH(A972&amp;B972, ""(?i)hubspot|pipedrive|stripe|shopify|woocommerce|sales|crm|invoice|order|leads?|recruitment|bamboohr|erpnext""), ""CRM &amp; Sales"",
  REGEXMATCH(A972&amp;B972, ""(?i)gmail|outlook|calendar|slack|"&amp;"discord|telegram|whatsapp|notion|trello|drive|sheets?|meeting|scheduler|appointment|mattermost""), ""Productivity &amp; Communication"",
  REGEXMATCH(A972&amp;B972, ""(?i)github|api|webhook|http|mysql|supabase|mongodb|redis|rss|pr|code review|incident|pagerduty|j"&amp;"ira""), ""Development &amp; Utilities"",
  TRUE, ""Others""
)"),"Productivity &amp; Communication")</f>
        <v>Productivity &amp; Communication</v>
      </c>
    </row>
    <row r="973" ht="15.75" customHeight="1">
      <c r="A973" s="14" t="s">
        <v>1926</v>
      </c>
      <c r="B973" s="15" t="s">
        <v>1927</v>
      </c>
      <c r="C973" s="16" t="s">
        <v>7</v>
      </c>
      <c r="D973" s="12" t="str">
        <f>IFERROR(__xludf.DUMMYFUNCTION("IFS(
  REGEXMATCH(A973&amp;B973, ""(?i)openai|gpt|gemini|anthropic|claude|mistral|cohere|rag|vector|llm|chatbot|ai-powered""), ""AI &amp; LLM"",
  REGEXMATCH(A973&amp;B973, ""(?i)twitter|instagram|facebook|linkedin|youtube|tiktok|threads|bluesky|pinterest|social vid"&amp;"eo|reels?|shorts?""), ""Social Media"",
  REGEXMATCH(A973&amp;B973, ""(?i)hubspot|pipedrive|stripe|shopify|woocommerce|sales|crm|invoice|order|leads?|recruitment|bamboohr|erpnext""), ""CRM &amp; Sales"",
  REGEXMATCH(A973&amp;B973, ""(?i)gmail|outlook|calendar|slack|"&amp;"discord|telegram|whatsapp|notion|trello|drive|sheets?|meeting|scheduler|appointment|mattermost""), ""Productivity &amp; Communication"",
  REGEXMATCH(A973&amp;B973, ""(?i)github|api|webhook|http|mysql|supabase|mongodb|redis|rss|pr|code review|incident|pagerduty|j"&amp;"ira""), ""Development &amp; Utilities"",
  TRUE, ""Others""
)"),"Social Media")</f>
        <v>Social Media</v>
      </c>
    </row>
    <row r="974" ht="15.75" customHeight="1">
      <c r="A974" s="14" t="s">
        <v>1928</v>
      </c>
      <c r="B974" s="15" t="s">
        <v>1929</v>
      </c>
      <c r="C974" s="16" t="s">
        <v>7</v>
      </c>
      <c r="D974" s="12" t="str">
        <f>IFERROR(__xludf.DUMMYFUNCTION("IFS(
  REGEXMATCH(A974&amp;B974, ""(?i)openai|gpt|gemini|anthropic|claude|mistral|cohere|rag|vector|llm|chatbot|ai-powered""), ""AI &amp; LLM"",
  REGEXMATCH(A974&amp;B974, ""(?i)twitter|instagram|facebook|linkedin|youtube|tiktok|threads|bluesky|pinterest|social vid"&amp;"eo|reels?|shorts?""), ""Social Media"",
  REGEXMATCH(A974&amp;B974, ""(?i)hubspot|pipedrive|stripe|shopify|woocommerce|sales|crm|invoice|order|leads?|recruitment|bamboohr|erpnext""), ""CRM &amp; Sales"",
  REGEXMATCH(A974&amp;B974, ""(?i)gmail|outlook|calendar|slack|"&amp;"discord|telegram|whatsapp|notion|trello|drive|sheets?|meeting|scheduler|appointment|mattermost""), ""Productivity &amp; Communication"",
  REGEXMATCH(A974&amp;B974, ""(?i)github|api|webhook|http|mysql|supabase|mongodb|redis|rss|pr|code review|incident|pagerduty|j"&amp;"ira""), ""Development &amp; Utilities"",
  TRUE, ""Others""
)"),"Development &amp; Utilities")</f>
        <v>Development &amp; Utilities</v>
      </c>
    </row>
    <row r="975" ht="15.75" customHeight="1">
      <c r="A975" s="14" t="s">
        <v>1930</v>
      </c>
      <c r="B975" s="15" t="s">
        <v>1931</v>
      </c>
      <c r="C975" s="16" t="s">
        <v>7</v>
      </c>
      <c r="D975" s="12" t="str">
        <f>IFERROR(__xludf.DUMMYFUNCTION("IFS(
  REGEXMATCH(A975&amp;B975, ""(?i)openai|gpt|gemini|anthropic|claude|mistral|cohere|rag|vector|llm|chatbot|ai-powered""), ""AI &amp; LLM"",
  REGEXMATCH(A975&amp;B975, ""(?i)twitter|instagram|facebook|linkedin|youtube|tiktok|threads|bluesky|pinterest|social vid"&amp;"eo|reels?|shorts?""), ""Social Media"",
  REGEXMATCH(A975&amp;B975, ""(?i)hubspot|pipedrive|stripe|shopify|woocommerce|sales|crm|invoice|order|leads?|recruitment|bamboohr|erpnext""), ""CRM &amp; Sales"",
  REGEXMATCH(A975&amp;B975, ""(?i)gmail|outlook|calendar|slack|"&amp;"discord|telegram|whatsapp|notion|trello|drive|sheets?|meeting|scheduler|appointment|mattermost""), ""Productivity &amp; Communication"",
  REGEXMATCH(A975&amp;B975, ""(?i)github|api|webhook|http|mysql|supabase|mongodb|redis|rss|pr|code review|incident|pagerduty|j"&amp;"ira""), ""Development &amp; Utilities"",
  TRUE, ""Others""
)"),"Development &amp; Utilities")</f>
        <v>Development &amp; Utilities</v>
      </c>
    </row>
    <row r="976" ht="15.75" customHeight="1">
      <c r="A976" s="14" t="s">
        <v>1932</v>
      </c>
      <c r="B976" s="15" t="s">
        <v>1933</v>
      </c>
      <c r="C976" s="16" t="s">
        <v>7</v>
      </c>
      <c r="D976" s="12" t="str">
        <f>IFERROR(__xludf.DUMMYFUNCTION("IFS(
  REGEXMATCH(A976&amp;B976, ""(?i)openai|gpt|gemini|anthropic|claude|mistral|cohere|rag|vector|llm|chatbot|ai-powered""), ""AI &amp; LLM"",
  REGEXMATCH(A976&amp;B976, ""(?i)twitter|instagram|facebook|linkedin|youtube|tiktok|threads|bluesky|pinterest|social vid"&amp;"eo|reels?|shorts?""), ""Social Media"",
  REGEXMATCH(A976&amp;B976, ""(?i)hubspot|pipedrive|stripe|shopify|woocommerce|sales|crm|invoice|order|leads?|recruitment|bamboohr|erpnext""), ""CRM &amp; Sales"",
  REGEXMATCH(A976&amp;B976, ""(?i)gmail|outlook|calendar|slack|"&amp;"discord|telegram|whatsapp|notion|trello|drive|sheets?|meeting|scheduler|appointment|mattermost""), ""Productivity &amp; Communication"",
  REGEXMATCH(A976&amp;B976, ""(?i)github|api|webhook|http|mysql|supabase|mongodb|redis|rss|pr|code review|incident|pagerduty|j"&amp;"ira""), ""Development &amp; Utilities"",
  TRUE, ""Others""
)"),"AI &amp; LLM")</f>
        <v>AI &amp; LLM</v>
      </c>
    </row>
    <row r="977" ht="15.75" customHeight="1">
      <c r="A977" s="14" t="s">
        <v>1934</v>
      </c>
      <c r="B977" s="15" t="s">
        <v>1935</v>
      </c>
      <c r="C977" s="16" t="s">
        <v>7</v>
      </c>
      <c r="D977" s="12" t="str">
        <f>IFERROR(__xludf.DUMMYFUNCTION("IFS(
  REGEXMATCH(A977&amp;B977, ""(?i)openai|gpt|gemini|anthropic|claude|mistral|cohere|rag|vector|llm|chatbot|ai-powered""), ""AI &amp; LLM"",
  REGEXMATCH(A977&amp;B977, ""(?i)twitter|instagram|facebook|linkedin|youtube|tiktok|threads|bluesky|pinterest|social vid"&amp;"eo|reels?|shorts?""), ""Social Media"",
  REGEXMATCH(A977&amp;B977, ""(?i)hubspot|pipedrive|stripe|shopify|woocommerce|sales|crm|invoice|order|leads?|recruitment|bamboohr|erpnext""), ""CRM &amp; Sales"",
  REGEXMATCH(A977&amp;B977, ""(?i)gmail|outlook|calendar|slack|"&amp;"discord|telegram|whatsapp|notion|trello|drive|sheets?|meeting|scheduler|appointment|mattermost""), ""Productivity &amp; Communication"",
  REGEXMATCH(A977&amp;B977, ""(?i)github|api|webhook|http|mysql|supabase|mongodb|redis|rss|pr|code review|incident|pagerduty|j"&amp;"ira""), ""Development &amp; Utilities"",
  TRUE, ""Others""
)"),"Productivity &amp; Communication")</f>
        <v>Productivity &amp; Communication</v>
      </c>
    </row>
    <row r="978" ht="15.75" customHeight="1">
      <c r="A978" s="14" t="s">
        <v>1936</v>
      </c>
      <c r="B978" s="15" t="s">
        <v>1937</v>
      </c>
      <c r="C978" s="16" t="s">
        <v>7</v>
      </c>
      <c r="D978" s="12" t="str">
        <f>IFERROR(__xludf.DUMMYFUNCTION("IFS(
  REGEXMATCH(A978&amp;B978, ""(?i)openai|gpt|gemini|anthropic|claude|mistral|cohere|rag|vector|llm|chatbot|ai-powered""), ""AI &amp; LLM"",
  REGEXMATCH(A978&amp;B978, ""(?i)twitter|instagram|facebook|linkedin|youtube|tiktok|threads|bluesky|pinterest|social vid"&amp;"eo|reels?|shorts?""), ""Social Media"",
  REGEXMATCH(A978&amp;B978, ""(?i)hubspot|pipedrive|stripe|shopify|woocommerce|sales|crm|invoice|order|leads?|recruitment|bamboohr|erpnext""), ""CRM &amp; Sales"",
  REGEXMATCH(A978&amp;B978, ""(?i)gmail|outlook|calendar|slack|"&amp;"discord|telegram|whatsapp|notion|trello|drive|sheets?|meeting|scheduler|appointment|mattermost""), ""Productivity &amp; Communication"",
  REGEXMATCH(A978&amp;B978, ""(?i)github|api|webhook|http|mysql|supabase|mongodb|redis|rss|pr|code review|incident|pagerduty|j"&amp;"ira""), ""Development &amp; Utilities"",
  TRUE, ""Others""
)"),"Social Media")</f>
        <v>Social Media</v>
      </c>
    </row>
    <row r="979" ht="15.75" customHeight="1">
      <c r="A979" s="14" t="s">
        <v>1938</v>
      </c>
      <c r="B979" s="15" t="s">
        <v>1939</v>
      </c>
      <c r="C979" s="16" t="s">
        <v>7</v>
      </c>
      <c r="D979" s="12" t="str">
        <f>IFERROR(__xludf.DUMMYFUNCTION("IFS(
  REGEXMATCH(A979&amp;B979, ""(?i)openai|gpt|gemini|anthropic|claude|mistral|cohere|rag|vector|llm|chatbot|ai-powered""), ""AI &amp; LLM"",
  REGEXMATCH(A979&amp;B979, ""(?i)twitter|instagram|facebook|linkedin|youtube|tiktok|threads|bluesky|pinterest|social vid"&amp;"eo|reels?|shorts?""), ""Social Media"",
  REGEXMATCH(A979&amp;B979, ""(?i)hubspot|pipedrive|stripe|shopify|woocommerce|sales|crm|invoice|order|leads?|recruitment|bamboohr|erpnext""), ""CRM &amp; Sales"",
  REGEXMATCH(A979&amp;B979, ""(?i)gmail|outlook|calendar|slack|"&amp;"discord|telegram|whatsapp|notion|trello|drive|sheets?|meeting|scheduler|appointment|mattermost""), ""Productivity &amp; Communication"",
  REGEXMATCH(A979&amp;B979, ""(?i)github|api|webhook|http|mysql|supabase|mongodb|redis|rss|pr|code review|incident|pagerduty|j"&amp;"ira""), ""Development &amp; Utilities"",
  TRUE, ""Others""
)"),"AI &amp; LLM")</f>
        <v>AI &amp; LLM</v>
      </c>
    </row>
    <row r="980" ht="15.75" customHeight="1">
      <c r="A980" s="14" t="s">
        <v>1940</v>
      </c>
      <c r="B980" s="15" t="s">
        <v>1941</v>
      </c>
      <c r="C980" s="16" t="s">
        <v>7</v>
      </c>
      <c r="D980" s="12" t="str">
        <f>IFERROR(__xludf.DUMMYFUNCTION("IFS(
  REGEXMATCH(A980&amp;B980, ""(?i)openai|gpt|gemini|anthropic|claude|mistral|cohere|rag|vector|llm|chatbot|ai-powered""), ""AI &amp; LLM"",
  REGEXMATCH(A980&amp;B980, ""(?i)twitter|instagram|facebook|linkedin|youtube|tiktok|threads|bluesky|pinterest|social vid"&amp;"eo|reels?|shorts?""), ""Social Media"",
  REGEXMATCH(A980&amp;B980, ""(?i)hubspot|pipedrive|stripe|shopify|woocommerce|sales|crm|invoice|order|leads?|recruitment|bamboohr|erpnext""), ""CRM &amp; Sales"",
  REGEXMATCH(A980&amp;B980, ""(?i)gmail|outlook|calendar|slack|"&amp;"discord|telegram|whatsapp|notion|trello|drive|sheets?|meeting|scheduler|appointment|mattermost""), ""Productivity &amp; Communication"",
  REGEXMATCH(A980&amp;B980, ""(?i)github|api|webhook|http|mysql|supabase|mongodb|redis|rss|pr|code review|incident|pagerduty|j"&amp;"ira""), ""Development &amp; Utilities"",
  TRUE, ""Others""
)"),"AI &amp; LLM")</f>
        <v>AI &amp; LLM</v>
      </c>
    </row>
    <row r="981" ht="15.75" customHeight="1">
      <c r="A981" s="14" t="s">
        <v>1942</v>
      </c>
      <c r="B981" s="15" t="s">
        <v>1943</v>
      </c>
      <c r="C981" s="16" t="s">
        <v>7</v>
      </c>
      <c r="D981" s="12" t="str">
        <f>IFERROR(__xludf.DUMMYFUNCTION("IFS(
  REGEXMATCH(A981&amp;B981, ""(?i)openai|gpt|gemini|anthropic|claude|mistral|cohere|rag|vector|llm|chatbot|ai-powered""), ""AI &amp; LLM"",
  REGEXMATCH(A981&amp;B981, ""(?i)twitter|instagram|facebook|linkedin|youtube|tiktok|threads|bluesky|pinterest|social vid"&amp;"eo|reels?|shorts?""), ""Social Media"",
  REGEXMATCH(A981&amp;B981, ""(?i)hubspot|pipedrive|stripe|shopify|woocommerce|sales|crm|invoice|order|leads?|recruitment|bamboohr|erpnext""), ""CRM &amp; Sales"",
  REGEXMATCH(A981&amp;B981, ""(?i)gmail|outlook|calendar|slack|"&amp;"discord|telegram|whatsapp|notion|trello|drive|sheets?|meeting|scheduler|appointment|mattermost""), ""Productivity &amp; Communication"",
  REGEXMATCH(A981&amp;B981, ""(?i)github|api|webhook|http|mysql|supabase|mongodb|redis|rss|pr|code review|incident|pagerduty|j"&amp;"ira""), ""Development &amp; Utilities"",
  TRUE, ""Others""
)"),"Productivity &amp; Communication")</f>
        <v>Productivity &amp; Communication</v>
      </c>
    </row>
    <row r="982" ht="15.75" customHeight="1">
      <c r="A982" s="14" t="s">
        <v>1944</v>
      </c>
      <c r="B982" s="15" t="s">
        <v>1945</v>
      </c>
      <c r="C982" s="16" t="s">
        <v>7</v>
      </c>
      <c r="D982" s="12" t="str">
        <f>IFERROR(__xludf.DUMMYFUNCTION("IFS(
  REGEXMATCH(A982&amp;B982, ""(?i)openai|gpt|gemini|anthropic|claude|mistral|cohere|rag|vector|llm|chatbot|ai-powered""), ""AI &amp; LLM"",
  REGEXMATCH(A982&amp;B982, ""(?i)twitter|instagram|facebook|linkedin|youtube|tiktok|threads|bluesky|pinterest|social vid"&amp;"eo|reels?|shorts?""), ""Social Media"",
  REGEXMATCH(A982&amp;B982, ""(?i)hubspot|pipedrive|stripe|shopify|woocommerce|sales|crm|invoice|order|leads?|recruitment|bamboohr|erpnext""), ""CRM &amp; Sales"",
  REGEXMATCH(A982&amp;B982, ""(?i)gmail|outlook|calendar|slack|"&amp;"discord|telegram|whatsapp|notion|trello|drive|sheets?|meeting|scheduler|appointment|mattermost""), ""Productivity &amp; Communication"",
  REGEXMATCH(A982&amp;B982, ""(?i)github|api|webhook|http|mysql|supabase|mongodb|redis|rss|pr|code review|incident|pagerduty|j"&amp;"ira""), ""Development &amp; Utilities"",
  TRUE, ""Others""
)"),"CRM &amp; Sales")</f>
        <v>CRM &amp; Sales</v>
      </c>
    </row>
    <row r="983" ht="15.75" customHeight="1">
      <c r="A983" s="14" t="s">
        <v>1946</v>
      </c>
      <c r="B983" s="15" t="s">
        <v>1947</v>
      </c>
      <c r="C983" s="16" t="s">
        <v>7</v>
      </c>
      <c r="D983" s="12" t="str">
        <f>IFERROR(__xludf.DUMMYFUNCTION("IFS(
  REGEXMATCH(A983&amp;B983, ""(?i)openai|gpt|gemini|anthropic|claude|mistral|cohere|rag|vector|llm|chatbot|ai-powered""), ""AI &amp; LLM"",
  REGEXMATCH(A983&amp;B983, ""(?i)twitter|instagram|facebook|linkedin|youtube|tiktok|threads|bluesky|pinterest|social vid"&amp;"eo|reels?|shorts?""), ""Social Media"",
  REGEXMATCH(A983&amp;B983, ""(?i)hubspot|pipedrive|stripe|shopify|woocommerce|sales|crm|invoice|order|leads?|recruitment|bamboohr|erpnext""), ""CRM &amp; Sales"",
  REGEXMATCH(A983&amp;B983, ""(?i)gmail|outlook|calendar|slack|"&amp;"discord|telegram|whatsapp|notion|trello|drive|sheets?|meeting|scheduler|appointment|mattermost""), ""Productivity &amp; Communication"",
  REGEXMATCH(A983&amp;B983, ""(?i)github|api|webhook|http|mysql|supabase|mongodb|redis|rss|pr|code review|incident|pagerduty|j"&amp;"ira""), ""Development &amp; Utilities"",
  TRUE, ""Others""
)"),"Others")</f>
        <v>Others</v>
      </c>
    </row>
    <row r="984" ht="15.75" customHeight="1">
      <c r="A984" s="14" t="s">
        <v>1948</v>
      </c>
      <c r="B984" s="15" t="s">
        <v>1949</v>
      </c>
      <c r="C984" s="16" t="s">
        <v>7</v>
      </c>
      <c r="D984" s="12" t="str">
        <f>IFERROR(__xludf.DUMMYFUNCTION("IFS(
  REGEXMATCH(A984&amp;B984, ""(?i)openai|gpt|gemini|anthropic|claude|mistral|cohere|rag|vector|llm|chatbot|ai-powered""), ""AI &amp; LLM"",
  REGEXMATCH(A984&amp;B984, ""(?i)twitter|instagram|facebook|linkedin|youtube|tiktok|threads|bluesky|pinterest|social vid"&amp;"eo|reels?|shorts?""), ""Social Media"",
  REGEXMATCH(A984&amp;B984, ""(?i)hubspot|pipedrive|stripe|shopify|woocommerce|sales|crm|invoice|order|leads?|recruitment|bamboohr|erpnext""), ""CRM &amp; Sales"",
  REGEXMATCH(A984&amp;B984, ""(?i)gmail|outlook|calendar|slack|"&amp;"discord|telegram|whatsapp|notion|trello|drive|sheets?|meeting|scheduler|appointment|mattermost""), ""Productivity &amp; Communication"",
  REGEXMATCH(A984&amp;B984, ""(?i)github|api|webhook|http|mysql|supabase|mongodb|redis|rss|pr|code review|incident|pagerduty|j"&amp;"ira""), ""Development &amp; Utilities"",
  TRUE, ""Others""
)"),"CRM &amp; Sales")</f>
        <v>CRM &amp; Sales</v>
      </c>
    </row>
    <row r="985" ht="15.75" customHeight="1">
      <c r="A985" s="14" t="s">
        <v>1950</v>
      </c>
      <c r="B985" s="15" t="s">
        <v>1951</v>
      </c>
      <c r="C985" s="16" t="s">
        <v>7</v>
      </c>
      <c r="D985" s="12" t="str">
        <f>IFERROR(__xludf.DUMMYFUNCTION("IFS(
  REGEXMATCH(A985&amp;B985, ""(?i)openai|gpt|gemini|anthropic|claude|mistral|cohere|rag|vector|llm|chatbot|ai-powered""), ""AI &amp; LLM"",
  REGEXMATCH(A985&amp;B985, ""(?i)twitter|instagram|facebook|linkedin|youtube|tiktok|threads|bluesky|pinterest|social vid"&amp;"eo|reels?|shorts?""), ""Social Media"",
  REGEXMATCH(A985&amp;B985, ""(?i)hubspot|pipedrive|stripe|shopify|woocommerce|sales|crm|invoice|order|leads?|recruitment|bamboohr|erpnext""), ""CRM &amp; Sales"",
  REGEXMATCH(A985&amp;B985, ""(?i)gmail|outlook|calendar|slack|"&amp;"discord|telegram|whatsapp|notion|trello|drive|sheets?|meeting|scheduler|appointment|mattermost""), ""Productivity &amp; Communication"",
  REGEXMATCH(A985&amp;B985, ""(?i)github|api|webhook|http|mysql|supabase|mongodb|redis|rss|pr|code review|incident|pagerduty|j"&amp;"ira""), ""Development &amp; Utilities"",
  TRUE, ""Others""
)"),"CRM &amp; Sales")</f>
        <v>CRM &amp; Sales</v>
      </c>
    </row>
    <row r="986" ht="15.75" customHeight="1">
      <c r="A986" s="14" t="s">
        <v>1952</v>
      </c>
      <c r="B986" s="15" t="s">
        <v>1953</v>
      </c>
      <c r="C986" s="16" t="s">
        <v>7</v>
      </c>
      <c r="D986" s="12" t="str">
        <f>IFERROR(__xludf.DUMMYFUNCTION("IFS(
  REGEXMATCH(A986&amp;B986, ""(?i)openai|gpt|gemini|anthropic|claude|mistral|cohere|rag|vector|llm|chatbot|ai-powered""), ""AI &amp; LLM"",
  REGEXMATCH(A986&amp;B986, ""(?i)twitter|instagram|facebook|linkedin|youtube|tiktok|threads|bluesky|pinterest|social vid"&amp;"eo|reels?|shorts?""), ""Social Media"",
  REGEXMATCH(A986&amp;B986, ""(?i)hubspot|pipedrive|stripe|shopify|woocommerce|sales|crm|invoice|order|leads?|recruitment|bamboohr|erpnext""), ""CRM &amp; Sales"",
  REGEXMATCH(A986&amp;B986, ""(?i)gmail|outlook|calendar|slack|"&amp;"discord|telegram|whatsapp|notion|trello|drive|sheets?|meeting|scheduler|appointment|mattermost""), ""Productivity &amp; Communication"",
  REGEXMATCH(A986&amp;B986, ""(?i)github|api|webhook|http|mysql|supabase|mongodb|redis|rss|pr|code review|incident|pagerduty|j"&amp;"ira""), ""Development &amp; Utilities"",
  TRUE, ""Others""
)"),"Productivity &amp; Communication")</f>
        <v>Productivity &amp; Communication</v>
      </c>
    </row>
    <row r="987" ht="15.75" customHeight="1">
      <c r="A987" s="14" t="s">
        <v>1954</v>
      </c>
      <c r="B987" s="15" t="s">
        <v>1955</v>
      </c>
      <c r="C987" s="16" t="s">
        <v>7</v>
      </c>
      <c r="D987" s="12" t="str">
        <f>IFERROR(__xludf.DUMMYFUNCTION("IFS(
  REGEXMATCH(A987&amp;B987, ""(?i)openai|gpt|gemini|anthropic|claude|mistral|cohere|rag|vector|llm|chatbot|ai-powered""), ""AI &amp; LLM"",
  REGEXMATCH(A987&amp;B987, ""(?i)twitter|instagram|facebook|linkedin|youtube|tiktok|threads|bluesky|pinterest|social vid"&amp;"eo|reels?|shorts?""), ""Social Media"",
  REGEXMATCH(A987&amp;B987, ""(?i)hubspot|pipedrive|stripe|shopify|woocommerce|sales|crm|invoice|order|leads?|recruitment|bamboohr|erpnext""), ""CRM &amp; Sales"",
  REGEXMATCH(A987&amp;B987, ""(?i)gmail|outlook|calendar|slack|"&amp;"discord|telegram|whatsapp|notion|trello|drive|sheets?|meeting|scheduler|appointment|mattermost""), ""Productivity &amp; Communication"",
  REGEXMATCH(A987&amp;B987, ""(?i)github|api|webhook|http|mysql|supabase|mongodb|redis|rss|pr|code review|incident|pagerduty|j"&amp;"ira""), ""Development &amp; Utilities"",
  TRUE, ""Others""
)"),"AI &amp; LLM")</f>
        <v>AI &amp; LLM</v>
      </c>
    </row>
    <row r="988" ht="15.75" customHeight="1">
      <c r="A988" s="14" t="s">
        <v>1956</v>
      </c>
      <c r="B988" s="15" t="s">
        <v>1957</v>
      </c>
      <c r="C988" s="16" t="s">
        <v>7</v>
      </c>
      <c r="D988" s="12" t="str">
        <f>IFERROR(__xludf.DUMMYFUNCTION("IFS(
  REGEXMATCH(A988&amp;B988, ""(?i)openai|gpt|gemini|anthropic|claude|mistral|cohere|rag|vector|llm|chatbot|ai-powered""), ""AI &amp; LLM"",
  REGEXMATCH(A988&amp;B988, ""(?i)twitter|instagram|facebook|linkedin|youtube|tiktok|threads|bluesky|pinterest|social vid"&amp;"eo|reels?|shorts?""), ""Social Media"",
  REGEXMATCH(A988&amp;B988, ""(?i)hubspot|pipedrive|stripe|shopify|woocommerce|sales|crm|invoice|order|leads?|recruitment|bamboohr|erpnext""), ""CRM &amp; Sales"",
  REGEXMATCH(A988&amp;B988, ""(?i)gmail|outlook|calendar|slack|"&amp;"discord|telegram|whatsapp|notion|trello|drive|sheets?|meeting|scheduler|appointment|mattermost""), ""Productivity &amp; Communication"",
  REGEXMATCH(A988&amp;B988, ""(?i)github|api|webhook|http|mysql|supabase|mongodb|redis|rss|pr|code review|incident|pagerduty|j"&amp;"ira""), ""Development &amp; Utilities"",
  TRUE, ""Others""
)"),"AI &amp; LLM")</f>
        <v>AI &amp; LLM</v>
      </c>
    </row>
    <row r="989" ht="15.75" customHeight="1">
      <c r="A989" s="14" t="s">
        <v>1958</v>
      </c>
      <c r="B989" s="15" t="s">
        <v>1959</v>
      </c>
      <c r="C989" s="16" t="s">
        <v>7</v>
      </c>
      <c r="D989" s="12" t="str">
        <f>IFERROR(__xludf.DUMMYFUNCTION("IFS(
  REGEXMATCH(A989&amp;B989, ""(?i)openai|gpt|gemini|anthropic|claude|mistral|cohere|rag|vector|llm|chatbot|ai-powered""), ""AI &amp; LLM"",
  REGEXMATCH(A989&amp;B989, ""(?i)twitter|instagram|facebook|linkedin|youtube|tiktok|threads|bluesky|pinterest|social vid"&amp;"eo|reels?|shorts?""), ""Social Media"",
  REGEXMATCH(A989&amp;B989, ""(?i)hubspot|pipedrive|stripe|shopify|woocommerce|sales|crm|invoice|order|leads?|recruitment|bamboohr|erpnext""), ""CRM &amp; Sales"",
  REGEXMATCH(A989&amp;B989, ""(?i)gmail|outlook|calendar|slack|"&amp;"discord|telegram|whatsapp|notion|trello|drive|sheets?|meeting|scheduler|appointment|mattermost""), ""Productivity &amp; Communication"",
  REGEXMATCH(A989&amp;B989, ""(?i)github|api|webhook|http|mysql|supabase|mongodb|redis|rss|pr|code review|incident|pagerduty|j"&amp;"ira""), ""Development &amp; Utilities"",
  TRUE, ""Others""
)"),"AI &amp; LLM")</f>
        <v>AI &amp; LLM</v>
      </c>
    </row>
    <row r="990" ht="15.75" customHeight="1">
      <c r="A990" s="14" t="s">
        <v>1960</v>
      </c>
      <c r="B990" s="15" t="s">
        <v>1961</v>
      </c>
      <c r="C990" s="16" t="s">
        <v>7</v>
      </c>
      <c r="D990" s="12" t="str">
        <f>IFERROR(__xludf.DUMMYFUNCTION("IFS(
  REGEXMATCH(A990&amp;B990, ""(?i)openai|gpt|gemini|anthropic|claude|mistral|cohere|rag|vector|llm|chatbot|ai-powered""), ""AI &amp; LLM"",
  REGEXMATCH(A990&amp;B990, ""(?i)twitter|instagram|facebook|linkedin|youtube|tiktok|threads|bluesky|pinterest|social vid"&amp;"eo|reels?|shorts?""), ""Social Media"",
  REGEXMATCH(A990&amp;B990, ""(?i)hubspot|pipedrive|stripe|shopify|woocommerce|sales|crm|invoice|order|leads?|recruitment|bamboohr|erpnext""), ""CRM &amp; Sales"",
  REGEXMATCH(A990&amp;B990, ""(?i)gmail|outlook|calendar|slack|"&amp;"discord|telegram|whatsapp|notion|trello|drive|sheets?|meeting|scheduler|appointment|mattermost""), ""Productivity &amp; Communication"",
  REGEXMATCH(A990&amp;B990, ""(?i)github|api|webhook|http|mysql|supabase|mongodb|redis|rss|pr|code review|incident|pagerduty|j"&amp;"ira""), ""Development &amp; Utilities"",
  TRUE, ""Others""
)"),"Development &amp; Utilities")</f>
        <v>Development &amp; Utilities</v>
      </c>
    </row>
    <row r="991" ht="15.75" customHeight="1">
      <c r="A991" s="14" t="s">
        <v>1962</v>
      </c>
      <c r="B991" s="15" t="s">
        <v>1963</v>
      </c>
      <c r="C991" s="16" t="s">
        <v>7</v>
      </c>
      <c r="D991" s="12" t="str">
        <f>IFERROR(__xludf.DUMMYFUNCTION("IFS(
  REGEXMATCH(A991&amp;B991, ""(?i)openai|gpt|gemini|anthropic|claude|mistral|cohere|rag|vector|llm|chatbot|ai-powered""), ""AI &amp; LLM"",
  REGEXMATCH(A991&amp;B991, ""(?i)twitter|instagram|facebook|linkedin|youtube|tiktok|threads|bluesky|pinterest|social vid"&amp;"eo|reels?|shorts?""), ""Social Media"",
  REGEXMATCH(A991&amp;B991, ""(?i)hubspot|pipedrive|stripe|shopify|woocommerce|sales|crm|invoice|order|leads?|recruitment|bamboohr|erpnext""), ""CRM &amp; Sales"",
  REGEXMATCH(A991&amp;B991, ""(?i)gmail|outlook|calendar|slack|"&amp;"discord|telegram|whatsapp|notion|trello|drive|sheets?|meeting|scheduler|appointment|mattermost""), ""Productivity &amp; Communication"",
  REGEXMATCH(A991&amp;B991, ""(?i)github|api|webhook|http|mysql|supabase|mongodb|redis|rss|pr|code review|incident|pagerduty|j"&amp;"ira""), ""Development &amp; Utilities"",
  TRUE, ""Others""
)"),"CRM &amp; Sales")</f>
        <v>CRM &amp; Sales</v>
      </c>
    </row>
    <row r="992" ht="15.75" customHeight="1">
      <c r="A992" s="14" t="s">
        <v>1964</v>
      </c>
      <c r="B992" s="15" t="s">
        <v>1965</v>
      </c>
      <c r="C992" s="16" t="s">
        <v>7</v>
      </c>
      <c r="D992" s="12" t="str">
        <f>IFERROR(__xludf.DUMMYFUNCTION("IFS(
  REGEXMATCH(A992&amp;B992, ""(?i)openai|gpt|gemini|anthropic|claude|mistral|cohere|rag|vector|llm|chatbot|ai-powered""), ""AI &amp; LLM"",
  REGEXMATCH(A992&amp;B992, ""(?i)twitter|instagram|facebook|linkedin|youtube|tiktok|threads|bluesky|pinterest|social vid"&amp;"eo|reels?|shorts?""), ""Social Media"",
  REGEXMATCH(A992&amp;B992, ""(?i)hubspot|pipedrive|stripe|shopify|woocommerce|sales|crm|invoice|order|leads?|recruitment|bamboohr|erpnext""), ""CRM &amp; Sales"",
  REGEXMATCH(A992&amp;B992, ""(?i)gmail|outlook|calendar|slack|"&amp;"discord|telegram|whatsapp|notion|trello|drive|sheets?|meeting|scheduler|appointment|mattermost""), ""Productivity &amp; Communication"",
  REGEXMATCH(A992&amp;B992, ""(?i)github|api|webhook|http|mysql|supabase|mongodb|redis|rss|pr|code review|incident|pagerduty|j"&amp;"ira""), ""Development &amp; Utilities"",
  TRUE, ""Others""
)"),"Productivity &amp; Communication")</f>
        <v>Productivity &amp; Communication</v>
      </c>
    </row>
    <row r="993" ht="15.75" customHeight="1">
      <c r="A993" s="14" t="s">
        <v>1966</v>
      </c>
      <c r="B993" s="15" t="s">
        <v>1967</v>
      </c>
      <c r="C993" s="16" t="s">
        <v>7</v>
      </c>
      <c r="D993" s="12" t="str">
        <f>IFERROR(__xludf.DUMMYFUNCTION("IFS(
  REGEXMATCH(A993&amp;B993, ""(?i)openai|gpt|gemini|anthropic|claude|mistral|cohere|rag|vector|llm|chatbot|ai-powered""), ""AI &amp; LLM"",
  REGEXMATCH(A993&amp;B993, ""(?i)twitter|instagram|facebook|linkedin|youtube|tiktok|threads|bluesky|pinterest|social vid"&amp;"eo|reels?|shorts?""), ""Social Media"",
  REGEXMATCH(A993&amp;B993, ""(?i)hubspot|pipedrive|stripe|shopify|woocommerce|sales|crm|invoice|order|leads?|recruitment|bamboohr|erpnext""), ""CRM &amp; Sales"",
  REGEXMATCH(A993&amp;B993, ""(?i)gmail|outlook|calendar|slack|"&amp;"discord|telegram|whatsapp|notion|trello|drive|sheets?|meeting|scheduler|appointment|mattermost""), ""Productivity &amp; Communication"",
  REGEXMATCH(A993&amp;B993, ""(?i)github|api|webhook|http|mysql|supabase|mongodb|redis|rss|pr|code review|incident|pagerduty|j"&amp;"ira""), ""Development &amp; Utilities"",
  TRUE, ""Others""
)"),"AI &amp; LLM")</f>
        <v>AI &amp; LLM</v>
      </c>
    </row>
    <row r="994" ht="15.75" customHeight="1">
      <c r="A994" s="14" t="s">
        <v>1968</v>
      </c>
      <c r="B994" s="15" t="s">
        <v>1969</v>
      </c>
      <c r="C994" s="16" t="s">
        <v>7</v>
      </c>
      <c r="D994" s="12" t="str">
        <f>IFERROR(__xludf.DUMMYFUNCTION("IFS(
  REGEXMATCH(A994&amp;B994, ""(?i)openai|gpt|gemini|anthropic|claude|mistral|cohere|rag|vector|llm|chatbot|ai-powered""), ""AI &amp; LLM"",
  REGEXMATCH(A994&amp;B994, ""(?i)twitter|instagram|facebook|linkedin|youtube|tiktok|threads|bluesky|pinterest|social vid"&amp;"eo|reels?|shorts?""), ""Social Media"",
  REGEXMATCH(A994&amp;B994, ""(?i)hubspot|pipedrive|stripe|shopify|woocommerce|sales|crm|invoice|order|leads?|recruitment|bamboohr|erpnext""), ""CRM &amp; Sales"",
  REGEXMATCH(A994&amp;B994, ""(?i)gmail|outlook|calendar|slack|"&amp;"discord|telegram|whatsapp|notion|trello|drive|sheets?|meeting|scheduler|appointment|mattermost""), ""Productivity &amp; Communication"",
  REGEXMATCH(A994&amp;B994, ""(?i)github|api|webhook|http|mysql|supabase|mongodb|redis|rss|pr|code review|incident|pagerduty|j"&amp;"ira""), ""Development &amp; Utilities"",
  TRUE, ""Others""
)"),"AI &amp; LLM")</f>
        <v>AI &amp; LLM</v>
      </c>
    </row>
    <row r="995" ht="15.75" customHeight="1">
      <c r="A995" s="14" t="s">
        <v>1970</v>
      </c>
      <c r="B995" s="15" t="s">
        <v>1971</v>
      </c>
      <c r="C995" s="16" t="s">
        <v>7</v>
      </c>
      <c r="D995" s="12" t="str">
        <f>IFERROR(__xludf.DUMMYFUNCTION("IFS(
  REGEXMATCH(A995&amp;B995, ""(?i)openai|gpt|gemini|anthropic|claude|mistral|cohere|rag|vector|llm|chatbot|ai-powered""), ""AI &amp; LLM"",
  REGEXMATCH(A995&amp;B995, ""(?i)twitter|instagram|facebook|linkedin|youtube|tiktok|threads|bluesky|pinterest|social vid"&amp;"eo|reels?|shorts?""), ""Social Media"",
  REGEXMATCH(A995&amp;B995, ""(?i)hubspot|pipedrive|stripe|shopify|woocommerce|sales|crm|invoice|order|leads?|recruitment|bamboohr|erpnext""), ""CRM &amp; Sales"",
  REGEXMATCH(A995&amp;B995, ""(?i)gmail|outlook|calendar|slack|"&amp;"discord|telegram|whatsapp|notion|trello|drive|sheets?|meeting|scheduler|appointment|mattermost""), ""Productivity &amp; Communication"",
  REGEXMATCH(A995&amp;B995, ""(?i)github|api|webhook|http|mysql|supabase|mongodb|redis|rss|pr|code review|incident|pagerduty|j"&amp;"ira""), ""Development &amp; Utilities"",
  TRUE, ""Others""
)"),"CRM &amp; Sales")</f>
        <v>CRM &amp; Sales</v>
      </c>
    </row>
    <row r="996" ht="15.75" customHeight="1">
      <c r="A996" s="14" t="s">
        <v>1972</v>
      </c>
      <c r="B996" s="15" t="s">
        <v>1973</v>
      </c>
      <c r="C996" s="16" t="s">
        <v>7</v>
      </c>
      <c r="D996" s="12" t="str">
        <f>IFERROR(__xludf.DUMMYFUNCTION("IFS(
  REGEXMATCH(A996&amp;B996, ""(?i)openai|gpt|gemini|anthropic|claude|mistral|cohere|rag|vector|llm|chatbot|ai-powered""), ""AI &amp; LLM"",
  REGEXMATCH(A996&amp;B996, ""(?i)twitter|instagram|facebook|linkedin|youtube|tiktok|threads|bluesky|pinterest|social vid"&amp;"eo|reels?|shorts?""), ""Social Media"",
  REGEXMATCH(A996&amp;B996, ""(?i)hubspot|pipedrive|stripe|shopify|woocommerce|sales|crm|invoice|order|leads?|recruitment|bamboohr|erpnext""), ""CRM &amp; Sales"",
  REGEXMATCH(A996&amp;B996, ""(?i)gmail|outlook|calendar|slack|"&amp;"discord|telegram|whatsapp|notion|trello|drive|sheets?|meeting|scheduler|appointment|mattermost""), ""Productivity &amp; Communication"",
  REGEXMATCH(A996&amp;B996, ""(?i)github|api|webhook|http|mysql|supabase|mongodb|redis|rss|pr|code review|incident|pagerduty|j"&amp;"ira""), ""Development &amp; Utilities"",
  TRUE, ""Others""
)"),"AI &amp; LLM")</f>
        <v>AI &amp; LLM</v>
      </c>
    </row>
    <row r="997" ht="15.75" customHeight="1">
      <c r="A997" s="14" t="s">
        <v>1974</v>
      </c>
      <c r="B997" s="15" t="s">
        <v>1975</v>
      </c>
      <c r="C997" s="16" t="s">
        <v>7</v>
      </c>
      <c r="D997" s="12" t="str">
        <f>IFERROR(__xludf.DUMMYFUNCTION("IFS(
  REGEXMATCH(A997&amp;B997, ""(?i)openai|gpt|gemini|anthropic|claude|mistral|cohere|rag|vector|llm|chatbot|ai-powered""), ""AI &amp; LLM"",
  REGEXMATCH(A997&amp;B997, ""(?i)twitter|instagram|facebook|linkedin|youtube|tiktok|threads|bluesky|pinterest|social vid"&amp;"eo|reels?|shorts?""), ""Social Media"",
  REGEXMATCH(A997&amp;B997, ""(?i)hubspot|pipedrive|stripe|shopify|woocommerce|sales|crm|invoice|order|leads?|recruitment|bamboohr|erpnext""), ""CRM &amp; Sales"",
  REGEXMATCH(A997&amp;B997, ""(?i)gmail|outlook|calendar|slack|"&amp;"discord|telegram|whatsapp|notion|trello|drive|sheets?|meeting|scheduler|appointment|mattermost""), ""Productivity &amp; Communication"",
  REGEXMATCH(A997&amp;B997, ""(?i)github|api|webhook|http|mysql|supabase|mongodb|redis|rss|pr|code review|incident|pagerduty|j"&amp;"ira""), ""Development &amp; Utilities"",
  TRUE, ""Others""
)"),"AI &amp; LLM")</f>
        <v>AI &amp; LLM</v>
      </c>
    </row>
    <row r="998" ht="15.75" customHeight="1">
      <c r="A998" s="14" t="s">
        <v>1976</v>
      </c>
      <c r="B998" s="15" t="s">
        <v>1977</v>
      </c>
      <c r="C998" s="16" t="s">
        <v>7</v>
      </c>
      <c r="D998" s="12" t="str">
        <f>IFERROR(__xludf.DUMMYFUNCTION("IFS(
  REGEXMATCH(A998&amp;B998, ""(?i)openai|gpt|gemini|anthropic|claude|mistral|cohere|rag|vector|llm|chatbot|ai-powered""), ""AI &amp; LLM"",
  REGEXMATCH(A998&amp;B998, ""(?i)twitter|instagram|facebook|linkedin|youtube|tiktok|threads|bluesky|pinterest|social vid"&amp;"eo|reels?|shorts?""), ""Social Media"",
  REGEXMATCH(A998&amp;B998, ""(?i)hubspot|pipedrive|stripe|shopify|woocommerce|sales|crm|invoice|order|leads?|recruitment|bamboohr|erpnext""), ""CRM &amp; Sales"",
  REGEXMATCH(A998&amp;B998, ""(?i)gmail|outlook|calendar|slack|"&amp;"discord|telegram|whatsapp|notion|trello|drive|sheets?|meeting|scheduler|appointment|mattermost""), ""Productivity &amp; Communication"",
  REGEXMATCH(A998&amp;B998, ""(?i)github|api|webhook|http|mysql|supabase|mongodb|redis|rss|pr|code review|incident|pagerduty|j"&amp;"ira""), ""Development &amp; Utilities"",
  TRUE, ""Others""
)"),"AI &amp; LLM")</f>
        <v>AI &amp; LLM</v>
      </c>
    </row>
    <row r="999" ht="15.75" customHeight="1">
      <c r="A999" s="14" t="s">
        <v>1978</v>
      </c>
      <c r="B999" s="15" t="s">
        <v>1979</v>
      </c>
      <c r="C999" s="16" t="s">
        <v>7</v>
      </c>
      <c r="D999" s="12" t="str">
        <f>IFERROR(__xludf.DUMMYFUNCTION("IFS(
  REGEXMATCH(A999&amp;B999, ""(?i)openai|gpt|gemini|anthropic|claude|mistral|cohere|rag|vector|llm|chatbot|ai-powered""), ""AI &amp; LLM"",
  REGEXMATCH(A999&amp;B999, ""(?i)twitter|instagram|facebook|linkedin|youtube|tiktok|threads|bluesky|pinterest|social vid"&amp;"eo|reels?|shorts?""), ""Social Media"",
  REGEXMATCH(A999&amp;B999, ""(?i)hubspot|pipedrive|stripe|shopify|woocommerce|sales|crm|invoice|order|leads?|recruitment|bamboohr|erpnext""), ""CRM &amp; Sales"",
  REGEXMATCH(A999&amp;B999, ""(?i)gmail|outlook|calendar|slack|"&amp;"discord|telegram|whatsapp|notion|trello|drive|sheets?|meeting|scheduler|appointment|mattermost""), ""Productivity &amp; Communication"",
  REGEXMATCH(A999&amp;B999, ""(?i)github|api|webhook|http|mysql|supabase|mongodb|redis|rss|pr|code review|incident|pagerduty|j"&amp;"ira""), ""Development &amp; Utilities"",
  TRUE, ""Others""
)"),"AI &amp; LLM")</f>
        <v>AI &amp; LLM</v>
      </c>
    </row>
    <row r="1000" ht="15.75" customHeight="1">
      <c r="A1000" s="14" t="s">
        <v>1980</v>
      </c>
      <c r="B1000" s="15" t="s">
        <v>1981</v>
      </c>
      <c r="C1000" s="16" t="s">
        <v>7</v>
      </c>
      <c r="D1000" s="12" t="str">
        <f>IFERROR(__xludf.DUMMYFUNCTION("IFS(
  REGEXMATCH(A1000&amp;B1000, ""(?i)openai|gpt|gemini|anthropic|claude|mistral|cohere|rag|vector|llm|chatbot|ai-powered""), ""AI &amp; LLM"",
  REGEXMATCH(A1000&amp;B1000, ""(?i)twitter|instagram|facebook|linkedin|youtube|tiktok|threads|bluesky|pinterest|social"&amp;" video|reels?|shorts?""), ""Social Media"",
  REGEXMATCH(A1000&amp;B1000, ""(?i)hubspot|pipedrive|stripe|shopify|woocommerce|sales|crm|invoice|order|leads?|recruitment|bamboohr|erpnext""), ""CRM &amp; Sales"",
  REGEXMATCH(A1000&amp;B1000, ""(?i)gmail|outlook|calenda"&amp;"r|slack|discord|telegram|whatsapp|notion|trello|drive|sheets?|meeting|scheduler|appointment|mattermost""), ""Productivity &amp; Communication"",
  REGEXMATCH(A1000&amp;B1000, ""(?i)github|api|webhook|http|mysql|supabase|mongodb|redis|rss|pr|code review|incident|p"&amp;"agerduty|jira""), ""Development &amp; Utilities"",
  TRUE, ""Others""
)"),"AI &amp; LLM")</f>
        <v>AI &amp; LLM</v>
      </c>
    </row>
    <row r="1001" ht="15.75" customHeight="1">
      <c r="A1001" s="14" t="s">
        <v>1982</v>
      </c>
      <c r="B1001" s="15" t="s">
        <v>1983</v>
      </c>
      <c r="C1001" s="16" t="s">
        <v>7</v>
      </c>
      <c r="D1001" s="12" t="str">
        <f>IFERROR(__xludf.DUMMYFUNCTION("IFS(
  REGEXMATCH(A1001&amp;B1001, ""(?i)openai|gpt|gemini|anthropic|claude|mistral|cohere|rag|vector|llm|chatbot|ai-powered""), ""AI &amp; LLM"",
  REGEXMATCH(A1001&amp;B1001, ""(?i)twitter|instagram|facebook|linkedin|youtube|tiktok|threads|bluesky|pinterest|social"&amp;" video|reels?|shorts?""), ""Social Media"",
  REGEXMATCH(A1001&amp;B1001, ""(?i)hubspot|pipedrive|stripe|shopify|woocommerce|sales|crm|invoice|order|leads?|recruitment|bamboohr|erpnext""), ""CRM &amp; Sales"",
  REGEXMATCH(A1001&amp;B1001, ""(?i)gmail|outlook|calenda"&amp;"r|slack|discord|telegram|whatsapp|notion|trello|drive|sheets?|meeting|scheduler|appointment|mattermost""), ""Productivity &amp; Communication"",
  REGEXMATCH(A1001&amp;B1001, ""(?i)github|api|webhook|http|mysql|supabase|mongodb|redis|rss|pr|code review|incident|p"&amp;"agerduty|jira""), ""Development &amp; Utilities"",
  TRUE, ""Others""
)"),"AI &amp; LLM")</f>
        <v>AI &amp; LLM</v>
      </c>
    </row>
    <row r="1002" ht="15.75" customHeight="1">
      <c r="A1002" s="14" t="s">
        <v>1086</v>
      </c>
      <c r="B1002" s="15" t="s">
        <v>1984</v>
      </c>
      <c r="C1002" s="16" t="s">
        <v>7</v>
      </c>
      <c r="D1002" s="12" t="str">
        <f>IFERROR(__xludf.DUMMYFUNCTION("IFS(
  REGEXMATCH(A1002&amp;B1002, ""(?i)openai|gpt|gemini|anthropic|claude|mistral|cohere|rag|vector|llm|chatbot|ai-powered""), ""AI &amp; LLM"",
  REGEXMATCH(A1002&amp;B1002, ""(?i)twitter|instagram|facebook|linkedin|youtube|tiktok|threads|bluesky|pinterest|social"&amp;" video|reels?|shorts?""), ""Social Media"",
  REGEXMATCH(A1002&amp;B1002, ""(?i)hubspot|pipedrive|stripe|shopify|woocommerce|sales|crm|invoice|order|leads?|recruitment|bamboohr|erpnext""), ""CRM &amp; Sales"",
  REGEXMATCH(A1002&amp;B1002, ""(?i)gmail|outlook|calenda"&amp;"r|slack|discord|telegram|whatsapp|notion|trello|drive|sheets?|meeting|scheduler|appointment|mattermost""), ""Productivity &amp; Communication"",
  REGEXMATCH(A1002&amp;B1002, ""(?i)github|api|webhook|http|mysql|supabase|mongodb|redis|rss|pr|code review|incident|p"&amp;"agerduty|jira""), ""Development &amp; Utilities"",
  TRUE, ""Others""
)"),"AI &amp; LLM")</f>
        <v>AI &amp; LLM</v>
      </c>
    </row>
    <row r="1003" ht="15.75" customHeight="1">
      <c r="A1003" s="14" t="s">
        <v>1985</v>
      </c>
      <c r="B1003" s="15" t="s">
        <v>1986</v>
      </c>
      <c r="C1003" s="16" t="s">
        <v>7</v>
      </c>
      <c r="D1003" s="12" t="str">
        <f>IFERROR(__xludf.DUMMYFUNCTION("IFS(
  REGEXMATCH(A1003&amp;B1003, ""(?i)openai|gpt|gemini|anthropic|claude|mistral|cohere|rag|vector|llm|chatbot|ai-powered""), ""AI &amp; LLM"",
  REGEXMATCH(A1003&amp;B1003, ""(?i)twitter|instagram|facebook|linkedin|youtube|tiktok|threads|bluesky|pinterest|social"&amp;" video|reels?|shorts?""), ""Social Media"",
  REGEXMATCH(A1003&amp;B1003, ""(?i)hubspot|pipedrive|stripe|shopify|woocommerce|sales|crm|invoice|order|leads?|recruitment|bamboohr|erpnext""), ""CRM &amp; Sales"",
  REGEXMATCH(A1003&amp;B1003, ""(?i)gmail|outlook|calenda"&amp;"r|slack|discord|telegram|whatsapp|notion|trello|drive|sheets?|meeting|scheduler|appointment|mattermost""), ""Productivity &amp; Communication"",
  REGEXMATCH(A1003&amp;B1003, ""(?i)github|api|webhook|http|mysql|supabase|mongodb|redis|rss|pr|code review|incident|p"&amp;"agerduty|jira""), ""Development &amp; Utilities"",
  TRUE, ""Others""
)"),"AI &amp; LLM")</f>
        <v>AI &amp; LLM</v>
      </c>
    </row>
    <row r="1004" ht="15.75" customHeight="1">
      <c r="A1004" s="14" t="s">
        <v>1987</v>
      </c>
      <c r="B1004" s="15" t="s">
        <v>1988</v>
      </c>
      <c r="C1004" s="16" t="s">
        <v>7</v>
      </c>
      <c r="D1004" s="12" t="str">
        <f>IFERROR(__xludf.DUMMYFUNCTION("IFS(
  REGEXMATCH(A1004&amp;B1004, ""(?i)openai|gpt|gemini|anthropic|claude|mistral|cohere|rag|vector|llm|chatbot|ai-powered""), ""AI &amp; LLM"",
  REGEXMATCH(A1004&amp;B1004, ""(?i)twitter|instagram|facebook|linkedin|youtube|tiktok|threads|bluesky|pinterest|social"&amp;" video|reels?|shorts?""), ""Social Media"",
  REGEXMATCH(A1004&amp;B1004, ""(?i)hubspot|pipedrive|stripe|shopify|woocommerce|sales|crm|invoice|order|leads?|recruitment|bamboohr|erpnext""), ""CRM &amp; Sales"",
  REGEXMATCH(A1004&amp;B1004, ""(?i)gmail|outlook|calenda"&amp;"r|slack|discord|telegram|whatsapp|notion|trello|drive|sheets?|meeting|scheduler|appointment|mattermost""), ""Productivity &amp; Communication"",
  REGEXMATCH(A1004&amp;B1004, ""(?i)github|api|webhook|http|mysql|supabase|mongodb|redis|rss|pr|code review|incident|p"&amp;"agerduty|jira""), ""Development &amp; Utilities"",
  TRUE, ""Others""
)"),"Development &amp; Utilities")</f>
        <v>Development &amp; Utilities</v>
      </c>
    </row>
    <row r="1005" ht="15.75" customHeight="1">
      <c r="A1005" s="14" t="s">
        <v>1989</v>
      </c>
      <c r="B1005" s="15" t="s">
        <v>1990</v>
      </c>
      <c r="C1005" s="16" t="s">
        <v>7</v>
      </c>
      <c r="D1005" s="12" t="str">
        <f>IFERROR(__xludf.DUMMYFUNCTION("IFS(
  REGEXMATCH(A1005&amp;B1005, ""(?i)openai|gpt|gemini|anthropic|claude|mistral|cohere|rag|vector|llm|chatbot|ai-powered""), ""AI &amp; LLM"",
  REGEXMATCH(A1005&amp;B1005, ""(?i)twitter|instagram|facebook|linkedin|youtube|tiktok|threads|bluesky|pinterest|social"&amp;" video|reels?|shorts?""), ""Social Media"",
  REGEXMATCH(A1005&amp;B1005, ""(?i)hubspot|pipedrive|stripe|shopify|woocommerce|sales|crm|invoice|order|leads?|recruitment|bamboohr|erpnext""), ""CRM &amp; Sales"",
  REGEXMATCH(A1005&amp;B1005, ""(?i)gmail|outlook|calenda"&amp;"r|slack|discord|telegram|whatsapp|notion|trello|drive|sheets?|meeting|scheduler|appointment|mattermost""), ""Productivity &amp; Communication"",
  REGEXMATCH(A1005&amp;B1005, ""(?i)github|api|webhook|http|mysql|supabase|mongodb|redis|rss|pr|code review|incident|p"&amp;"agerduty|jira""), ""Development &amp; Utilities"",
  TRUE, ""Others""
)"),"AI &amp; LLM")</f>
        <v>AI &amp; LLM</v>
      </c>
    </row>
    <row r="1006" ht="15.75" customHeight="1">
      <c r="A1006" s="14" t="s">
        <v>1991</v>
      </c>
      <c r="B1006" s="15" t="s">
        <v>1992</v>
      </c>
      <c r="C1006" s="16" t="s">
        <v>7</v>
      </c>
      <c r="D1006" s="12" t="str">
        <f>IFERROR(__xludf.DUMMYFUNCTION("IFS(
  REGEXMATCH(A1006&amp;B1006, ""(?i)openai|gpt|gemini|anthropic|claude|mistral|cohere|rag|vector|llm|chatbot|ai-powered""), ""AI &amp; LLM"",
  REGEXMATCH(A1006&amp;B1006, ""(?i)twitter|instagram|facebook|linkedin|youtube|tiktok|threads|bluesky|pinterest|social"&amp;" video|reels?|shorts?""), ""Social Media"",
  REGEXMATCH(A1006&amp;B1006, ""(?i)hubspot|pipedrive|stripe|shopify|woocommerce|sales|crm|invoice|order|leads?|recruitment|bamboohr|erpnext""), ""CRM &amp; Sales"",
  REGEXMATCH(A1006&amp;B1006, ""(?i)gmail|outlook|calenda"&amp;"r|slack|discord|telegram|whatsapp|notion|trello|drive|sheets?|meeting|scheduler|appointment|mattermost""), ""Productivity &amp; Communication"",
  REGEXMATCH(A1006&amp;B1006, ""(?i)github|api|webhook|http|mysql|supabase|mongodb|redis|rss|pr|code review|incident|p"&amp;"agerduty|jira""), ""Development &amp; Utilities"",
  TRUE, ""Others""
)"),"AI &amp; LLM")</f>
        <v>AI &amp; LLM</v>
      </c>
    </row>
    <row r="1007" ht="15.75" customHeight="1">
      <c r="A1007" s="14" t="s">
        <v>1993</v>
      </c>
      <c r="B1007" s="15" t="s">
        <v>1994</v>
      </c>
      <c r="C1007" s="16" t="s">
        <v>7</v>
      </c>
      <c r="D1007" s="12" t="str">
        <f>IFERROR(__xludf.DUMMYFUNCTION("IFS(
  REGEXMATCH(A1007&amp;B1007, ""(?i)openai|gpt|gemini|anthropic|claude|mistral|cohere|rag|vector|llm|chatbot|ai-powered""), ""AI &amp; LLM"",
  REGEXMATCH(A1007&amp;B1007, ""(?i)twitter|instagram|facebook|linkedin|youtube|tiktok|threads|bluesky|pinterest|social"&amp;" video|reels?|shorts?""), ""Social Media"",
  REGEXMATCH(A1007&amp;B1007, ""(?i)hubspot|pipedrive|stripe|shopify|woocommerce|sales|crm|invoice|order|leads?|recruitment|bamboohr|erpnext""), ""CRM &amp; Sales"",
  REGEXMATCH(A1007&amp;B1007, ""(?i)gmail|outlook|calenda"&amp;"r|slack|discord|telegram|whatsapp|notion|trello|drive|sheets?|meeting|scheduler|appointment|mattermost""), ""Productivity &amp; Communication"",
  REGEXMATCH(A1007&amp;B1007, ""(?i)github|api|webhook|http|mysql|supabase|mongodb|redis|rss|pr|code review|incident|p"&amp;"agerduty|jira""), ""Development &amp; Utilities"",
  TRUE, ""Others""
)"),"AI &amp; LLM")</f>
        <v>AI &amp; LLM</v>
      </c>
    </row>
    <row r="1008" ht="15.75" customHeight="1">
      <c r="A1008" s="14" t="s">
        <v>1995</v>
      </c>
      <c r="B1008" s="15" t="s">
        <v>1996</v>
      </c>
      <c r="C1008" s="16" t="s">
        <v>7</v>
      </c>
      <c r="D1008" s="12" t="str">
        <f>IFERROR(__xludf.DUMMYFUNCTION("IFS(
  REGEXMATCH(A1008&amp;B1008, ""(?i)openai|gpt|gemini|anthropic|claude|mistral|cohere|rag|vector|llm|chatbot|ai-powered""), ""AI &amp; LLM"",
  REGEXMATCH(A1008&amp;B1008, ""(?i)twitter|instagram|facebook|linkedin|youtube|tiktok|threads|bluesky|pinterest|social"&amp;" video|reels?|shorts?""), ""Social Media"",
  REGEXMATCH(A1008&amp;B1008, ""(?i)hubspot|pipedrive|stripe|shopify|woocommerce|sales|crm|invoice|order|leads?|recruitment|bamboohr|erpnext""), ""CRM &amp; Sales"",
  REGEXMATCH(A1008&amp;B1008, ""(?i)gmail|outlook|calenda"&amp;"r|slack|discord|telegram|whatsapp|notion|trello|drive|sheets?|meeting|scheduler|appointment|mattermost""), ""Productivity &amp; Communication"",
  REGEXMATCH(A1008&amp;B1008, ""(?i)github|api|webhook|http|mysql|supabase|mongodb|redis|rss|pr|code review|incident|p"&amp;"agerduty|jira""), ""Development &amp; Utilities"",
  TRUE, ""Others""
)"),"AI &amp; LLM")</f>
        <v>AI &amp; LLM</v>
      </c>
    </row>
    <row r="1009" ht="15.75" customHeight="1">
      <c r="A1009" s="14" t="s">
        <v>1997</v>
      </c>
      <c r="B1009" s="15" t="s">
        <v>1998</v>
      </c>
      <c r="C1009" s="16" t="s">
        <v>7</v>
      </c>
      <c r="D1009" s="12" t="str">
        <f>IFERROR(__xludf.DUMMYFUNCTION("IFS(
  REGEXMATCH(A1009&amp;B1009, ""(?i)openai|gpt|gemini|anthropic|claude|mistral|cohere|rag|vector|llm|chatbot|ai-powered""), ""AI &amp; LLM"",
  REGEXMATCH(A1009&amp;B1009, ""(?i)twitter|instagram|facebook|linkedin|youtube|tiktok|threads|bluesky|pinterest|social"&amp;" video|reels?|shorts?""), ""Social Media"",
  REGEXMATCH(A1009&amp;B1009, ""(?i)hubspot|pipedrive|stripe|shopify|woocommerce|sales|crm|invoice|order|leads?|recruitment|bamboohr|erpnext""), ""CRM &amp; Sales"",
  REGEXMATCH(A1009&amp;B1009, ""(?i)gmail|outlook|calenda"&amp;"r|slack|discord|telegram|whatsapp|notion|trello|drive|sheets?|meeting|scheduler|appointment|mattermost""), ""Productivity &amp; Communication"",
  REGEXMATCH(A1009&amp;B1009, ""(?i)github|api|webhook|http|mysql|supabase|mongodb|redis|rss|pr|code review|incident|p"&amp;"agerduty|jira""), ""Development &amp; Utilities"",
  TRUE, ""Others""
)"),"AI &amp; LLM")</f>
        <v>AI &amp; LLM</v>
      </c>
    </row>
    <row r="1010" ht="15.75" customHeight="1">
      <c r="A1010" s="14" t="s">
        <v>1999</v>
      </c>
      <c r="B1010" s="15" t="s">
        <v>2000</v>
      </c>
      <c r="C1010" s="16" t="s">
        <v>7</v>
      </c>
      <c r="D1010" s="12" t="str">
        <f>IFERROR(__xludf.DUMMYFUNCTION("IFS(
  REGEXMATCH(A1010&amp;B1010, ""(?i)openai|gpt|gemini|anthropic|claude|mistral|cohere|rag|vector|llm|chatbot|ai-powered""), ""AI &amp; LLM"",
  REGEXMATCH(A1010&amp;B1010, ""(?i)twitter|instagram|facebook|linkedin|youtube|tiktok|threads|bluesky|pinterest|social"&amp;" video|reels?|shorts?""), ""Social Media"",
  REGEXMATCH(A1010&amp;B1010, ""(?i)hubspot|pipedrive|stripe|shopify|woocommerce|sales|crm|invoice|order|leads?|recruitment|bamboohr|erpnext""), ""CRM &amp; Sales"",
  REGEXMATCH(A1010&amp;B1010, ""(?i)gmail|outlook|calenda"&amp;"r|slack|discord|telegram|whatsapp|notion|trello|drive|sheets?|meeting|scheduler|appointment|mattermost""), ""Productivity &amp; Communication"",
  REGEXMATCH(A1010&amp;B1010, ""(?i)github|api|webhook|http|mysql|supabase|mongodb|redis|rss|pr|code review|incident|p"&amp;"agerduty|jira""), ""Development &amp; Utilities"",
  TRUE, ""Others""
)"),"AI &amp; LLM")</f>
        <v>AI &amp; LLM</v>
      </c>
    </row>
    <row r="1011" ht="15.75" customHeight="1">
      <c r="A1011" s="14" t="s">
        <v>2001</v>
      </c>
      <c r="B1011" s="15" t="s">
        <v>2002</v>
      </c>
      <c r="C1011" s="16" t="s">
        <v>7</v>
      </c>
      <c r="D1011" s="12" t="str">
        <f>IFERROR(__xludf.DUMMYFUNCTION("IFS(
  REGEXMATCH(A1011&amp;B1011, ""(?i)openai|gpt|gemini|anthropic|claude|mistral|cohere|rag|vector|llm|chatbot|ai-powered""), ""AI &amp; LLM"",
  REGEXMATCH(A1011&amp;B1011, ""(?i)twitter|instagram|facebook|linkedin|youtube|tiktok|threads|bluesky|pinterest|social"&amp;" video|reels?|shorts?""), ""Social Media"",
  REGEXMATCH(A1011&amp;B1011, ""(?i)hubspot|pipedrive|stripe|shopify|woocommerce|sales|crm|invoice|order|leads?|recruitment|bamboohr|erpnext""), ""CRM &amp; Sales"",
  REGEXMATCH(A1011&amp;B1011, ""(?i)gmail|outlook|calenda"&amp;"r|slack|discord|telegram|whatsapp|notion|trello|drive|sheets?|meeting|scheduler|appointment|mattermost""), ""Productivity &amp; Communication"",
  REGEXMATCH(A1011&amp;B1011, ""(?i)github|api|webhook|http|mysql|supabase|mongodb|redis|rss|pr|code review|incident|p"&amp;"agerduty|jira""), ""Development &amp; Utilities"",
  TRUE, ""Others""
)"),"AI &amp; LLM")</f>
        <v>AI &amp; LLM</v>
      </c>
    </row>
    <row r="1012" ht="15.75" customHeight="1">
      <c r="A1012" s="14" t="s">
        <v>2003</v>
      </c>
      <c r="B1012" s="15" t="s">
        <v>2004</v>
      </c>
      <c r="C1012" s="16" t="s">
        <v>7</v>
      </c>
      <c r="D1012" s="12" t="str">
        <f>IFERROR(__xludf.DUMMYFUNCTION("IFS(
  REGEXMATCH(A1012&amp;B1012, ""(?i)openai|gpt|gemini|anthropic|claude|mistral|cohere|rag|vector|llm|chatbot|ai-powered""), ""AI &amp; LLM"",
  REGEXMATCH(A1012&amp;B1012, ""(?i)twitter|instagram|facebook|linkedin|youtube|tiktok|threads|bluesky|pinterest|social"&amp;" video|reels?|shorts?""), ""Social Media"",
  REGEXMATCH(A1012&amp;B1012, ""(?i)hubspot|pipedrive|stripe|shopify|woocommerce|sales|crm|invoice|order|leads?|recruitment|bamboohr|erpnext""), ""CRM &amp; Sales"",
  REGEXMATCH(A1012&amp;B1012, ""(?i)gmail|outlook|calenda"&amp;"r|slack|discord|telegram|whatsapp|notion|trello|drive|sheets?|meeting|scheduler|appointment|mattermost""), ""Productivity &amp; Communication"",
  REGEXMATCH(A1012&amp;B1012, ""(?i)github|api|webhook|http|mysql|supabase|mongodb|redis|rss|pr|code review|incident|p"&amp;"agerduty|jira""), ""Development &amp; Utilities"",
  TRUE, ""Others""
)"),"AI &amp; LLM")</f>
        <v>AI &amp; LLM</v>
      </c>
    </row>
    <row r="1013" ht="15.75" customHeight="1">
      <c r="A1013" s="14" t="s">
        <v>2005</v>
      </c>
      <c r="B1013" s="15" t="s">
        <v>2006</v>
      </c>
      <c r="C1013" s="16" t="s">
        <v>7</v>
      </c>
      <c r="D1013" s="12" t="str">
        <f>IFERROR(__xludf.DUMMYFUNCTION("IFS(
  REGEXMATCH(A1013&amp;B1013, ""(?i)openai|gpt|gemini|anthropic|claude|mistral|cohere|rag|vector|llm|chatbot|ai-powered""), ""AI &amp; LLM"",
  REGEXMATCH(A1013&amp;B1013, ""(?i)twitter|instagram|facebook|linkedin|youtube|tiktok|threads|bluesky|pinterest|social"&amp;" video|reels?|shorts?""), ""Social Media"",
  REGEXMATCH(A1013&amp;B1013, ""(?i)hubspot|pipedrive|stripe|shopify|woocommerce|sales|crm|invoice|order|leads?|recruitment|bamboohr|erpnext""), ""CRM &amp; Sales"",
  REGEXMATCH(A1013&amp;B1013, ""(?i)gmail|outlook|calenda"&amp;"r|slack|discord|telegram|whatsapp|notion|trello|drive|sheets?|meeting|scheduler|appointment|mattermost""), ""Productivity &amp; Communication"",
  REGEXMATCH(A1013&amp;B1013, ""(?i)github|api|webhook|http|mysql|supabase|mongodb|redis|rss|pr|code review|incident|p"&amp;"agerduty|jira""), ""Development &amp; Utilities"",
  TRUE, ""Others""
)"),"CRM &amp; Sales")</f>
        <v>CRM &amp; Sales</v>
      </c>
    </row>
    <row r="1014" ht="15.75" customHeight="1">
      <c r="A1014" s="14" t="s">
        <v>2007</v>
      </c>
      <c r="B1014" s="15" t="s">
        <v>2008</v>
      </c>
      <c r="C1014" s="16" t="s">
        <v>7</v>
      </c>
      <c r="D1014" s="12" t="str">
        <f>IFERROR(__xludf.DUMMYFUNCTION("IFS(
  REGEXMATCH(A1014&amp;B1014, ""(?i)openai|gpt|gemini|anthropic|claude|mistral|cohere|rag|vector|llm|chatbot|ai-powered""), ""AI &amp; LLM"",
  REGEXMATCH(A1014&amp;B1014, ""(?i)twitter|instagram|facebook|linkedin|youtube|tiktok|threads|bluesky|pinterest|social"&amp;" video|reels?|shorts?""), ""Social Media"",
  REGEXMATCH(A1014&amp;B1014, ""(?i)hubspot|pipedrive|stripe|shopify|woocommerce|sales|crm|invoice|order|leads?|recruitment|bamboohr|erpnext""), ""CRM &amp; Sales"",
  REGEXMATCH(A1014&amp;B1014, ""(?i)gmail|outlook|calenda"&amp;"r|slack|discord|telegram|whatsapp|notion|trello|drive|sheets?|meeting|scheduler|appointment|mattermost""), ""Productivity &amp; Communication"",
  REGEXMATCH(A1014&amp;B1014, ""(?i)github|api|webhook|http|mysql|supabase|mongodb|redis|rss|pr|code review|incident|p"&amp;"agerduty|jira""), ""Development &amp; Utilities"",
  TRUE, ""Others""
)"),"AI &amp; LLM")</f>
        <v>AI &amp; LLM</v>
      </c>
    </row>
    <row r="1015" ht="15.75" customHeight="1">
      <c r="A1015" s="14" t="s">
        <v>2009</v>
      </c>
      <c r="B1015" s="15" t="s">
        <v>2010</v>
      </c>
      <c r="C1015" s="16" t="s">
        <v>7</v>
      </c>
      <c r="D1015" s="12" t="str">
        <f>IFERROR(__xludf.DUMMYFUNCTION("IFS(
  REGEXMATCH(A1015&amp;B1015, ""(?i)openai|gpt|gemini|anthropic|claude|mistral|cohere|rag|vector|llm|chatbot|ai-powered""), ""AI &amp; LLM"",
  REGEXMATCH(A1015&amp;B1015, ""(?i)twitter|instagram|facebook|linkedin|youtube|tiktok|threads|bluesky|pinterest|social"&amp;" video|reels?|shorts?""), ""Social Media"",
  REGEXMATCH(A1015&amp;B1015, ""(?i)hubspot|pipedrive|stripe|shopify|woocommerce|sales|crm|invoice|order|leads?|recruitment|bamboohr|erpnext""), ""CRM &amp; Sales"",
  REGEXMATCH(A1015&amp;B1015, ""(?i)gmail|outlook|calenda"&amp;"r|slack|discord|telegram|whatsapp|notion|trello|drive|sheets?|meeting|scheduler|appointment|mattermost""), ""Productivity &amp; Communication"",
  REGEXMATCH(A1015&amp;B1015, ""(?i)github|api|webhook|http|mysql|supabase|mongodb|redis|rss|pr|code review|incident|p"&amp;"agerduty|jira""), ""Development &amp; Utilities"",
  TRUE, ""Others""
)"),"AI &amp; LLM")</f>
        <v>AI &amp; LLM</v>
      </c>
    </row>
    <row r="1016" ht="15.75" customHeight="1">
      <c r="A1016" s="14" t="s">
        <v>2011</v>
      </c>
      <c r="B1016" s="15" t="s">
        <v>2012</v>
      </c>
      <c r="C1016" s="16" t="s">
        <v>7</v>
      </c>
      <c r="D1016" s="12" t="str">
        <f>IFERROR(__xludf.DUMMYFUNCTION("IFS(
  REGEXMATCH(A1016&amp;B1016, ""(?i)openai|gpt|gemini|anthropic|claude|mistral|cohere|rag|vector|llm|chatbot|ai-powered""), ""AI &amp; LLM"",
  REGEXMATCH(A1016&amp;B1016, ""(?i)twitter|instagram|facebook|linkedin|youtube|tiktok|threads|bluesky|pinterest|social"&amp;" video|reels?|shorts?""), ""Social Media"",
  REGEXMATCH(A1016&amp;B1016, ""(?i)hubspot|pipedrive|stripe|shopify|woocommerce|sales|crm|invoice|order|leads?|recruitment|bamboohr|erpnext""), ""CRM &amp; Sales"",
  REGEXMATCH(A1016&amp;B1016, ""(?i)gmail|outlook|calenda"&amp;"r|slack|discord|telegram|whatsapp|notion|trello|drive|sheets?|meeting|scheduler|appointment|mattermost""), ""Productivity &amp; Communication"",
  REGEXMATCH(A1016&amp;B1016, ""(?i)github|api|webhook|http|mysql|supabase|mongodb|redis|rss|pr|code review|incident|p"&amp;"agerduty|jira""), ""Development &amp; Utilities"",
  TRUE, ""Others""
)"),"Productivity &amp; Communication")</f>
        <v>Productivity &amp; Communication</v>
      </c>
    </row>
    <row r="1017" ht="15.75" customHeight="1">
      <c r="A1017" s="14" t="s">
        <v>2013</v>
      </c>
      <c r="B1017" s="15" t="s">
        <v>2014</v>
      </c>
      <c r="C1017" s="16" t="s">
        <v>7</v>
      </c>
      <c r="D1017" s="12" t="str">
        <f>IFERROR(__xludf.DUMMYFUNCTION("IFS(
  REGEXMATCH(A1017&amp;B1017, ""(?i)openai|gpt|gemini|anthropic|claude|mistral|cohere|rag|vector|llm|chatbot|ai-powered""), ""AI &amp; LLM"",
  REGEXMATCH(A1017&amp;B1017, ""(?i)twitter|instagram|facebook|linkedin|youtube|tiktok|threads|bluesky|pinterest|social"&amp;" video|reels?|shorts?""), ""Social Media"",
  REGEXMATCH(A1017&amp;B1017, ""(?i)hubspot|pipedrive|stripe|shopify|woocommerce|sales|crm|invoice|order|leads?|recruitment|bamboohr|erpnext""), ""CRM &amp; Sales"",
  REGEXMATCH(A1017&amp;B1017, ""(?i)gmail|outlook|calenda"&amp;"r|slack|discord|telegram|whatsapp|notion|trello|drive|sheets?|meeting|scheduler|appointment|mattermost""), ""Productivity &amp; Communication"",
  REGEXMATCH(A1017&amp;B1017, ""(?i)github|api|webhook|http|mysql|supabase|mongodb|redis|rss|pr|code review|incident|p"&amp;"agerduty|jira""), ""Development &amp; Utilities"",
  TRUE, ""Others""
)"),"Productivity &amp; Communication")</f>
        <v>Productivity &amp; Communication</v>
      </c>
    </row>
    <row r="1018" ht="15.75" customHeight="1">
      <c r="A1018" s="14" t="s">
        <v>2015</v>
      </c>
      <c r="B1018" s="15" t="s">
        <v>2016</v>
      </c>
      <c r="C1018" s="16" t="s">
        <v>7</v>
      </c>
      <c r="D1018" s="12" t="str">
        <f>IFERROR(__xludf.DUMMYFUNCTION("IFS(
  REGEXMATCH(A1018&amp;B1018, ""(?i)openai|gpt|gemini|anthropic|claude|mistral|cohere|rag|vector|llm|chatbot|ai-powered""), ""AI &amp; LLM"",
  REGEXMATCH(A1018&amp;B1018, ""(?i)twitter|instagram|facebook|linkedin|youtube|tiktok|threads|bluesky|pinterest|social"&amp;" video|reels?|shorts?""), ""Social Media"",
  REGEXMATCH(A1018&amp;B1018, ""(?i)hubspot|pipedrive|stripe|shopify|woocommerce|sales|crm|invoice|order|leads?|recruitment|bamboohr|erpnext""), ""CRM &amp; Sales"",
  REGEXMATCH(A1018&amp;B1018, ""(?i)gmail|outlook|calenda"&amp;"r|slack|discord|telegram|whatsapp|notion|trello|drive|sheets?|meeting|scheduler|appointment|mattermost""), ""Productivity &amp; Communication"",
  REGEXMATCH(A1018&amp;B1018, ""(?i)github|api|webhook|http|mysql|supabase|mongodb|redis|rss|pr|code review|incident|p"&amp;"agerduty|jira""), ""Development &amp; Utilities"",
  TRUE, ""Others""
)"),"AI &amp; LLM")</f>
        <v>AI &amp; LLM</v>
      </c>
    </row>
    <row r="1019" ht="15.75" customHeight="1">
      <c r="A1019" s="14" t="s">
        <v>2017</v>
      </c>
      <c r="B1019" s="15" t="s">
        <v>2018</v>
      </c>
      <c r="C1019" s="16" t="s">
        <v>7</v>
      </c>
      <c r="D1019" s="12" t="str">
        <f>IFERROR(__xludf.DUMMYFUNCTION("IFS(
  REGEXMATCH(A1019&amp;B1019, ""(?i)openai|gpt|gemini|anthropic|claude|mistral|cohere|rag|vector|llm|chatbot|ai-powered""), ""AI &amp; LLM"",
  REGEXMATCH(A1019&amp;B1019, ""(?i)twitter|instagram|facebook|linkedin|youtube|tiktok|threads|bluesky|pinterest|social"&amp;" video|reels?|shorts?""), ""Social Media"",
  REGEXMATCH(A1019&amp;B1019, ""(?i)hubspot|pipedrive|stripe|shopify|woocommerce|sales|crm|invoice|order|leads?|recruitment|bamboohr|erpnext""), ""CRM &amp; Sales"",
  REGEXMATCH(A1019&amp;B1019, ""(?i)gmail|outlook|calenda"&amp;"r|slack|discord|telegram|whatsapp|notion|trello|drive|sheets?|meeting|scheduler|appointment|mattermost""), ""Productivity &amp; Communication"",
  REGEXMATCH(A1019&amp;B1019, ""(?i)github|api|webhook|http|mysql|supabase|mongodb|redis|rss|pr|code review|incident|p"&amp;"agerduty|jira""), ""Development &amp; Utilities"",
  TRUE, ""Others""
)"),"AI &amp; LLM")</f>
        <v>AI &amp; LLM</v>
      </c>
    </row>
    <row r="1020" ht="15.75" customHeight="1">
      <c r="A1020" s="14" t="s">
        <v>2019</v>
      </c>
      <c r="B1020" s="15" t="s">
        <v>2020</v>
      </c>
      <c r="C1020" s="16" t="s">
        <v>7</v>
      </c>
      <c r="D1020" s="12" t="str">
        <f>IFERROR(__xludf.DUMMYFUNCTION("IFS(
  REGEXMATCH(A1020&amp;B1020, ""(?i)openai|gpt|gemini|anthropic|claude|mistral|cohere|rag|vector|llm|chatbot|ai-powered""), ""AI &amp; LLM"",
  REGEXMATCH(A1020&amp;B1020, ""(?i)twitter|instagram|facebook|linkedin|youtube|tiktok|threads|bluesky|pinterest|social"&amp;" video|reels?|shorts?""), ""Social Media"",
  REGEXMATCH(A1020&amp;B1020, ""(?i)hubspot|pipedrive|stripe|shopify|woocommerce|sales|crm|invoice|order|leads?|recruitment|bamboohr|erpnext""), ""CRM &amp; Sales"",
  REGEXMATCH(A1020&amp;B1020, ""(?i)gmail|outlook|calenda"&amp;"r|slack|discord|telegram|whatsapp|notion|trello|drive|sheets?|meeting|scheduler|appointment|mattermost""), ""Productivity &amp; Communication"",
  REGEXMATCH(A1020&amp;B1020, ""(?i)github|api|webhook|http|mysql|supabase|mongodb|redis|rss|pr|code review|incident|p"&amp;"agerduty|jira""), ""Development &amp; Utilities"",
  TRUE, ""Others""
)"),"AI &amp; LLM")</f>
        <v>AI &amp; LLM</v>
      </c>
    </row>
    <row r="1021" ht="15.75" customHeight="1">
      <c r="A1021" s="14" t="s">
        <v>2021</v>
      </c>
      <c r="B1021" s="15" t="s">
        <v>2022</v>
      </c>
      <c r="C1021" s="16" t="s">
        <v>7</v>
      </c>
      <c r="D1021" s="12" t="str">
        <f>IFERROR(__xludf.DUMMYFUNCTION("IFS(
  REGEXMATCH(A1021&amp;B1021, ""(?i)openai|gpt|gemini|anthropic|claude|mistral|cohere|rag|vector|llm|chatbot|ai-powered""), ""AI &amp; LLM"",
  REGEXMATCH(A1021&amp;B1021, ""(?i)twitter|instagram|facebook|linkedin|youtube|tiktok|threads|bluesky|pinterest|social"&amp;" video|reels?|shorts?""), ""Social Media"",
  REGEXMATCH(A1021&amp;B1021, ""(?i)hubspot|pipedrive|stripe|shopify|woocommerce|sales|crm|invoice|order|leads?|recruitment|bamboohr|erpnext""), ""CRM &amp; Sales"",
  REGEXMATCH(A1021&amp;B1021, ""(?i)gmail|outlook|calenda"&amp;"r|slack|discord|telegram|whatsapp|notion|trello|drive|sheets?|meeting|scheduler|appointment|mattermost""), ""Productivity &amp; Communication"",
  REGEXMATCH(A1021&amp;B1021, ""(?i)github|api|webhook|http|mysql|supabase|mongodb|redis|rss|pr|code review|incident|p"&amp;"agerduty|jira""), ""Development &amp; Utilities"",
  TRUE, ""Others""
)"),"Development &amp; Utilities")</f>
        <v>Development &amp; Utilities</v>
      </c>
    </row>
    <row r="1022" ht="15.75" customHeight="1">
      <c r="A1022" s="14" t="s">
        <v>2023</v>
      </c>
      <c r="B1022" s="15" t="s">
        <v>2024</v>
      </c>
      <c r="C1022" s="16" t="s">
        <v>7</v>
      </c>
      <c r="D1022" s="12" t="str">
        <f>IFERROR(__xludf.DUMMYFUNCTION("IFS(
  REGEXMATCH(A1022&amp;B1022, ""(?i)openai|gpt|gemini|anthropic|claude|mistral|cohere|rag|vector|llm|chatbot|ai-powered""), ""AI &amp; LLM"",
  REGEXMATCH(A1022&amp;B1022, ""(?i)twitter|instagram|facebook|linkedin|youtube|tiktok|threads|bluesky|pinterest|social"&amp;" video|reels?|shorts?""), ""Social Media"",
  REGEXMATCH(A1022&amp;B1022, ""(?i)hubspot|pipedrive|stripe|shopify|woocommerce|sales|crm|invoice|order|leads?|recruitment|bamboohr|erpnext""), ""CRM &amp; Sales"",
  REGEXMATCH(A1022&amp;B1022, ""(?i)gmail|outlook|calenda"&amp;"r|slack|discord|telegram|whatsapp|notion|trello|drive|sheets?|meeting|scheduler|appointment|mattermost""), ""Productivity &amp; Communication"",
  REGEXMATCH(A1022&amp;B1022, ""(?i)github|api|webhook|http|mysql|supabase|mongodb|redis|rss|pr|code review|incident|p"&amp;"agerduty|jira""), ""Development &amp; Utilities"",
  TRUE, ""Others""
)"),"AI &amp; LLM")</f>
        <v>AI &amp; LLM</v>
      </c>
    </row>
    <row r="1023" ht="15.75" customHeight="1">
      <c r="A1023" s="14" t="s">
        <v>2025</v>
      </c>
      <c r="B1023" s="15" t="s">
        <v>2026</v>
      </c>
      <c r="C1023" s="16" t="s">
        <v>7</v>
      </c>
      <c r="D1023" s="12" t="str">
        <f>IFERROR(__xludf.DUMMYFUNCTION("IFS(
  REGEXMATCH(A1023&amp;B1023, ""(?i)openai|gpt|gemini|anthropic|claude|mistral|cohere|rag|vector|llm|chatbot|ai-powered""), ""AI &amp; LLM"",
  REGEXMATCH(A1023&amp;B1023, ""(?i)twitter|instagram|facebook|linkedin|youtube|tiktok|threads|bluesky|pinterest|social"&amp;" video|reels?|shorts?""), ""Social Media"",
  REGEXMATCH(A1023&amp;B1023, ""(?i)hubspot|pipedrive|stripe|shopify|woocommerce|sales|crm|invoice|order|leads?|recruitment|bamboohr|erpnext""), ""CRM &amp; Sales"",
  REGEXMATCH(A1023&amp;B1023, ""(?i)gmail|outlook|calenda"&amp;"r|slack|discord|telegram|whatsapp|notion|trello|drive|sheets?|meeting|scheduler|appointment|mattermost""), ""Productivity &amp; Communication"",
  REGEXMATCH(A1023&amp;B1023, ""(?i)github|api|webhook|http|mysql|supabase|mongodb|redis|rss|pr|code review|incident|p"&amp;"agerduty|jira""), ""Development &amp; Utilities"",
  TRUE, ""Others""
)"),"AI &amp; LLM")</f>
        <v>AI &amp; LLM</v>
      </c>
    </row>
    <row r="1024" ht="15.75" customHeight="1">
      <c r="A1024" s="14" t="s">
        <v>2027</v>
      </c>
      <c r="B1024" s="15" t="s">
        <v>2028</v>
      </c>
      <c r="C1024" s="16" t="s">
        <v>7</v>
      </c>
      <c r="D1024" s="12" t="str">
        <f>IFERROR(__xludf.DUMMYFUNCTION("IFS(
  REGEXMATCH(A1024&amp;B1024, ""(?i)openai|gpt|gemini|anthropic|claude|mistral|cohere|rag|vector|llm|chatbot|ai-powered""), ""AI &amp; LLM"",
  REGEXMATCH(A1024&amp;B1024, ""(?i)twitter|instagram|facebook|linkedin|youtube|tiktok|threads|bluesky|pinterest|social"&amp;" video|reels?|shorts?""), ""Social Media"",
  REGEXMATCH(A1024&amp;B1024, ""(?i)hubspot|pipedrive|stripe|shopify|woocommerce|sales|crm|invoice|order|leads?|recruitment|bamboohr|erpnext""), ""CRM &amp; Sales"",
  REGEXMATCH(A1024&amp;B1024, ""(?i)gmail|outlook|calenda"&amp;"r|slack|discord|telegram|whatsapp|notion|trello|drive|sheets?|meeting|scheduler|appointment|mattermost""), ""Productivity &amp; Communication"",
  REGEXMATCH(A1024&amp;B1024, ""(?i)github|api|webhook|http|mysql|supabase|mongodb|redis|rss|pr|code review|incident|p"&amp;"agerduty|jira""), ""Development &amp; Utilities"",
  TRUE, ""Others""
)"),"AI &amp; LLM")</f>
        <v>AI &amp; LLM</v>
      </c>
    </row>
    <row r="1025" ht="15.75" customHeight="1">
      <c r="A1025" s="14" t="s">
        <v>2029</v>
      </c>
      <c r="B1025" s="15" t="s">
        <v>2030</v>
      </c>
      <c r="C1025" s="16" t="s">
        <v>7</v>
      </c>
      <c r="D1025" s="12" t="str">
        <f>IFERROR(__xludf.DUMMYFUNCTION("IFS(
  REGEXMATCH(A1025&amp;B1025, ""(?i)openai|gpt|gemini|anthropic|claude|mistral|cohere|rag|vector|llm|chatbot|ai-powered""), ""AI &amp; LLM"",
  REGEXMATCH(A1025&amp;B1025, ""(?i)twitter|instagram|facebook|linkedin|youtube|tiktok|threads|bluesky|pinterest|social"&amp;" video|reels?|shorts?""), ""Social Media"",
  REGEXMATCH(A1025&amp;B1025, ""(?i)hubspot|pipedrive|stripe|shopify|woocommerce|sales|crm|invoice|order|leads?|recruitment|bamboohr|erpnext""), ""CRM &amp; Sales"",
  REGEXMATCH(A1025&amp;B1025, ""(?i)gmail|outlook|calenda"&amp;"r|slack|discord|telegram|whatsapp|notion|trello|drive|sheets?|meeting|scheduler|appointment|mattermost""), ""Productivity &amp; Communication"",
  REGEXMATCH(A1025&amp;B1025, ""(?i)github|api|webhook|http|mysql|supabase|mongodb|redis|rss|pr|code review|incident|p"&amp;"agerduty|jira""), ""Development &amp; Utilities"",
  TRUE, ""Others""
)"),"Productivity &amp; Communication")</f>
        <v>Productivity &amp; Communication</v>
      </c>
    </row>
    <row r="1026" ht="15.75" customHeight="1">
      <c r="A1026" s="14" t="s">
        <v>2031</v>
      </c>
      <c r="B1026" s="15" t="s">
        <v>2032</v>
      </c>
      <c r="C1026" s="16" t="s">
        <v>7</v>
      </c>
      <c r="D1026" s="12" t="str">
        <f>IFERROR(__xludf.DUMMYFUNCTION("IFS(
  REGEXMATCH(A1026&amp;B1026, ""(?i)openai|gpt|gemini|anthropic|claude|mistral|cohere|rag|vector|llm|chatbot|ai-powered""), ""AI &amp; LLM"",
  REGEXMATCH(A1026&amp;B1026, ""(?i)twitter|instagram|facebook|linkedin|youtube|tiktok|threads|bluesky|pinterest|social"&amp;" video|reels?|shorts?""), ""Social Media"",
  REGEXMATCH(A1026&amp;B1026, ""(?i)hubspot|pipedrive|stripe|shopify|woocommerce|sales|crm|invoice|order|leads?|recruitment|bamboohr|erpnext""), ""CRM &amp; Sales"",
  REGEXMATCH(A1026&amp;B1026, ""(?i)gmail|outlook|calenda"&amp;"r|slack|discord|telegram|whatsapp|notion|trello|drive|sheets?|meeting|scheduler|appointment|mattermost""), ""Productivity &amp; Communication"",
  REGEXMATCH(A1026&amp;B1026, ""(?i)github|api|webhook|http|mysql|supabase|mongodb|redis|rss|pr|code review|incident|p"&amp;"agerduty|jira""), ""Development &amp; Utilities"",
  TRUE, ""Others""
)"),"AI &amp; LLM")</f>
        <v>AI &amp; LLM</v>
      </c>
    </row>
    <row r="1027" ht="15.75" customHeight="1">
      <c r="A1027" s="14" t="s">
        <v>2033</v>
      </c>
      <c r="B1027" s="15" t="s">
        <v>2034</v>
      </c>
      <c r="C1027" s="16" t="s">
        <v>7</v>
      </c>
      <c r="D1027" s="12" t="str">
        <f>IFERROR(__xludf.DUMMYFUNCTION("IFS(
  REGEXMATCH(A1027&amp;B1027, ""(?i)openai|gpt|gemini|anthropic|claude|mistral|cohere|rag|vector|llm|chatbot|ai-powered""), ""AI &amp; LLM"",
  REGEXMATCH(A1027&amp;B1027, ""(?i)twitter|instagram|facebook|linkedin|youtube|tiktok|threads|bluesky|pinterest|social"&amp;" video|reels?|shorts?""), ""Social Media"",
  REGEXMATCH(A1027&amp;B1027, ""(?i)hubspot|pipedrive|stripe|shopify|woocommerce|sales|crm|invoice|order|leads?|recruitment|bamboohr|erpnext""), ""CRM &amp; Sales"",
  REGEXMATCH(A1027&amp;B1027, ""(?i)gmail|outlook|calenda"&amp;"r|slack|discord|telegram|whatsapp|notion|trello|drive|sheets?|meeting|scheduler|appointment|mattermost""), ""Productivity &amp; Communication"",
  REGEXMATCH(A1027&amp;B1027, ""(?i)github|api|webhook|http|mysql|supabase|mongodb|redis|rss|pr|code review|incident|p"&amp;"agerduty|jira""), ""Development &amp; Utilities"",
  TRUE, ""Others""
)"),"Productivity &amp; Communication")</f>
        <v>Productivity &amp; Communication</v>
      </c>
    </row>
    <row r="1028" ht="15.75" customHeight="1">
      <c r="A1028" s="14" t="s">
        <v>2035</v>
      </c>
      <c r="B1028" s="15" t="s">
        <v>2036</v>
      </c>
      <c r="C1028" s="16" t="s">
        <v>7</v>
      </c>
      <c r="D1028" s="12" t="str">
        <f>IFERROR(__xludf.DUMMYFUNCTION("IFS(
  REGEXMATCH(A1028&amp;B1028, ""(?i)openai|gpt|gemini|anthropic|claude|mistral|cohere|rag|vector|llm|chatbot|ai-powered""), ""AI &amp; LLM"",
  REGEXMATCH(A1028&amp;B1028, ""(?i)twitter|instagram|facebook|linkedin|youtube|tiktok|threads|bluesky|pinterest|social"&amp;" video|reels?|shorts?""), ""Social Media"",
  REGEXMATCH(A1028&amp;B1028, ""(?i)hubspot|pipedrive|stripe|shopify|woocommerce|sales|crm|invoice|order|leads?|recruitment|bamboohr|erpnext""), ""CRM &amp; Sales"",
  REGEXMATCH(A1028&amp;B1028, ""(?i)gmail|outlook|calenda"&amp;"r|slack|discord|telegram|whatsapp|notion|trello|drive|sheets?|meeting|scheduler|appointment|mattermost""), ""Productivity &amp; Communication"",
  REGEXMATCH(A1028&amp;B1028, ""(?i)github|api|webhook|http|mysql|supabase|mongodb|redis|rss|pr|code review|incident|p"&amp;"agerduty|jira""), ""Development &amp; Utilities"",
  TRUE, ""Others""
)"),"Productivity &amp; Communication")</f>
        <v>Productivity &amp; Communication</v>
      </c>
    </row>
    <row r="1029" ht="15.75" customHeight="1">
      <c r="A1029" s="14" t="s">
        <v>2037</v>
      </c>
      <c r="B1029" s="15" t="s">
        <v>2038</v>
      </c>
      <c r="C1029" s="16" t="s">
        <v>7</v>
      </c>
      <c r="D1029" s="12" t="str">
        <f>IFERROR(__xludf.DUMMYFUNCTION("IFS(
  REGEXMATCH(A1029&amp;B1029, ""(?i)openai|gpt|gemini|anthropic|claude|mistral|cohere|rag|vector|llm|chatbot|ai-powered""), ""AI &amp; LLM"",
  REGEXMATCH(A1029&amp;B1029, ""(?i)twitter|instagram|facebook|linkedin|youtube|tiktok|threads|bluesky|pinterest|social"&amp;" video|reels?|shorts?""), ""Social Media"",
  REGEXMATCH(A1029&amp;B1029, ""(?i)hubspot|pipedrive|stripe|shopify|woocommerce|sales|crm|invoice|order|leads?|recruitment|bamboohr|erpnext""), ""CRM &amp; Sales"",
  REGEXMATCH(A1029&amp;B1029, ""(?i)gmail|outlook|calenda"&amp;"r|slack|discord|telegram|whatsapp|notion|trello|drive|sheets?|meeting|scheduler|appointment|mattermost""), ""Productivity &amp; Communication"",
  REGEXMATCH(A1029&amp;B1029, ""(?i)github|api|webhook|http|mysql|supabase|mongodb|redis|rss|pr|code review|incident|p"&amp;"agerduty|jira""), ""Development &amp; Utilities"",
  TRUE, ""Others""
)"),"CRM &amp; Sales")</f>
        <v>CRM &amp; Sales</v>
      </c>
    </row>
    <row r="1030" ht="15.75" customHeight="1">
      <c r="A1030" s="14" t="s">
        <v>2039</v>
      </c>
      <c r="B1030" s="15" t="s">
        <v>2040</v>
      </c>
      <c r="C1030" s="16" t="s">
        <v>7</v>
      </c>
      <c r="D1030" s="12" t="str">
        <f>IFERROR(__xludf.DUMMYFUNCTION("IFS(
  REGEXMATCH(A1030&amp;B1030, ""(?i)openai|gpt|gemini|anthropic|claude|mistral|cohere|rag|vector|llm|chatbot|ai-powered""), ""AI &amp; LLM"",
  REGEXMATCH(A1030&amp;B1030, ""(?i)twitter|instagram|facebook|linkedin|youtube|tiktok|threads|bluesky|pinterest|social"&amp;" video|reels?|shorts?""), ""Social Media"",
  REGEXMATCH(A1030&amp;B1030, ""(?i)hubspot|pipedrive|stripe|shopify|woocommerce|sales|crm|invoice|order|leads?|recruitment|bamboohr|erpnext""), ""CRM &amp; Sales"",
  REGEXMATCH(A1030&amp;B1030, ""(?i)gmail|outlook|calenda"&amp;"r|slack|discord|telegram|whatsapp|notion|trello|drive|sheets?|meeting|scheduler|appointment|mattermost""), ""Productivity &amp; Communication"",
  REGEXMATCH(A1030&amp;B1030, ""(?i)github|api|webhook|http|mysql|supabase|mongodb|redis|rss|pr|code review|incident|p"&amp;"agerduty|jira""), ""Development &amp; Utilities"",
  TRUE, ""Others""
)"),"Productivity &amp; Communication")</f>
        <v>Productivity &amp; Communication</v>
      </c>
    </row>
    <row r="1031" ht="15.75" customHeight="1">
      <c r="A1031" s="14" t="s">
        <v>2041</v>
      </c>
      <c r="B1031" s="15" t="s">
        <v>2042</v>
      </c>
      <c r="C1031" s="16" t="s">
        <v>7</v>
      </c>
      <c r="D1031" s="12" t="str">
        <f>IFERROR(__xludf.DUMMYFUNCTION("IFS(
  REGEXMATCH(A1031&amp;B1031, ""(?i)openai|gpt|gemini|anthropic|claude|mistral|cohere|rag|vector|llm|chatbot|ai-powered""), ""AI &amp; LLM"",
  REGEXMATCH(A1031&amp;B1031, ""(?i)twitter|instagram|facebook|linkedin|youtube|tiktok|threads|bluesky|pinterest|social"&amp;" video|reels?|shorts?""), ""Social Media"",
  REGEXMATCH(A1031&amp;B1031, ""(?i)hubspot|pipedrive|stripe|shopify|woocommerce|sales|crm|invoice|order|leads?|recruitment|bamboohr|erpnext""), ""CRM &amp; Sales"",
  REGEXMATCH(A1031&amp;B1031, ""(?i)gmail|outlook|calenda"&amp;"r|slack|discord|telegram|whatsapp|notion|trello|drive|sheets?|meeting|scheduler|appointment|mattermost""), ""Productivity &amp; Communication"",
  REGEXMATCH(A1031&amp;B1031, ""(?i)github|api|webhook|http|mysql|supabase|mongodb|redis|rss|pr|code review|incident|p"&amp;"agerduty|jira""), ""Development &amp; Utilities"",
  TRUE, ""Others""
)"),"AI &amp; LLM")</f>
        <v>AI &amp; LLM</v>
      </c>
    </row>
    <row r="1032" ht="15.75" customHeight="1">
      <c r="A1032" s="14" t="s">
        <v>2043</v>
      </c>
      <c r="B1032" s="15" t="s">
        <v>2044</v>
      </c>
      <c r="C1032" s="16" t="s">
        <v>7</v>
      </c>
      <c r="D1032" s="12" t="str">
        <f>IFERROR(__xludf.DUMMYFUNCTION("IFS(
  REGEXMATCH(A1032&amp;B1032, ""(?i)openai|gpt|gemini|anthropic|claude|mistral|cohere|rag|vector|llm|chatbot|ai-powered""), ""AI &amp; LLM"",
  REGEXMATCH(A1032&amp;B1032, ""(?i)twitter|instagram|facebook|linkedin|youtube|tiktok|threads|bluesky|pinterest|social"&amp;" video|reels?|shorts?""), ""Social Media"",
  REGEXMATCH(A1032&amp;B1032, ""(?i)hubspot|pipedrive|stripe|shopify|woocommerce|sales|crm|invoice|order|leads?|recruitment|bamboohr|erpnext""), ""CRM &amp; Sales"",
  REGEXMATCH(A1032&amp;B1032, ""(?i)gmail|outlook|calenda"&amp;"r|slack|discord|telegram|whatsapp|notion|trello|drive|sheets?|meeting|scheduler|appointment|mattermost""), ""Productivity &amp; Communication"",
  REGEXMATCH(A1032&amp;B1032, ""(?i)github|api|webhook|http|mysql|supabase|mongodb|redis|rss|pr|code review|incident|p"&amp;"agerduty|jira""), ""Development &amp; Utilities"",
  TRUE, ""Others""
)"),"AI &amp; LLM")</f>
        <v>AI &amp; LLM</v>
      </c>
    </row>
    <row r="1033" ht="15.75" customHeight="1">
      <c r="A1033" s="14" t="s">
        <v>2045</v>
      </c>
      <c r="B1033" s="15" t="s">
        <v>2046</v>
      </c>
      <c r="C1033" s="16" t="s">
        <v>7</v>
      </c>
      <c r="D1033" s="12" t="str">
        <f>IFERROR(__xludf.DUMMYFUNCTION("IFS(
  REGEXMATCH(A1033&amp;B1033, ""(?i)openai|gpt|gemini|anthropic|claude|mistral|cohere|rag|vector|llm|chatbot|ai-powered""), ""AI &amp; LLM"",
  REGEXMATCH(A1033&amp;B1033, ""(?i)twitter|instagram|facebook|linkedin|youtube|tiktok|threads|bluesky|pinterest|social"&amp;" video|reels?|shorts?""), ""Social Media"",
  REGEXMATCH(A1033&amp;B1033, ""(?i)hubspot|pipedrive|stripe|shopify|woocommerce|sales|crm|invoice|order|leads?|recruitment|bamboohr|erpnext""), ""CRM &amp; Sales"",
  REGEXMATCH(A1033&amp;B1033, ""(?i)gmail|outlook|calenda"&amp;"r|slack|discord|telegram|whatsapp|notion|trello|drive|sheets?|meeting|scheduler|appointment|mattermost""), ""Productivity &amp; Communication"",
  REGEXMATCH(A1033&amp;B1033, ""(?i)github|api|webhook|http|mysql|supabase|mongodb|redis|rss|pr|code review|incident|p"&amp;"agerduty|jira""), ""Development &amp; Utilities"",
  TRUE, ""Others""
)"),"Social Media")</f>
        <v>Social Media</v>
      </c>
    </row>
    <row r="1034" ht="15.75" customHeight="1">
      <c r="A1034" s="14" t="s">
        <v>2047</v>
      </c>
      <c r="B1034" s="15" t="s">
        <v>2048</v>
      </c>
      <c r="C1034" s="16" t="s">
        <v>7</v>
      </c>
      <c r="D1034" s="12" t="str">
        <f>IFERROR(__xludf.DUMMYFUNCTION("IFS(
  REGEXMATCH(A1034&amp;B1034, ""(?i)openai|gpt|gemini|anthropic|claude|mistral|cohere|rag|vector|llm|chatbot|ai-powered""), ""AI &amp; LLM"",
  REGEXMATCH(A1034&amp;B1034, ""(?i)twitter|instagram|facebook|linkedin|youtube|tiktok|threads|bluesky|pinterest|social"&amp;" video|reels?|shorts?""), ""Social Media"",
  REGEXMATCH(A1034&amp;B1034, ""(?i)hubspot|pipedrive|stripe|shopify|woocommerce|sales|crm|invoice|order|leads?|recruitment|bamboohr|erpnext""), ""CRM &amp; Sales"",
  REGEXMATCH(A1034&amp;B1034, ""(?i)gmail|outlook|calenda"&amp;"r|slack|discord|telegram|whatsapp|notion|trello|drive|sheets?|meeting|scheduler|appointment|mattermost""), ""Productivity &amp; Communication"",
  REGEXMATCH(A1034&amp;B1034, ""(?i)github|api|webhook|http|mysql|supabase|mongodb|redis|rss|pr|code review|incident|p"&amp;"agerduty|jira""), ""Development &amp; Utilities"",
  TRUE, ""Others""
)"),"Productivity &amp; Communication")</f>
        <v>Productivity &amp; Communication</v>
      </c>
    </row>
    <row r="1035" ht="15.75" customHeight="1">
      <c r="A1035" s="14" t="s">
        <v>2049</v>
      </c>
      <c r="B1035" s="15" t="s">
        <v>2050</v>
      </c>
      <c r="C1035" s="16" t="s">
        <v>7</v>
      </c>
      <c r="D1035" s="12" t="str">
        <f>IFERROR(__xludf.DUMMYFUNCTION("IFS(
  REGEXMATCH(A1035&amp;B1035, ""(?i)openai|gpt|gemini|anthropic|claude|mistral|cohere|rag|vector|llm|chatbot|ai-powered""), ""AI &amp; LLM"",
  REGEXMATCH(A1035&amp;B1035, ""(?i)twitter|instagram|facebook|linkedin|youtube|tiktok|threads|bluesky|pinterest|social"&amp;" video|reels?|shorts?""), ""Social Media"",
  REGEXMATCH(A1035&amp;B1035, ""(?i)hubspot|pipedrive|stripe|shopify|woocommerce|sales|crm|invoice|order|leads?|recruitment|bamboohr|erpnext""), ""CRM &amp; Sales"",
  REGEXMATCH(A1035&amp;B1035, ""(?i)gmail|outlook|calenda"&amp;"r|slack|discord|telegram|whatsapp|notion|trello|drive|sheets?|meeting|scheduler|appointment|mattermost""), ""Productivity &amp; Communication"",
  REGEXMATCH(A1035&amp;B1035, ""(?i)github|api|webhook|http|mysql|supabase|mongodb|redis|rss|pr|code review|incident|p"&amp;"agerduty|jira""), ""Development &amp; Utilities"",
  TRUE, ""Others""
)"),"Productivity &amp; Communication")</f>
        <v>Productivity &amp; Communication</v>
      </c>
    </row>
    <row r="1036" ht="15.75" customHeight="1">
      <c r="A1036" s="14" t="s">
        <v>2051</v>
      </c>
      <c r="B1036" s="15" t="s">
        <v>2052</v>
      </c>
      <c r="C1036" s="16" t="s">
        <v>7</v>
      </c>
      <c r="D1036" s="12" t="str">
        <f>IFERROR(__xludf.DUMMYFUNCTION("IFS(
  REGEXMATCH(A1036&amp;B1036, ""(?i)openai|gpt|gemini|anthropic|claude|mistral|cohere|rag|vector|llm|chatbot|ai-powered""), ""AI &amp; LLM"",
  REGEXMATCH(A1036&amp;B1036, ""(?i)twitter|instagram|facebook|linkedin|youtube|tiktok|threads|bluesky|pinterest|social"&amp;" video|reels?|shorts?""), ""Social Media"",
  REGEXMATCH(A1036&amp;B1036, ""(?i)hubspot|pipedrive|stripe|shopify|woocommerce|sales|crm|invoice|order|leads?|recruitment|bamboohr|erpnext""), ""CRM &amp; Sales"",
  REGEXMATCH(A1036&amp;B1036, ""(?i)gmail|outlook|calenda"&amp;"r|slack|discord|telegram|whatsapp|notion|trello|drive|sheets?|meeting|scheduler|appointment|mattermost""), ""Productivity &amp; Communication"",
  REGEXMATCH(A1036&amp;B1036, ""(?i)github|api|webhook|http|mysql|supabase|mongodb|redis|rss|pr|code review|incident|p"&amp;"agerduty|jira""), ""Development &amp; Utilities"",
  TRUE, ""Others""
)"),"Productivity &amp; Communication")</f>
        <v>Productivity &amp; Communication</v>
      </c>
    </row>
    <row r="1037" ht="15.75" customHeight="1">
      <c r="A1037" s="14" t="s">
        <v>2053</v>
      </c>
      <c r="B1037" s="15" t="s">
        <v>2054</v>
      </c>
      <c r="C1037" s="16" t="s">
        <v>7</v>
      </c>
      <c r="D1037" s="12" t="str">
        <f>IFERROR(__xludf.DUMMYFUNCTION("IFS(
  REGEXMATCH(A1037&amp;B1037, ""(?i)openai|gpt|gemini|anthropic|claude|mistral|cohere|rag|vector|llm|chatbot|ai-powered""), ""AI &amp; LLM"",
  REGEXMATCH(A1037&amp;B1037, ""(?i)twitter|instagram|facebook|linkedin|youtube|tiktok|threads|bluesky|pinterest|social"&amp;" video|reels?|shorts?""), ""Social Media"",
  REGEXMATCH(A1037&amp;B1037, ""(?i)hubspot|pipedrive|stripe|shopify|woocommerce|sales|crm|invoice|order|leads?|recruitment|bamboohr|erpnext""), ""CRM &amp; Sales"",
  REGEXMATCH(A1037&amp;B1037, ""(?i)gmail|outlook|calenda"&amp;"r|slack|discord|telegram|whatsapp|notion|trello|drive|sheets?|meeting|scheduler|appointment|mattermost""), ""Productivity &amp; Communication"",
  REGEXMATCH(A1037&amp;B1037, ""(?i)github|api|webhook|http|mysql|supabase|mongodb|redis|rss|pr|code review|incident|p"&amp;"agerduty|jira""), ""Development &amp; Utilities"",
  TRUE, ""Others""
)"),"AI &amp; LLM")</f>
        <v>AI &amp; LLM</v>
      </c>
    </row>
    <row r="1038" ht="15.75" customHeight="1">
      <c r="A1038" s="14" t="s">
        <v>2055</v>
      </c>
      <c r="B1038" s="15" t="s">
        <v>2056</v>
      </c>
      <c r="C1038" s="16" t="s">
        <v>7</v>
      </c>
      <c r="D1038" s="12" t="str">
        <f>IFERROR(__xludf.DUMMYFUNCTION("IFS(
  REGEXMATCH(A1038&amp;B1038, ""(?i)openai|gpt|gemini|anthropic|claude|mistral|cohere|rag|vector|llm|chatbot|ai-powered""), ""AI &amp; LLM"",
  REGEXMATCH(A1038&amp;B1038, ""(?i)twitter|instagram|facebook|linkedin|youtube|tiktok|threads|bluesky|pinterest|social"&amp;" video|reels?|shorts?""), ""Social Media"",
  REGEXMATCH(A1038&amp;B1038, ""(?i)hubspot|pipedrive|stripe|shopify|woocommerce|sales|crm|invoice|order|leads?|recruitment|bamboohr|erpnext""), ""CRM &amp; Sales"",
  REGEXMATCH(A1038&amp;B1038, ""(?i)gmail|outlook|calenda"&amp;"r|slack|discord|telegram|whatsapp|notion|trello|drive|sheets?|meeting|scheduler|appointment|mattermost""), ""Productivity &amp; Communication"",
  REGEXMATCH(A1038&amp;B1038, ""(?i)github|api|webhook|http|mysql|supabase|mongodb|redis|rss|pr|code review|incident|p"&amp;"agerduty|jira""), ""Development &amp; Utilities"",
  TRUE, ""Others""
)"),"AI &amp; LLM")</f>
        <v>AI &amp; LLM</v>
      </c>
    </row>
    <row r="1039" ht="15.75" customHeight="1">
      <c r="A1039" s="14" t="s">
        <v>2057</v>
      </c>
      <c r="B1039" s="15" t="s">
        <v>2058</v>
      </c>
      <c r="C1039" s="16" t="s">
        <v>7</v>
      </c>
      <c r="D1039" s="12" t="str">
        <f>IFERROR(__xludf.DUMMYFUNCTION("IFS(
  REGEXMATCH(A1039&amp;B1039, ""(?i)openai|gpt|gemini|anthropic|claude|mistral|cohere|rag|vector|llm|chatbot|ai-powered""), ""AI &amp; LLM"",
  REGEXMATCH(A1039&amp;B1039, ""(?i)twitter|instagram|facebook|linkedin|youtube|tiktok|threads|bluesky|pinterest|social"&amp;" video|reels?|shorts?""), ""Social Media"",
  REGEXMATCH(A1039&amp;B1039, ""(?i)hubspot|pipedrive|stripe|shopify|woocommerce|sales|crm|invoice|order|leads?|recruitment|bamboohr|erpnext""), ""CRM &amp; Sales"",
  REGEXMATCH(A1039&amp;B1039, ""(?i)gmail|outlook|calenda"&amp;"r|slack|discord|telegram|whatsapp|notion|trello|drive|sheets?|meeting|scheduler|appointment|mattermost""), ""Productivity &amp; Communication"",
  REGEXMATCH(A1039&amp;B1039, ""(?i)github|api|webhook|http|mysql|supabase|mongodb|redis|rss|pr|code review|incident|p"&amp;"agerduty|jira""), ""Development &amp; Utilities"",
  TRUE, ""Others""
)"),"Productivity &amp; Communication")</f>
        <v>Productivity &amp; Communication</v>
      </c>
    </row>
    <row r="1040" ht="15.75" customHeight="1">
      <c r="A1040" s="14" t="s">
        <v>2059</v>
      </c>
      <c r="B1040" s="15" t="s">
        <v>2060</v>
      </c>
      <c r="C1040" s="16" t="s">
        <v>7</v>
      </c>
      <c r="D1040" s="12" t="str">
        <f>IFERROR(__xludf.DUMMYFUNCTION("IFS(
  REGEXMATCH(A1040&amp;B1040, ""(?i)openai|gpt|gemini|anthropic|claude|mistral|cohere|rag|vector|llm|chatbot|ai-powered""), ""AI &amp; LLM"",
  REGEXMATCH(A1040&amp;B1040, ""(?i)twitter|instagram|facebook|linkedin|youtube|tiktok|threads|bluesky|pinterest|social"&amp;" video|reels?|shorts?""), ""Social Media"",
  REGEXMATCH(A1040&amp;B1040, ""(?i)hubspot|pipedrive|stripe|shopify|woocommerce|sales|crm|invoice|order|leads?|recruitment|bamboohr|erpnext""), ""CRM &amp; Sales"",
  REGEXMATCH(A1040&amp;B1040, ""(?i)gmail|outlook|calenda"&amp;"r|slack|discord|telegram|whatsapp|notion|trello|drive|sheets?|meeting|scheduler|appointment|mattermost""), ""Productivity &amp; Communication"",
  REGEXMATCH(A1040&amp;B1040, ""(?i)github|api|webhook|http|mysql|supabase|mongodb|redis|rss|pr|code review|incident|p"&amp;"agerduty|jira""), ""Development &amp; Utilities"",
  TRUE, ""Others""
)"),"AI &amp; LLM")</f>
        <v>AI &amp; LLM</v>
      </c>
    </row>
    <row r="1041" ht="15.75" customHeight="1">
      <c r="A1041" s="14" t="s">
        <v>2061</v>
      </c>
      <c r="B1041" s="15" t="s">
        <v>2062</v>
      </c>
      <c r="C1041" s="16" t="s">
        <v>7</v>
      </c>
      <c r="D1041" s="12" t="str">
        <f>IFERROR(__xludf.DUMMYFUNCTION("IFS(
  REGEXMATCH(A1041&amp;B1041, ""(?i)openai|gpt|gemini|anthropic|claude|mistral|cohere|rag|vector|llm|chatbot|ai-powered""), ""AI &amp; LLM"",
  REGEXMATCH(A1041&amp;B1041, ""(?i)twitter|instagram|facebook|linkedin|youtube|tiktok|threads|bluesky|pinterest|social"&amp;" video|reels?|shorts?""), ""Social Media"",
  REGEXMATCH(A1041&amp;B1041, ""(?i)hubspot|pipedrive|stripe|shopify|woocommerce|sales|crm|invoice|order|leads?|recruitment|bamboohr|erpnext""), ""CRM &amp; Sales"",
  REGEXMATCH(A1041&amp;B1041, ""(?i)gmail|outlook|calenda"&amp;"r|slack|discord|telegram|whatsapp|notion|trello|drive|sheets?|meeting|scheduler|appointment|mattermost""), ""Productivity &amp; Communication"",
  REGEXMATCH(A1041&amp;B1041, ""(?i)github|api|webhook|http|mysql|supabase|mongodb|redis|rss|pr|code review|incident|p"&amp;"agerduty|jira""), ""Development &amp; Utilities"",
  TRUE, ""Others""
)"),"AI &amp; LLM")</f>
        <v>AI &amp; LLM</v>
      </c>
    </row>
    <row r="1042" ht="15.75" customHeight="1">
      <c r="A1042" s="14" t="s">
        <v>2063</v>
      </c>
      <c r="B1042" s="15" t="s">
        <v>2064</v>
      </c>
      <c r="C1042" s="16" t="s">
        <v>7</v>
      </c>
      <c r="D1042" s="12" t="str">
        <f>IFERROR(__xludf.DUMMYFUNCTION("IFS(
  REGEXMATCH(A1042&amp;B1042, ""(?i)openai|gpt|gemini|anthropic|claude|mistral|cohere|rag|vector|llm|chatbot|ai-powered""), ""AI &amp; LLM"",
  REGEXMATCH(A1042&amp;B1042, ""(?i)twitter|instagram|facebook|linkedin|youtube|tiktok|threads|bluesky|pinterest|social"&amp;" video|reels?|shorts?""), ""Social Media"",
  REGEXMATCH(A1042&amp;B1042, ""(?i)hubspot|pipedrive|stripe|shopify|woocommerce|sales|crm|invoice|order|leads?|recruitment|bamboohr|erpnext""), ""CRM &amp; Sales"",
  REGEXMATCH(A1042&amp;B1042, ""(?i)gmail|outlook|calenda"&amp;"r|slack|discord|telegram|whatsapp|notion|trello|drive|sheets?|meeting|scheduler|appointment|mattermost""), ""Productivity &amp; Communication"",
  REGEXMATCH(A1042&amp;B1042, ""(?i)github|api|webhook|http|mysql|supabase|mongodb|redis|rss|pr|code review|incident|p"&amp;"agerduty|jira""), ""Development &amp; Utilities"",
  TRUE, ""Others""
)"),"CRM &amp; Sales")</f>
        <v>CRM &amp; Sales</v>
      </c>
    </row>
    <row r="1043" ht="15.75" customHeight="1">
      <c r="A1043" s="14" t="s">
        <v>2065</v>
      </c>
      <c r="B1043" s="15" t="s">
        <v>2066</v>
      </c>
      <c r="C1043" s="16" t="s">
        <v>7</v>
      </c>
      <c r="D1043" s="12" t="str">
        <f>IFERROR(__xludf.DUMMYFUNCTION("IFS(
  REGEXMATCH(A1043&amp;B1043, ""(?i)openai|gpt|gemini|anthropic|claude|mistral|cohere|rag|vector|llm|chatbot|ai-powered""), ""AI &amp; LLM"",
  REGEXMATCH(A1043&amp;B1043, ""(?i)twitter|instagram|facebook|linkedin|youtube|tiktok|threads|bluesky|pinterest|social"&amp;" video|reels?|shorts?""), ""Social Media"",
  REGEXMATCH(A1043&amp;B1043, ""(?i)hubspot|pipedrive|stripe|shopify|woocommerce|sales|crm|invoice|order|leads?|recruitment|bamboohr|erpnext""), ""CRM &amp; Sales"",
  REGEXMATCH(A1043&amp;B1043, ""(?i)gmail|outlook|calenda"&amp;"r|slack|discord|telegram|whatsapp|notion|trello|drive|sheets?|meeting|scheduler|appointment|mattermost""), ""Productivity &amp; Communication"",
  REGEXMATCH(A1043&amp;B1043, ""(?i)github|api|webhook|http|mysql|supabase|mongodb|redis|rss|pr|code review|incident|p"&amp;"agerduty|jira""), ""Development &amp; Utilities"",
  TRUE, ""Others""
)"),"Social Media")</f>
        <v>Social Media</v>
      </c>
    </row>
    <row r="1044" ht="15.75" customHeight="1">
      <c r="A1044" s="14" t="s">
        <v>2067</v>
      </c>
      <c r="B1044" s="15" t="s">
        <v>2068</v>
      </c>
      <c r="C1044" s="16" t="s">
        <v>7</v>
      </c>
      <c r="D1044" s="12" t="str">
        <f>IFERROR(__xludf.DUMMYFUNCTION("IFS(
  REGEXMATCH(A1044&amp;B1044, ""(?i)openai|gpt|gemini|anthropic|claude|mistral|cohere|rag|vector|llm|chatbot|ai-powered""), ""AI &amp; LLM"",
  REGEXMATCH(A1044&amp;B1044, ""(?i)twitter|instagram|facebook|linkedin|youtube|tiktok|threads|bluesky|pinterest|social"&amp;" video|reels?|shorts?""), ""Social Media"",
  REGEXMATCH(A1044&amp;B1044, ""(?i)hubspot|pipedrive|stripe|shopify|woocommerce|sales|crm|invoice|order|leads?|recruitment|bamboohr|erpnext""), ""CRM &amp; Sales"",
  REGEXMATCH(A1044&amp;B1044, ""(?i)gmail|outlook|calenda"&amp;"r|slack|discord|telegram|whatsapp|notion|trello|drive|sheets?|meeting|scheduler|appointment|mattermost""), ""Productivity &amp; Communication"",
  REGEXMATCH(A1044&amp;B1044, ""(?i)github|api|webhook|http|mysql|supabase|mongodb|redis|rss|pr|code review|incident|p"&amp;"agerduty|jira""), ""Development &amp; Utilities"",
  TRUE, ""Others""
)"),"Development &amp; Utilities")</f>
        <v>Development &amp; Utilities</v>
      </c>
    </row>
    <row r="1045" ht="15.75" customHeight="1">
      <c r="A1045" s="14" t="s">
        <v>2069</v>
      </c>
      <c r="B1045" s="15" t="s">
        <v>2070</v>
      </c>
      <c r="C1045" s="16" t="s">
        <v>7</v>
      </c>
      <c r="D1045" s="12" t="str">
        <f>IFERROR(__xludf.DUMMYFUNCTION("IFS(
  REGEXMATCH(A1045&amp;B1045, ""(?i)openai|gpt|gemini|anthropic|claude|mistral|cohere|rag|vector|llm|chatbot|ai-powered""), ""AI &amp; LLM"",
  REGEXMATCH(A1045&amp;B1045, ""(?i)twitter|instagram|facebook|linkedin|youtube|tiktok|threads|bluesky|pinterest|social"&amp;" video|reels?|shorts?""), ""Social Media"",
  REGEXMATCH(A1045&amp;B1045, ""(?i)hubspot|pipedrive|stripe|shopify|woocommerce|sales|crm|invoice|order|leads?|recruitment|bamboohr|erpnext""), ""CRM &amp; Sales"",
  REGEXMATCH(A1045&amp;B1045, ""(?i)gmail|outlook|calenda"&amp;"r|slack|discord|telegram|whatsapp|notion|trello|drive|sheets?|meeting|scheduler|appointment|mattermost""), ""Productivity &amp; Communication"",
  REGEXMATCH(A1045&amp;B1045, ""(?i)github|api|webhook|http|mysql|supabase|mongodb|redis|rss|pr|code review|incident|p"&amp;"agerduty|jira""), ""Development &amp; Utilities"",
  TRUE, ""Others""
)"),"CRM &amp; Sales")</f>
        <v>CRM &amp; Sales</v>
      </c>
    </row>
    <row r="1046" ht="15.75" customHeight="1">
      <c r="A1046" s="14" t="s">
        <v>2071</v>
      </c>
      <c r="B1046" s="15" t="s">
        <v>2072</v>
      </c>
      <c r="C1046" s="16" t="s">
        <v>7</v>
      </c>
      <c r="D1046" s="12" t="str">
        <f>IFERROR(__xludf.DUMMYFUNCTION("IFS(
  REGEXMATCH(A1046&amp;B1046, ""(?i)openai|gpt|gemini|anthropic|claude|mistral|cohere|rag|vector|llm|chatbot|ai-powered""), ""AI &amp; LLM"",
  REGEXMATCH(A1046&amp;B1046, ""(?i)twitter|instagram|facebook|linkedin|youtube|tiktok|threads|bluesky|pinterest|social"&amp;" video|reels?|shorts?""), ""Social Media"",
  REGEXMATCH(A1046&amp;B1046, ""(?i)hubspot|pipedrive|stripe|shopify|woocommerce|sales|crm|invoice|order|leads?|recruitment|bamboohr|erpnext""), ""CRM &amp; Sales"",
  REGEXMATCH(A1046&amp;B1046, ""(?i)gmail|outlook|calenda"&amp;"r|slack|discord|telegram|whatsapp|notion|trello|drive|sheets?|meeting|scheduler|appointment|mattermost""), ""Productivity &amp; Communication"",
  REGEXMATCH(A1046&amp;B1046, ""(?i)github|api|webhook|http|mysql|supabase|mongodb|redis|rss|pr|code review|incident|p"&amp;"agerduty|jira""), ""Development &amp; Utilities"",
  TRUE, ""Others""
)"),"CRM &amp; Sales")</f>
        <v>CRM &amp; Sales</v>
      </c>
    </row>
    <row r="1047" ht="15.75" customHeight="1">
      <c r="A1047" s="14" t="s">
        <v>2073</v>
      </c>
      <c r="B1047" s="15" t="s">
        <v>2074</v>
      </c>
      <c r="C1047" s="16" t="s">
        <v>7</v>
      </c>
      <c r="D1047" s="12" t="str">
        <f>IFERROR(__xludf.DUMMYFUNCTION("IFS(
  REGEXMATCH(A1047&amp;B1047, ""(?i)openai|gpt|gemini|anthropic|claude|mistral|cohere|rag|vector|llm|chatbot|ai-powered""), ""AI &amp; LLM"",
  REGEXMATCH(A1047&amp;B1047, ""(?i)twitter|instagram|facebook|linkedin|youtube|tiktok|threads|bluesky|pinterest|social"&amp;" video|reels?|shorts?""), ""Social Media"",
  REGEXMATCH(A1047&amp;B1047, ""(?i)hubspot|pipedrive|stripe|shopify|woocommerce|sales|crm|invoice|order|leads?|recruitment|bamboohr|erpnext""), ""CRM &amp; Sales"",
  REGEXMATCH(A1047&amp;B1047, ""(?i)gmail|outlook|calenda"&amp;"r|slack|discord|telegram|whatsapp|notion|trello|drive|sheets?|meeting|scheduler|appointment|mattermost""), ""Productivity &amp; Communication"",
  REGEXMATCH(A1047&amp;B1047, ""(?i)github|api|webhook|http|mysql|supabase|mongodb|redis|rss|pr|code review|incident|p"&amp;"agerduty|jira""), ""Development &amp; Utilities"",
  TRUE, ""Others""
)"),"CRM &amp; Sales")</f>
        <v>CRM &amp; Sales</v>
      </c>
    </row>
    <row r="1048" ht="15.75" customHeight="1">
      <c r="A1048" s="14" t="s">
        <v>2075</v>
      </c>
      <c r="B1048" s="15" t="s">
        <v>2076</v>
      </c>
      <c r="C1048" s="16" t="s">
        <v>7</v>
      </c>
      <c r="D1048" s="12" t="str">
        <f>IFERROR(__xludf.DUMMYFUNCTION("IFS(
  REGEXMATCH(A1048&amp;B1048, ""(?i)openai|gpt|gemini|anthropic|claude|mistral|cohere|rag|vector|llm|chatbot|ai-powered""), ""AI &amp; LLM"",
  REGEXMATCH(A1048&amp;B1048, ""(?i)twitter|instagram|facebook|linkedin|youtube|tiktok|threads|bluesky|pinterest|social"&amp;" video|reels?|shorts?""), ""Social Media"",
  REGEXMATCH(A1048&amp;B1048, ""(?i)hubspot|pipedrive|stripe|shopify|woocommerce|sales|crm|invoice|order|leads?|recruitment|bamboohr|erpnext""), ""CRM &amp; Sales"",
  REGEXMATCH(A1048&amp;B1048, ""(?i)gmail|outlook|calenda"&amp;"r|slack|discord|telegram|whatsapp|notion|trello|drive|sheets?|meeting|scheduler|appointment|mattermost""), ""Productivity &amp; Communication"",
  REGEXMATCH(A1048&amp;B1048, ""(?i)github|api|webhook|http|mysql|supabase|mongodb|redis|rss|pr|code review|incident|p"&amp;"agerduty|jira""), ""Development &amp; Utilities"",
  TRUE, ""Others""
)"),"CRM &amp; Sales")</f>
        <v>CRM &amp; Sales</v>
      </c>
    </row>
    <row r="1049" ht="15.75" customHeight="1">
      <c r="A1049" s="14" t="s">
        <v>2077</v>
      </c>
      <c r="B1049" s="15" t="s">
        <v>2078</v>
      </c>
      <c r="C1049" s="16" t="s">
        <v>7</v>
      </c>
      <c r="D1049" s="12" t="str">
        <f>IFERROR(__xludf.DUMMYFUNCTION("IFS(
  REGEXMATCH(A1049&amp;B1049, ""(?i)openai|gpt|gemini|anthropic|claude|mistral|cohere|rag|vector|llm|chatbot|ai-powered""), ""AI &amp; LLM"",
  REGEXMATCH(A1049&amp;B1049, ""(?i)twitter|instagram|facebook|linkedin|youtube|tiktok|threads|bluesky|pinterest|social"&amp;" video|reels?|shorts?""), ""Social Media"",
  REGEXMATCH(A1049&amp;B1049, ""(?i)hubspot|pipedrive|stripe|shopify|woocommerce|sales|crm|invoice|order|leads?|recruitment|bamboohr|erpnext""), ""CRM &amp; Sales"",
  REGEXMATCH(A1049&amp;B1049, ""(?i)gmail|outlook|calenda"&amp;"r|slack|discord|telegram|whatsapp|notion|trello|drive|sheets?|meeting|scheduler|appointment|mattermost""), ""Productivity &amp; Communication"",
  REGEXMATCH(A1049&amp;B1049, ""(?i)github|api|webhook|http|mysql|supabase|mongodb|redis|rss|pr|code review|incident|p"&amp;"agerduty|jira""), ""Development &amp; Utilities"",
  TRUE, ""Others""
)"),"Social Media")</f>
        <v>Social Media</v>
      </c>
    </row>
    <row r="1050" ht="15.75" customHeight="1">
      <c r="A1050" s="14" t="s">
        <v>2079</v>
      </c>
      <c r="B1050" s="15" t="s">
        <v>2080</v>
      </c>
      <c r="C1050" s="16" t="s">
        <v>7</v>
      </c>
      <c r="D1050" s="12" t="str">
        <f>IFERROR(__xludf.DUMMYFUNCTION("IFS(
  REGEXMATCH(A1050&amp;B1050, ""(?i)openai|gpt|gemini|anthropic|claude|mistral|cohere|rag|vector|llm|chatbot|ai-powered""), ""AI &amp; LLM"",
  REGEXMATCH(A1050&amp;B1050, ""(?i)twitter|instagram|facebook|linkedin|youtube|tiktok|threads|bluesky|pinterest|social"&amp;" video|reels?|shorts?""), ""Social Media"",
  REGEXMATCH(A1050&amp;B1050, ""(?i)hubspot|pipedrive|stripe|shopify|woocommerce|sales|crm|invoice|order|leads?|recruitment|bamboohr|erpnext""), ""CRM &amp; Sales"",
  REGEXMATCH(A1050&amp;B1050, ""(?i)gmail|outlook|calenda"&amp;"r|slack|discord|telegram|whatsapp|notion|trello|drive|sheets?|meeting|scheduler|appointment|mattermost""), ""Productivity &amp; Communication"",
  REGEXMATCH(A1050&amp;B1050, ""(?i)github|api|webhook|http|mysql|supabase|mongodb|redis|rss|pr|code review|incident|p"&amp;"agerduty|jira""), ""Development &amp; Utilities"",
  TRUE, ""Others""
)"),"CRM &amp; Sales")</f>
        <v>CRM &amp; Sales</v>
      </c>
    </row>
    <row r="1051" ht="15.75" customHeight="1">
      <c r="A1051" s="14" t="s">
        <v>2081</v>
      </c>
      <c r="B1051" s="15" t="s">
        <v>2082</v>
      </c>
      <c r="C1051" s="16" t="s">
        <v>7</v>
      </c>
      <c r="D1051" s="12" t="str">
        <f>IFERROR(__xludf.DUMMYFUNCTION("IFS(
  REGEXMATCH(A1051&amp;B1051, ""(?i)openai|gpt|gemini|anthropic|claude|mistral|cohere|rag|vector|llm|chatbot|ai-powered""), ""AI &amp; LLM"",
  REGEXMATCH(A1051&amp;B1051, ""(?i)twitter|instagram|facebook|linkedin|youtube|tiktok|threads|bluesky|pinterest|social"&amp;" video|reels?|shorts?""), ""Social Media"",
  REGEXMATCH(A1051&amp;B1051, ""(?i)hubspot|pipedrive|stripe|shopify|woocommerce|sales|crm|invoice|order|leads?|recruitment|bamboohr|erpnext""), ""CRM &amp; Sales"",
  REGEXMATCH(A1051&amp;B1051, ""(?i)gmail|outlook|calenda"&amp;"r|slack|discord|telegram|whatsapp|notion|trello|drive|sheets?|meeting|scheduler|appointment|mattermost""), ""Productivity &amp; Communication"",
  REGEXMATCH(A1051&amp;B1051, ""(?i)github|api|webhook|http|mysql|supabase|mongodb|redis|rss|pr|code review|incident|p"&amp;"agerduty|jira""), ""Development &amp; Utilities"",
  TRUE, ""Others""
)"),"CRM &amp; Sales")</f>
        <v>CRM &amp; Sales</v>
      </c>
    </row>
    <row r="1052" ht="15.75" customHeight="1">
      <c r="A1052" s="14" t="s">
        <v>2083</v>
      </c>
      <c r="B1052" s="15" t="s">
        <v>2084</v>
      </c>
      <c r="C1052" s="16" t="s">
        <v>7</v>
      </c>
      <c r="D1052" s="12" t="str">
        <f>IFERROR(__xludf.DUMMYFUNCTION("IFS(
  REGEXMATCH(A1052&amp;B1052, ""(?i)openai|gpt|gemini|anthropic|claude|mistral|cohere|rag|vector|llm|chatbot|ai-powered""), ""AI &amp; LLM"",
  REGEXMATCH(A1052&amp;B1052, ""(?i)twitter|instagram|facebook|linkedin|youtube|tiktok|threads|bluesky|pinterest|social"&amp;" video|reels?|shorts?""), ""Social Media"",
  REGEXMATCH(A1052&amp;B1052, ""(?i)hubspot|pipedrive|stripe|shopify|woocommerce|sales|crm|invoice|order|leads?|recruitment|bamboohr|erpnext""), ""CRM &amp; Sales"",
  REGEXMATCH(A1052&amp;B1052, ""(?i)gmail|outlook|calenda"&amp;"r|slack|discord|telegram|whatsapp|notion|trello|drive|sheets?|meeting|scheduler|appointment|mattermost""), ""Productivity &amp; Communication"",
  REGEXMATCH(A1052&amp;B1052, ""(?i)github|api|webhook|http|mysql|supabase|mongodb|redis|rss|pr|code review|incident|p"&amp;"agerduty|jira""), ""Development &amp; Utilities"",
  TRUE, ""Others""
)"),"CRM &amp; Sales")</f>
        <v>CRM &amp; Sales</v>
      </c>
    </row>
    <row r="1053" ht="15.75" customHeight="1">
      <c r="A1053" s="14" t="s">
        <v>2085</v>
      </c>
      <c r="B1053" s="15" t="s">
        <v>2086</v>
      </c>
      <c r="C1053" s="16" t="s">
        <v>7</v>
      </c>
      <c r="D1053" s="12" t="str">
        <f>IFERROR(__xludf.DUMMYFUNCTION("IFS(
  REGEXMATCH(A1053&amp;B1053, ""(?i)openai|gpt|gemini|anthropic|claude|mistral|cohere|rag|vector|llm|chatbot|ai-powered""), ""AI &amp; LLM"",
  REGEXMATCH(A1053&amp;B1053, ""(?i)twitter|instagram|facebook|linkedin|youtube|tiktok|threads|bluesky|pinterest|social"&amp;" video|reels?|shorts?""), ""Social Media"",
  REGEXMATCH(A1053&amp;B1053, ""(?i)hubspot|pipedrive|stripe|shopify|woocommerce|sales|crm|invoice|order|leads?|recruitment|bamboohr|erpnext""), ""CRM &amp; Sales"",
  REGEXMATCH(A1053&amp;B1053, ""(?i)gmail|outlook|calenda"&amp;"r|slack|discord|telegram|whatsapp|notion|trello|drive|sheets?|meeting|scheduler|appointment|mattermost""), ""Productivity &amp; Communication"",
  REGEXMATCH(A1053&amp;B1053, ""(?i)github|api|webhook|http|mysql|supabase|mongodb|redis|rss|pr|code review|incident|p"&amp;"agerduty|jira""), ""Development &amp; Utilities"",
  TRUE, ""Others""
)"),"Productivity &amp; Communication")</f>
        <v>Productivity &amp; Communication</v>
      </c>
    </row>
    <row r="1054" ht="15.75" customHeight="1">
      <c r="A1054" s="14" t="s">
        <v>2087</v>
      </c>
      <c r="B1054" s="15" t="s">
        <v>2088</v>
      </c>
      <c r="C1054" s="16" t="s">
        <v>7</v>
      </c>
      <c r="D1054" s="12" t="str">
        <f>IFERROR(__xludf.DUMMYFUNCTION("IFS(
  REGEXMATCH(A1054&amp;B1054, ""(?i)openai|gpt|gemini|anthropic|claude|mistral|cohere|rag|vector|llm|chatbot|ai-powered""), ""AI &amp; LLM"",
  REGEXMATCH(A1054&amp;B1054, ""(?i)twitter|instagram|facebook|linkedin|youtube|tiktok|threads|bluesky|pinterest|social"&amp;" video|reels?|shorts?""), ""Social Media"",
  REGEXMATCH(A1054&amp;B1054, ""(?i)hubspot|pipedrive|stripe|shopify|woocommerce|sales|crm|invoice|order|leads?|recruitment|bamboohr|erpnext""), ""CRM &amp; Sales"",
  REGEXMATCH(A1054&amp;B1054, ""(?i)gmail|outlook|calenda"&amp;"r|slack|discord|telegram|whatsapp|notion|trello|drive|sheets?|meeting|scheduler|appointment|mattermost""), ""Productivity &amp; Communication"",
  REGEXMATCH(A1054&amp;B1054, ""(?i)github|api|webhook|http|mysql|supabase|mongodb|redis|rss|pr|code review|incident|p"&amp;"agerduty|jira""), ""Development &amp; Utilities"",
  TRUE, ""Others""
)"),"AI &amp; LLM")</f>
        <v>AI &amp; LLM</v>
      </c>
    </row>
    <row r="1055" ht="15.75" customHeight="1">
      <c r="A1055" s="14" t="s">
        <v>2089</v>
      </c>
      <c r="B1055" s="15" t="s">
        <v>2090</v>
      </c>
      <c r="C1055" s="16" t="s">
        <v>7</v>
      </c>
      <c r="D1055" s="12" t="str">
        <f>IFERROR(__xludf.DUMMYFUNCTION("IFS(
  REGEXMATCH(A1055&amp;B1055, ""(?i)openai|gpt|gemini|anthropic|claude|mistral|cohere|rag|vector|llm|chatbot|ai-powered""), ""AI &amp; LLM"",
  REGEXMATCH(A1055&amp;B1055, ""(?i)twitter|instagram|facebook|linkedin|youtube|tiktok|threads|bluesky|pinterest|social"&amp;" video|reels?|shorts?""), ""Social Media"",
  REGEXMATCH(A1055&amp;B1055, ""(?i)hubspot|pipedrive|stripe|shopify|woocommerce|sales|crm|invoice|order|leads?|recruitment|bamboohr|erpnext""), ""CRM &amp; Sales"",
  REGEXMATCH(A1055&amp;B1055, ""(?i)gmail|outlook|calenda"&amp;"r|slack|discord|telegram|whatsapp|notion|trello|drive|sheets?|meeting|scheduler|appointment|mattermost""), ""Productivity &amp; Communication"",
  REGEXMATCH(A1055&amp;B1055, ""(?i)github|api|webhook|http|mysql|supabase|mongodb|redis|rss|pr|code review|incident|p"&amp;"agerduty|jira""), ""Development &amp; Utilities"",
  TRUE, ""Others""
)"),"AI &amp; LLM")</f>
        <v>AI &amp; LLM</v>
      </c>
    </row>
    <row r="1056" ht="15.75" customHeight="1">
      <c r="A1056" s="14" t="s">
        <v>2091</v>
      </c>
      <c r="B1056" s="15" t="s">
        <v>2092</v>
      </c>
      <c r="C1056" s="16" t="s">
        <v>7</v>
      </c>
      <c r="D1056" s="12" t="str">
        <f>IFERROR(__xludf.DUMMYFUNCTION("IFS(
  REGEXMATCH(A1056&amp;B1056, ""(?i)openai|gpt|gemini|anthropic|claude|mistral|cohere|rag|vector|llm|chatbot|ai-powered""), ""AI &amp; LLM"",
  REGEXMATCH(A1056&amp;B1056, ""(?i)twitter|instagram|facebook|linkedin|youtube|tiktok|threads|bluesky|pinterest|social"&amp;" video|reels?|shorts?""), ""Social Media"",
  REGEXMATCH(A1056&amp;B1056, ""(?i)hubspot|pipedrive|stripe|shopify|woocommerce|sales|crm|invoice|order|leads?|recruitment|bamboohr|erpnext""), ""CRM &amp; Sales"",
  REGEXMATCH(A1056&amp;B1056, ""(?i)gmail|outlook|calenda"&amp;"r|slack|discord|telegram|whatsapp|notion|trello|drive|sheets?|meeting|scheduler|appointment|mattermost""), ""Productivity &amp; Communication"",
  REGEXMATCH(A1056&amp;B1056, ""(?i)github|api|webhook|http|mysql|supabase|mongodb|redis|rss|pr|code review|incident|p"&amp;"agerduty|jira""), ""Development &amp; Utilities"",
  TRUE, ""Others""
)"),"CRM &amp; Sales")</f>
        <v>CRM &amp; Sales</v>
      </c>
    </row>
    <row r="1057" ht="15.75" customHeight="1">
      <c r="A1057" s="14" t="s">
        <v>2093</v>
      </c>
      <c r="B1057" s="15" t="s">
        <v>2094</v>
      </c>
      <c r="C1057" s="16" t="s">
        <v>7</v>
      </c>
      <c r="D1057" s="12" t="str">
        <f>IFERROR(__xludf.DUMMYFUNCTION("IFS(
  REGEXMATCH(A1057&amp;B1057, ""(?i)openai|gpt|gemini|anthropic|claude|mistral|cohere|rag|vector|llm|chatbot|ai-powered""), ""AI &amp; LLM"",
  REGEXMATCH(A1057&amp;B1057, ""(?i)twitter|instagram|facebook|linkedin|youtube|tiktok|threads|bluesky|pinterest|social"&amp;" video|reels?|shorts?""), ""Social Media"",
  REGEXMATCH(A1057&amp;B1057, ""(?i)hubspot|pipedrive|stripe|shopify|woocommerce|sales|crm|invoice|order|leads?|recruitment|bamboohr|erpnext""), ""CRM &amp; Sales"",
  REGEXMATCH(A1057&amp;B1057, ""(?i)gmail|outlook|calenda"&amp;"r|slack|discord|telegram|whatsapp|notion|trello|drive|sheets?|meeting|scheduler|appointment|mattermost""), ""Productivity &amp; Communication"",
  REGEXMATCH(A1057&amp;B1057, ""(?i)github|api|webhook|http|mysql|supabase|mongodb|redis|rss|pr|code review|incident|p"&amp;"agerduty|jira""), ""Development &amp; Utilities"",
  TRUE, ""Others""
)"),"AI &amp; LLM")</f>
        <v>AI &amp; LLM</v>
      </c>
    </row>
    <row r="1058" ht="15.75" customHeight="1">
      <c r="A1058" s="14" t="s">
        <v>2095</v>
      </c>
      <c r="B1058" s="15" t="s">
        <v>2096</v>
      </c>
      <c r="C1058" s="16" t="s">
        <v>7</v>
      </c>
      <c r="D1058" s="12" t="str">
        <f>IFERROR(__xludf.DUMMYFUNCTION("IFS(
  REGEXMATCH(A1058&amp;B1058, ""(?i)openai|gpt|gemini|anthropic|claude|mistral|cohere|rag|vector|llm|chatbot|ai-powered""), ""AI &amp; LLM"",
  REGEXMATCH(A1058&amp;B1058, ""(?i)twitter|instagram|facebook|linkedin|youtube|tiktok|threads|bluesky|pinterest|social"&amp;" video|reels?|shorts?""), ""Social Media"",
  REGEXMATCH(A1058&amp;B1058, ""(?i)hubspot|pipedrive|stripe|shopify|woocommerce|sales|crm|invoice|order|leads?|recruitment|bamboohr|erpnext""), ""CRM &amp; Sales"",
  REGEXMATCH(A1058&amp;B1058, ""(?i)gmail|outlook|calenda"&amp;"r|slack|discord|telegram|whatsapp|notion|trello|drive|sheets?|meeting|scheduler|appointment|mattermost""), ""Productivity &amp; Communication"",
  REGEXMATCH(A1058&amp;B1058, ""(?i)github|api|webhook|http|mysql|supabase|mongodb|redis|rss|pr|code review|incident|p"&amp;"agerduty|jira""), ""Development &amp; Utilities"",
  TRUE, ""Others""
)"),"Productivity &amp; Communication")</f>
        <v>Productivity &amp; Communication</v>
      </c>
    </row>
    <row r="1059" ht="15.75" customHeight="1">
      <c r="A1059" s="14" t="s">
        <v>2097</v>
      </c>
      <c r="B1059" s="15" t="s">
        <v>2098</v>
      </c>
      <c r="C1059" s="16" t="s">
        <v>7</v>
      </c>
      <c r="D1059" s="12" t="str">
        <f>IFERROR(__xludf.DUMMYFUNCTION("IFS(
  REGEXMATCH(A1059&amp;B1059, ""(?i)openai|gpt|gemini|anthropic|claude|mistral|cohere|rag|vector|llm|chatbot|ai-powered""), ""AI &amp; LLM"",
  REGEXMATCH(A1059&amp;B1059, ""(?i)twitter|instagram|facebook|linkedin|youtube|tiktok|threads|bluesky|pinterest|social"&amp;" video|reels?|shorts?""), ""Social Media"",
  REGEXMATCH(A1059&amp;B1059, ""(?i)hubspot|pipedrive|stripe|shopify|woocommerce|sales|crm|invoice|order|leads?|recruitment|bamboohr|erpnext""), ""CRM &amp; Sales"",
  REGEXMATCH(A1059&amp;B1059, ""(?i)gmail|outlook|calenda"&amp;"r|slack|discord|telegram|whatsapp|notion|trello|drive|sheets?|meeting|scheduler|appointment|mattermost""), ""Productivity &amp; Communication"",
  REGEXMATCH(A1059&amp;B1059, ""(?i)github|api|webhook|http|mysql|supabase|mongodb|redis|rss|pr|code review|incident|p"&amp;"agerduty|jira""), ""Development &amp; Utilities"",
  TRUE, ""Others""
)"),"Productivity &amp; Communication")</f>
        <v>Productivity &amp; Communication</v>
      </c>
    </row>
    <row r="1060" ht="15.75" customHeight="1">
      <c r="A1060" s="14" t="s">
        <v>2099</v>
      </c>
      <c r="B1060" s="15" t="s">
        <v>2100</v>
      </c>
      <c r="C1060" s="16" t="s">
        <v>7</v>
      </c>
      <c r="D1060" s="12" t="str">
        <f>IFERROR(__xludf.DUMMYFUNCTION("IFS(
  REGEXMATCH(A1060&amp;B1060, ""(?i)openai|gpt|gemini|anthropic|claude|mistral|cohere|rag|vector|llm|chatbot|ai-powered""), ""AI &amp; LLM"",
  REGEXMATCH(A1060&amp;B1060, ""(?i)twitter|instagram|facebook|linkedin|youtube|tiktok|threads|bluesky|pinterest|social"&amp;" video|reels?|shorts?""), ""Social Media"",
  REGEXMATCH(A1060&amp;B1060, ""(?i)hubspot|pipedrive|stripe|shopify|woocommerce|sales|crm|invoice|order|leads?|recruitment|bamboohr|erpnext""), ""CRM &amp; Sales"",
  REGEXMATCH(A1060&amp;B1060, ""(?i)gmail|outlook|calenda"&amp;"r|slack|discord|telegram|whatsapp|notion|trello|drive|sheets?|meeting|scheduler|appointment|mattermost""), ""Productivity &amp; Communication"",
  REGEXMATCH(A1060&amp;B1060, ""(?i)github|api|webhook|http|mysql|supabase|mongodb|redis|rss|pr|code review|incident|p"&amp;"agerduty|jira""), ""Development &amp; Utilities"",
  TRUE, ""Others""
)"),"Social Media")</f>
        <v>Social Media</v>
      </c>
    </row>
    <row r="1061" ht="15.75" customHeight="1">
      <c r="A1061" s="14" t="s">
        <v>2101</v>
      </c>
      <c r="B1061" s="15" t="s">
        <v>2102</v>
      </c>
      <c r="C1061" s="16" t="s">
        <v>7</v>
      </c>
      <c r="D1061" s="12" t="str">
        <f>IFERROR(__xludf.DUMMYFUNCTION("IFS(
  REGEXMATCH(A1061&amp;B1061, ""(?i)openai|gpt|gemini|anthropic|claude|mistral|cohere|rag|vector|llm|chatbot|ai-powered""), ""AI &amp; LLM"",
  REGEXMATCH(A1061&amp;B1061, ""(?i)twitter|instagram|facebook|linkedin|youtube|tiktok|threads|bluesky|pinterest|social"&amp;" video|reels?|shorts?""), ""Social Media"",
  REGEXMATCH(A1061&amp;B1061, ""(?i)hubspot|pipedrive|stripe|shopify|woocommerce|sales|crm|invoice|order|leads?|recruitment|bamboohr|erpnext""), ""CRM &amp; Sales"",
  REGEXMATCH(A1061&amp;B1061, ""(?i)gmail|outlook|calenda"&amp;"r|slack|discord|telegram|whatsapp|notion|trello|drive|sheets?|meeting|scheduler|appointment|mattermost""), ""Productivity &amp; Communication"",
  REGEXMATCH(A1061&amp;B1061, ""(?i)github|api|webhook|http|mysql|supabase|mongodb|redis|rss|pr|code review|incident|p"&amp;"agerduty|jira""), ""Development &amp; Utilities"",
  TRUE, ""Others""
)"),"AI &amp; LLM")</f>
        <v>AI &amp; LLM</v>
      </c>
    </row>
    <row r="1062" ht="15.75" customHeight="1">
      <c r="A1062" s="14" t="s">
        <v>2103</v>
      </c>
      <c r="B1062" s="15" t="s">
        <v>2104</v>
      </c>
      <c r="C1062" s="16" t="s">
        <v>7</v>
      </c>
      <c r="D1062" s="12" t="str">
        <f>IFERROR(__xludf.DUMMYFUNCTION("IFS(
  REGEXMATCH(A1062&amp;B1062, ""(?i)openai|gpt|gemini|anthropic|claude|mistral|cohere|rag|vector|llm|chatbot|ai-powered""), ""AI &amp; LLM"",
  REGEXMATCH(A1062&amp;B1062, ""(?i)twitter|instagram|facebook|linkedin|youtube|tiktok|threads|bluesky|pinterest|social"&amp;" video|reels?|shorts?""), ""Social Media"",
  REGEXMATCH(A1062&amp;B1062, ""(?i)hubspot|pipedrive|stripe|shopify|woocommerce|sales|crm|invoice|order|leads?|recruitment|bamboohr|erpnext""), ""CRM &amp; Sales"",
  REGEXMATCH(A1062&amp;B1062, ""(?i)gmail|outlook|calenda"&amp;"r|slack|discord|telegram|whatsapp|notion|trello|drive|sheets?|meeting|scheduler|appointment|mattermost""), ""Productivity &amp; Communication"",
  REGEXMATCH(A1062&amp;B1062, ""(?i)github|api|webhook|http|mysql|supabase|mongodb|redis|rss|pr|code review|incident|p"&amp;"agerduty|jira""), ""Development &amp; Utilities"",
  TRUE, ""Others""
)"),"AI &amp; LLM")</f>
        <v>AI &amp; LLM</v>
      </c>
    </row>
    <row r="1063" ht="15.75" customHeight="1">
      <c r="A1063" s="14" t="s">
        <v>2105</v>
      </c>
      <c r="B1063" s="15" t="s">
        <v>2106</v>
      </c>
      <c r="C1063" s="16" t="s">
        <v>7</v>
      </c>
      <c r="D1063" s="12" t="str">
        <f>IFERROR(__xludf.DUMMYFUNCTION("IFS(
  REGEXMATCH(A1063&amp;B1063, ""(?i)openai|gpt|gemini|anthropic|claude|mistral|cohere|rag|vector|llm|chatbot|ai-powered""), ""AI &amp; LLM"",
  REGEXMATCH(A1063&amp;B1063, ""(?i)twitter|instagram|facebook|linkedin|youtube|tiktok|threads|bluesky|pinterest|social"&amp;" video|reels?|shorts?""), ""Social Media"",
  REGEXMATCH(A1063&amp;B1063, ""(?i)hubspot|pipedrive|stripe|shopify|woocommerce|sales|crm|invoice|order|leads?|recruitment|bamboohr|erpnext""), ""CRM &amp; Sales"",
  REGEXMATCH(A1063&amp;B1063, ""(?i)gmail|outlook|calenda"&amp;"r|slack|discord|telegram|whatsapp|notion|trello|drive|sheets?|meeting|scheduler|appointment|mattermost""), ""Productivity &amp; Communication"",
  REGEXMATCH(A1063&amp;B1063, ""(?i)github|api|webhook|http|mysql|supabase|mongodb|redis|rss|pr|code review|incident|p"&amp;"agerduty|jira""), ""Development &amp; Utilities"",
  TRUE, ""Others""
)"),"AI &amp; LLM")</f>
        <v>AI &amp; LLM</v>
      </c>
    </row>
    <row r="1064" ht="15.75" customHeight="1">
      <c r="A1064" s="14" t="s">
        <v>2107</v>
      </c>
      <c r="B1064" s="15" t="s">
        <v>2108</v>
      </c>
      <c r="C1064" s="16" t="s">
        <v>7</v>
      </c>
      <c r="D1064" s="12" t="str">
        <f>IFERROR(__xludf.DUMMYFUNCTION("IFS(
  REGEXMATCH(A1064&amp;B1064, ""(?i)openai|gpt|gemini|anthropic|claude|mistral|cohere|rag|vector|llm|chatbot|ai-powered""), ""AI &amp; LLM"",
  REGEXMATCH(A1064&amp;B1064, ""(?i)twitter|instagram|facebook|linkedin|youtube|tiktok|threads|bluesky|pinterest|social"&amp;" video|reels?|shorts?""), ""Social Media"",
  REGEXMATCH(A1064&amp;B1064, ""(?i)hubspot|pipedrive|stripe|shopify|woocommerce|sales|crm|invoice|order|leads?|recruitment|bamboohr|erpnext""), ""CRM &amp; Sales"",
  REGEXMATCH(A1064&amp;B1064, ""(?i)gmail|outlook|calenda"&amp;"r|slack|discord|telegram|whatsapp|notion|trello|drive|sheets?|meeting|scheduler|appointment|mattermost""), ""Productivity &amp; Communication"",
  REGEXMATCH(A1064&amp;B1064, ""(?i)github|api|webhook|http|mysql|supabase|mongodb|redis|rss|pr|code review|incident|p"&amp;"agerduty|jira""), ""Development &amp; Utilities"",
  TRUE, ""Others""
)"),"Productivity &amp; Communication")</f>
        <v>Productivity &amp; Communication</v>
      </c>
    </row>
    <row r="1065" ht="15.75" customHeight="1">
      <c r="A1065" s="14" t="s">
        <v>2109</v>
      </c>
      <c r="B1065" s="15" t="s">
        <v>2110</v>
      </c>
      <c r="C1065" s="16" t="s">
        <v>7</v>
      </c>
      <c r="D1065" s="12" t="str">
        <f>IFERROR(__xludf.DUMMYFUNCTION("IFS(
  REGEXMATCH(A1065&amp;B1065, ""(?i)openai|gpt|gemini|anthropic|claude|mistral|cohere|rag|vector|llm|chatbot|ai-powered""), ""AI &amp; LLM"",
  REGEXMATCH(A1065&amp;B1065, ""(?i)twitter|instagram|facebook|linkedin|youtube|tiktok|threads|bluesky|pinterest|social"&amp;" video|reels?|shorts?""), ""Social Media"",
  REGEXMATCH(A1065&amp;B1065, ""(?i)hubspot|pipedrive|stripe|shopify|woocommerce|sales|crm|invoice|order|leads?|recruitment|bamboohr|erpnext""), ""CRM &amp; Sales"",
  REGEXMATCH(A1065&amp;B1065, ""(?i)gmail|outlook|calenda"&amp;"r|slack|discord|telegram|whatsapp|notion|trello|drive|sheets?|meeting|scheduler|appointment|mattermost""), ""Productivity &amp; Communication"",
  REGEXMATCH(A1065&amp;B1065, ""(?i)github|api|webhook|http|mysql|supabase|mongodb|redis|rss|pr|code review|incident|p"&amp;"agerduty|jira""), ""Development &amp; Utilities"",
  TRUE, ""Others""
)"),"Development &amp; Utilities")</f>
        <v>Development &amp; Utilities</v>
      </c>
    </row>
    <row r="1066" ht="15.75" customHeight="1">
      <c r="A1066" s="14" t="s">
        <v>2111</v>
      </c>
      <c r="B1066" s="15" t="s">
        <v>2112</v>
      </c>
      <c r="C1066" s="16" t="s">
        <v>7</v>
      </c>
      <c r="D1066" s="12" t="str">
        <f>IFERROR(__xludf.DUMMYFUNCTION("IFS(
  REGEXMATCH(A1066&amp;B1066, ""(?i)openai|gpt|gemini|anthropic|claude|mistral|cohere|rag|vector|llm|chatbot|ai-powered""), ""AI &amp; LLM"",
  REGEXMATCH(A1066&amp;B1066, ""(?i)twitter|instagram|facebook|linkedin|youtube|tiktok|threads|bluesky|pinterest|social"&amp;" video|reels?|shorts?""), ""Social Media"",
  REGEXMATCH(A1066&amp;B1066, ""(?i)hubspot|pipedrive|stripe|shopify|woocommerce|sales|crm|invoice|order|leads?|recruitment|bamboohr|erpnext""), ""CRM &amp; Sales"",
  REGEXMATCH(A1066&amp;B1066, ""(?i)gmail|outlook|calenda"&amp;"r|slack|discord|telegram|whatsapp|notion|trello|drive|sheets?|meeting|scheduler|appointment|mattermost""), ""Productivity &amp; Communication"",
  REGEXMATCH(A1066&amp;B1066, ""(?i)github|api|webhook|http|mysql|supabase|mongodb|redis|rss|pr|code review|incident|p"&amp;"agerduty|jira""), ""Development &amp; Utilities"",
  TRUE, ""Others""
)"),"Development &amp; Utilities")</f>
        <v>Development &amp; Utilities</v>
      </c>
    </row>
    <row r="1067" ht="15.75" customHeight="1">
      <c r="A1067" s="14" t="s">
        <v>2113</v>
      </c>
      <c r="B1067" s="15" t="s">
        <v>2114</v>
      </c>
      <c r="C1067" s="16" t="s">
        <v>7</v>
      </c>
      <c r="D1067" s="12" t="str">
        <f>IFERROR(__xludf.DUMMYFUNCTION("IFS(
  REGEXMATCH(A1067&amp;B1067, ""(?i)openai|gpt|gemini|anthropic|claude|mistral|cohere|rag|vector|llm|chatbot|ai-powered""), ""AI &amp; LLM"",
  REGEXMATCH(A1067&amp;B1067, ""(?i)twitter|instagram|facebook|linkedin|youtube|tiktok|threads|bluesky|pinterest|social"&amp;" video|reels?|shorts?""), ""Social Media"",
  REGEXMATCH(A1067&amp;B1067, ""(?i)hubspot|pipedrive|stripe|shopify|woocommerce|sales|crm|invoice|order|leads?|recruitment|bamboohr|erpnext""), ""CRM &amp; Sales"",
  REGEXMATCH(A1067&amp;B1067, ""(?i)gmail|outlook|calenda"&amp;"r|slack|discord|telegram|whatsapp|notion|trello|drive|sheets?|meeting|scheduler|appointment|mattermost""), ""Productivity &amp; Communication"",
  REGEXMATCH(A1067&amp;B1067, ""(?i)github|api|webhook|http|mysql|supabase|mongodb|redis|rss|pr|code review|incident|p"&amp;"agerduty|jira""), ""Development &amp; Utilities"",
  TRUE, ""Others""
)"),"AI &amp; LLM")</f>
        <v>AI &amp; LLM</v>
      </c>
    </row>
    <row r="1068" ht="15.75" customHeight="1">
      <c r="A1068" s="14" t="s">
        <v>2115</v>
      </c>
      <c r="B1068" s="15" t="s">
        <v>2116</v>
      </c>
      <c r="C1068" s="16" t="s">
        <v>7</v>
      </c>
      <c r="D1068" s="12" t="str">
        <f>IFERROR(__xludf.DUMMYFUNCTION("IFS(
  REGEXMATCH(A1068&amp;B1068, ""(?i)openai|gpt|gemini|anthropic|claude|mistral|cohere|rag|vector|llm|chatbot|ai-powered""), ""AI &amp; LLM"",
  REGEXMATCH(A1068&amp;B1068, ""(?i)twitter|instagram|facebook|linkedin|youtube|tiktok|threads|bluesky|pinterest|social"&amp;" video|reels?|shorts?""), ""Social Media"",
  REGEXMATCH(A1068&amp;B1068, ""(?i)hubspot|pipedrive|stripe|shopify|woocommerce|sales|crm|invoice|order|leads?|recruitment|bamboohr|erpnext""), ""CRM &amp; Sales"",
  REGEXMATCH(A1068&amp;B1068, ""(?i)gmail|outlook|calenda"&amp;"r|slack|discord|telegram|whatsapp|notion|trello|drive|sheets?|meeting|scheduler|appointment|mattermost""), ""Productivity &amp; Communication"",
  REGEXMATCH(A1068&amp;B1068, ""(?i)github|api|webhook|http|mysql|supabase|mongodb|redis|rss|pr|code review|incident|p"&amp;"agerduty|jira""), ""Development &amp; Utilities"",
  TRUE, ""Others""
)"),"Productivity &amp; Communication")</f>
        <v>Productivity &amp; Communication</v>
      </c>
    </row>
    <row r="1069" ht="15.75" customHeight="1">
      <c r="A1069" s="14" t="s">
        <v>2117</v>
      </c>
      <c r="B1069" s="15" t="s">
        <v>2118</v>
      </c>
      <c r="C1069" s="16" t="s">
        <v>7</v>
      </c>
      <c r="D1069" s="12" t="str">
        <f>IFERROR(__xludf.DUMMYFUNCTION("IFS(
  REGEXMATCH(A1069&amp;B1069, ""(?i)openai|gpt|gemini|anthropic|claude|mistral|cohere|rag|vector|llm|chatbot|ai-powered""), ""AI &amp; LLM"",
  REGEXMATCH(A1069&amp;B1069, ""(?i)twitter|instagram|facebook|linkedin|youtube|tiktok|threads|bluesky|pinterest|social"&amp;" video|reels?|shorts?""), ""Social Media"",
  REGEXMATCH(A1069&amp;B1069, ""(?i)hubspot|pipedrive|stripe|shopify|woocommerce|sales|crm|invoice|order|leads?|recruitment|bamboohr|erpnext""), ""CRM &amp; Sales"",
  REGEXMATCH(A1069&amp;B1069, ""(?i)gmail|outlook|calenda"&amp;"r|slack|discord|telegram|whatsapp|notion|trello|drive|sheets?|meeting|scheduler|appointment|mattermost""), ""Productivity &amp; Communication"",
  REGEXMATCH(A1069&amp;B1069, ""(?i)github|api|webhook|http|mysql|supabase|mongodb|redis|rss|pr|code review|incident|p"&amp;"agerduty|jira""), ""Development &amp; Utilities"",
  TRUE, ""Others""
)"),"Development &amp; Utilities")</f>
        <v>Development &amp; Utilities</v>
      </c>
    </row>
    <row r="1070" ht="15.75" customHeight="1">
      <c r="A1070" s="14" t="s">
        <v>2119</v>
      </c>
      <c r="B1070" s="15" t="s">
        <v>2120</v>
      </c>
      <c r="C1070" s="16" t="s">
        <v>7</v>
      </c>
      <c r="D1070" s="12" t="str">
        <f>IFERROR(__xludf.DUMMYFUNCTION("IFS(
  REGEXMATCH(A1070&amp;B1070, ""(?i)openai|gpt|gemini|anthropic|claude|mistral|cohere|rag|vector|llm|chatbot|ai-powered""), ""AI &amp; LLM"",
  REGEXMATCH(A1070&amp;B1070, ""(?i)twitter|instagram|facebook|linkedin|youtube|tiktok|threads|bluesky|pinterest|social"&amp;" video|reels?|shorts?""), ""Social Media"",
  REGEXMATCH(A1070&amp;B1070, ""(?i)hubspot|pipedrive|stripe|shopify|woocommerce|sales|crm|invoice|order|leads?|recruitment|bamboohr|erpnext""), ""CRM &amp; Sales"",
  REGEXMATCH(A1070&amp;B1070, ""(?i)gmail|outlook|calenda"&amp;"r|slack|discord|telegram|whatsapp|notion|trello|drive|sheets?|meeting|scheduler|appointment|mattermost""), ""Productivity &amp; Communication"",
  REGEXMATCH(A1070&amp;B1070, ""(?i)github|api|webhook|http|mysql|supabase|mongodb|redis|rss|pr|code review|incident|p"&amp;"agerduty|jira""), ""Development &amp; Utilities"",
  TRUE, ""Others""
)"),"AI &amp; LLM")</f>
        <v>AI &amp; LLM</v>
      </c>
    </row>
    <row r="1071" ht="15.75" customHeight="1">
      <c r="A1071" s="14" t="s">
        <v>2121</v>
      </c>
      <c r="B1071" s="15" t="s">
        <v>2122</v>
      </c>
      <c r="C1071" s="16" t="s">
        <v>7</v>
      </c>
      <c r="D1071" s="12" t="str">
        <f>IFERROR(__xludf.DUMMYFUNCTION("IFS(
  REGEXMATCH(A1071&amp;B1071, ""(?i)openai|gpt|gemini|anthropic|claude|mistral|cohere|rag|vector|llm|chatbot|ai-powered""), ""AI &amp; LLM"",
  REGEXMATCH(A1071&amp;B1071, ""(?i)twitter|instagram|facebook|linkedin|youtube|tiktok|threads|bluesky|pinterest|social"&amp;" video|reels?|shorts?""), ""Social Media"",
  REGEXMATCH(A1071&amp;B1071, ""(?i)hubspot|pipedrive|stripe|shopify|woocommerce|sales|crm|invoice|order|leads?|recruitment|bamboohr|erpnext""), ""CRM &amp; Sales"",
  REGEXMATCH(A1071&amp;B1071, ""(?i)gmail|outlook|calenda"&amp;"r|slack|discord|telegram|whatsapp|notion|trello|drive|sheets?|meeting|scheduler|appointment|mattermost""), ""Productivity &amp; Communication"",
  REGEXMATCH(A1071&amp;B1071, ""(?i)github|api|webhook|http|mysql|supabase|mongodb|redis|rss|pr|code review|incident|p"&amp;"agerduty|jira""), ""Development &amp; Utilities"",
  TRUE, ""Others""
)"),"AI &amp; LLM")</f>
        <v>AI &amp; LLM</v>
      </c>
    </row>
    <row r="1072" ht="15.75" customHeight="1">
      <c r="A1072" s="14" t="s">
        <v>2123</v>
      </c>
      <c r="B1072" s="15" t="s">
        <v>2124</v>
      </c>
      <c r="C1072" s="16" t="s">
        <v>7</v>
      </c>
      <c r="D1072" s="12" t="str">
        <f>IFERROR(__xludf.DUMMYFUNCTION("IFS(
  REGEXMATCH(A1072&amp;B1072, ""(?i)openai|gpt|gemini|anthropic|claude|mistral|cohere|rag|vector|llm|chatbot|ai-powered""), ""AI &amp; LLM"",
  REGEXMATCH(A1072&amp;B1072, ""(?i)twitter|instagram|facebook|linkedin|youtube|tiktok|threads|bluesky|pinterest|social"&amp;" video|reels?|shorts?""), ""Social Media"",
  REGEXMATCH(A1072&amp;B1072, ""(?i)hubspot|pipedrive|stripe|shopify|woocommerce|sales|crm|invoice|order|leads?|recruitment|bamboohr|erpnext""), ""CRM &amp; Sales"",
  REGEXMATCH(A1072&amp;B1072, ""(?i)gmail|outlook|calenda"&amp;"r|slack|discord|telegram|whatsapp|notion|trello|drive|sheets?|meeting|scheduler|appointment|mattermost""), ""Productivity &amp; Communication"",
  REGEXMATCH(A1072&amp;B1072, ""(?i)github|api|webhook|http|mysql|supabase|mongodb|redis|rss|pr|code review|incident|p"&amp;"agerduty|jira""), ""Development &amp; Utilities"",
  TRUE, ""Others""
)"),"AI &amp; LLM")</f>
        <v>AI &amp; LLM</v>
      </c>
    </row>
    <row r="1073" ht="15.75" customHeight="1">
      <c r="A1073" s="14" t="s">
        <v>2125</v>
      </c>
      <c r="B1073" s="15" t="s">
        <v>2126</v>
      </c>
      <c r="C1073" s="16" t="s">
        <v>7</v>
      </c>
      <c r="D1073" s="12" t="str">
        <f>IFERROR(__xludf.DUMMYFUNCTION("IFS(
  REGEXMATCH(A1073&amp;B1073, ""(?i)openai|gpt|gemini|anthropic|claude|mistral|cohere|rag|vector|llm|chatbot|ai-powered""), ""AI &amp; LLM"",
  REGEXMATCH(A1073&amp;B1073, ""(?i)twitter|instagram|facebook|linkedin|youtube|tiktok|threads|bluesky|pinterest|social"&amp;" video|reels?|shorts?""), ""Social Media"",
  REGEXMATCH(A1073&amp;B1073, ""(?i)hubspot|pipedrive|stripe|shopify|woocommerce|sales|crm|invoice|order|leads?|recruitment|bamboohr|erpnext""), ""CRM &amp; Sales"",
  REGEXMATCH(A1073&amp;B1073, ""(?i)gmail|outlook|calenda"&amp;"r|slack|discord|telegram|whatsapp|notion|trello|drive|sheets?|meeting|scheduler|appointment|mattermost""), ""Productivity &amp; Communication"",
  REGEXMATCH(A1073&amp;B1073, ""(?i)github|api|webhook|http|mysql|supabase|mongodb|redis|rss|pr|code review|incident|p"&amp;"agerduty|jira""), ""Development &amp; Utilities"",
  TRUE, ""Others""
)"),"Productivity &amp; Communication")</f>
        <v>Productivity &amp; Communication</v>
      </c>
    </row>
    <row r="1074" ht="15.75" customHeight="1">
      <c r="A1074" s="14" t="s">
        <v>2127</v>
      </c>
      <c r="B1074" s="15" t="s">
        <v>2128</v>
      </c>
      <c r="C1074" s="16" t="s">
        <v>7</v>
      </c>
      <c r="D1074" s="12" t="str">
        <f>IFERROR(__xludf.DUMMYFUNCTION("IFS(
  REGEXMATCH(A1074&amp;B1074, ""(?i)openai|gpt|gemini|anthropic|claude|mistral|cohere|rag|vector|llm|chatbot|ai-powered""), ""AI &amp; LLM"",
  REGEXMATCH(A1074&amp;B1074, ""(?i)twitter|instagram|facebook|linkedin|youtube|tiktok|threads|bluesky|pinterest|social"&amp;" video|reels?|shorts?""), ""Social Media"",
  REGEXMATCH(A1074&amp;B1074, ""(?i)hubspot|pipedrive|stripe|shopify|woocommerce|sales|crm|invoice|order|leads?|recruitment|bamboohr|erpnext""), ""CRM &amp; Sales"",
  REGEXMATCH(A1074&amp;B1074, ""(?i)gmail|outlook|calenda"&amp;"r|slack|discord|telegram|whatsapp|notion|trello|drive|sheets?|meeting|scheduler|appointment|mattermost""), ""Productivity &amp; Communication"",
  REGEXMATCH(A1074&amp;B1074, ""(?i)github|api|webhook|http|mysql|supabase|mongodb|redis|rss|pr|code review|incident|p"&amp;"agerduty|jira""), ""Development &amp; Utilities"",
  TRUE, ""Others""
)"),"AI &amp; LLM")</f>
        <v>AI &amp; LLM</v>
      </c>
    </row>
    <row r="1075" ht="15.75" customHeight="1">
      <c r="A1075" s="14" t="s">
        <v>2129</v>
      </c>
      <c r="B1075" s="15" t="s">
        <v>2130</v>
      </c>
      <c r="C1075" s="16" t="s">
        <v>7</v>
      </c>
      <c r="D1075" s="12" t="str">
        <f>IFERROR(__xludf.DUMMYFUNCTION("IFS(
  REGEXMATCH(A1075&amp;B1075, ""(?i)openai|gpt|gemini|anthropic|claude|mistral|cohere|rag|vector|llm|chatbot|ai-powered""), ""AI &amp; LLM"",
  REGEXMATCH(A1075&amp;B1075, ""(?i)twitter|instagram|facebook|linkedin|youtube|tiktok|threads|bluesky|pinterest|social"&amp;" video|reels?|shorts?""), ""Social Media"",
  REGEXMATCH(A1075&amp;B1075, ""(?i)hubspot|pipedrive|stripe|shopify|woocommerce|sales|crm|invoice|order|leads?|recruitment|bamboohr|erpnext""), ""CRM &amp; Sales"",
  REGEXMATCH(A1075&amp;B1075, ""(?i)gmail|outlook|calenda"&amp;"r|slack|discord|telegram|whatsapp|notion|trello|drive|sheets?|meeting|scheduler|appointment|mattermost""), ""Productivity &amp; Communication"",
  REGEXMATCH(A1075&amp;B1075, ""(?i)github|api|webhook|http|mysql|supabase|mongodb|redis|rss|pr|code review|incident|p"&amp;"agerduty|jira""), ""Development &amp; Utilities"",
  TRUE, ""Others""
)"),"Development &amp; Utilities")</f>
        <v>Development &amp; Utilities</v>
      </c>
    </row>
    <row r="1076" ht="15.75" customHeight="1">
      <c r="A1076" s="14" t="s">
        <v>2131</v>
      </c>
      <c r="B1076" s="15" t="s">
        <v>2132</v>
      </c>
      <c r="C1076" s="16" t="s">
        <v>7</v>
      </c>
      <c r="D1076" s="12" t="str">
        <f>IFERROR(__xludf.DUMMYFUNCTION("IFS(
  REGEXMATCH(A1076&amp;B1076, ""(?i)openai|gpt|gemini|anthropic|claude|mistral|cohere|rag|vector|llm|chatbot|ai-powered""), ""AI &amp; LLM"",
  REGEXMATCH(A1076&amp;B1076, ""(?i)twitter|instagram|facebook|linkedin|youtube|tiktok|threads|bluesky|pinterest|social"&amp;" video|reels?|shorts?""), ""Social Media"",
  REGEXMATCH(A1076&amp;B1076, ""(?i)hubspot|pipedrive|stripe|shopify|woocommerce|sales|crm|invoice|order|leads?|recruitment|bamboohr|erpnext""), ""CRM &amp; Sales"",
  REGEXMATCH(A1076&amp;B1076, ""(?i)gmail|outlook|calenda"&amp;"r|slack|discord|telegram|whatsapp|notion|trello|drive|sheets?|meeting|scheduler|appointment|mattermost""), ""Productivity &amp; Communication"",
  REGEXMATCH(A1076&amp;B1076, ""(?i)github|api|webhook|http|mysql|supabase|mongodb|redis|rss|pr|code review|incident|p"&amp;"agerduty|jira""), ""Development &amp; Utilities"",
  TRUE, ""Others""
)"),"AI &amp; LLM")</f>
        <v>AI &amp; LLM</v>
      </c>
    </row>
    <row r="1077" ht="15.75" customHeight="1">
      <c r="A1077" s="14" t="s">
        <v>2133</v>
      </c>
      <c r="B1077" s="15" t="s">
        <v>2134</v>
      </c>
      <c r="C1077" s="16" t="s">
        <v>7</v>
      </c>
      <c r="D1077" s="12" t="str">
        <f>IFERROR(__xludf.DUMMYFUNCTION("IFS(
  REGEXMATCH(A1077&amp;B1077, ""(?i)openai|gpt|gemini|anthropic|claude|mistral|cohere|rag|vector|llm|chatbot|ai-powered""), ""AI &amp; LLM"",
  REGEXMATCH(A1077&amp;B1077, ""(?i)twitter|instagram|facebook|linkedin|youtube|tiktok|threads|bluesky|pinterest|social"&amp;" video|reels?|shorts?""), ""Social Media"",
  REGEXMATCH(A1077&amp;B1077, ""(?i)hubspot|pipedrive|stripe|shopify|woocommerce|sales|crm|invoice|order|leads?|recruitment|bamboohr|erpnext""), ""CRM &amp; Sales"",
  REGEXMATCH(A1077&amp;B1077, ""(?i)gmail|outlook|calenda"&amp;"r|slack|discord|telegram|whatsapp|notion|trello|drive|sheets?|meeting|scheduler|appointment|mattermost""), ""Productivity &amp; Communication"",
  REGEXMATCH(A1077&amp;B1077, ""(?i)github|api|webhook|http|mysql|supabase|mongodb|redis|rss|pr|code review|incident|p"&amp;"agerduty|jira""), ""Development &amp; Utilities"",
  TRUE, ""Others""
)"),"AI &amp; LLM")</f>
        <v>AI &amp; LLM</v>
      </c>
    </row>
    <row r="1078" ht="15.75" customHeight="1">
      <c r="A1078" s="14" t="s">
        <v>2135</v>
      </c>
      <c r="B1078" s="15" t="s">
        <v>2136</v>
      </c>
      <c r="C1078" s="16" t="s">
        <v>7</v>
      </c>
      <c r="D1078" s="12" t="str">
        <f>IFERROR(__xludf.DUMMYFUNCTION("IFS(
  REGEXMATCH(A1078&amp;B1078, ""(?i)openai|gpt|gemini|anthropic|claude|mistral|cohere|rag|vector|llm|chatbot|ai-powered""), ""AI &amp; LLM"",
  REGEXMATCH(A1078&amp;B1078, ""(?i)twitter|instagram|facebook|linkedin|youtube|tiktok|threads|bluesky|pinterest|social"&amp;" video|reels?|shorts?""), ""Social Media"",
  REGEXMATCH(A1078&amp;B1078, ""(?i)hubspot|pipedrive|stripe|shopify|woocommerce|sales|crm|invoice|order|leads?|recruitment|bamboohr|erpnext""), ""CRM &amp; Sales"",
  REGEXMATCH(A1078&amp;B1078, ""(?i)gmail|outlook|calenda"&amp;"r|slack|discord|telegram|whatsapp|notion|trello|drive|sheets?|meeting|scheduler|appointment|mattermost""), ""Productivity &amp; Communication"",
  REGEXMATCH(A1078&amp;B1078, ""(?i)github|api|webhook|http|mysql|supabase|mongodb|redis|rss|pr|code review|incident|p"&amp;"agerduty|jira""), ""Development &amp; Utilities"",
  TRUE, ""Others""
)"),"AI &amp; LLM")</f>
        <v>AI &amp; LLM</v>
      </c>
    </row>
    <row r="1079" ht="15.75" customHeight="1">
      <c r="A1079" s="14" t="s">
        <v>2137</v>
      </c>
      <c r="B1079" s="15" t="s">
        <v>2138</v>
      </c>
      <c r="C1079" s="16" t="s">
        <v>7</v>
      </c>
      <c r="D1079" s="12" t="str">
        <f>IFERROR(__xludf.DUMMYFUNCTION("IFS(
  REGEXMATCH(A1079&amp;B1079, ""(?i)openai|gpt|gemini|anthropic|claude|mistral|cohere|rag|vector|llm|chatbot|ai-powered""), ""AI &amp; LLM"",
  REGEXMATCH(A1079&amp;B1079, ""(?i)twitter|instagram|facebook|linkedin|youtube|tiktok|threads|bluesky|pinterest|social"&amp;" video|reels?|shorts?""), ""Social Media"",
  REGEXMATCH(A1079&amp;B1079, ""(?i)hubspot|pipedrive|stripe|shopify|woocommerce|sales|crm|invoice|order|leads?|recruitment|bamboohr|erpnext""), ""CRM &amp; Sales"",
  REGEXMATCH(A1079&amp;B1079, ""(?i)gmail|outlook|calenda"&amp;"r|slack|discord|telegram|whatsapp|notion|trello|drive|sheets?|meeting|scheduler|appointment|mattermost""), ""Productivity &amp; Communication"",
  REGEXMATCH(A1079&amp;B1079, ""(?i)github|api|webhook|http|mysql|supabase|mongodb|redis|rss|pr|code review|incident|p"&amp;"agerduty|jira""), ""Development &amp; Utilities"",
  TRUE, ""Others""
)"),"AI &amp; LLM")</f>
        <v>AI &amp; LLM</v>
      </c>
    </row>
    <row r="1080" ht="15.75" customHeight="1">
      <c r="A1080" s="14" t="s">
        <v>2139</v>
      </c>
      <c r="B1080" s="15" t="s">
        <v>2140</v>
      </c>
      <c r="C1080" s="16" t="s">
        <v>7</v>
      </c>
      <c r="D1080" s="12" t="str">
        <f>IFERROR(__xludf.DUMMYFUNCTION("IFS(
  REGEXMATCH(A1080&amp;B1080, ""(?i)openai|gpt|gemini|anthropic|claude|mistral|cohere|rag|vector|llm|chatbot|ai-powered""), ""AI &amp; LLM"",
  REGEXMATCH(A1080&amp;B1080, ""(?i)twitter|instagram|facebook|linkedin|youtube|tiktok|threads|bluesky|pinterest|social"&amp;" video|reels?|shorts?""), ""Social Media"",
  REGEXMATCH(A1080&amp;B1080, ""(?i)hubspot|pipedrive|stripe|shopify|woocommerce|sales|crm|invoice|order|leads?|recruitment|bamboohr|erpnext""), ""CRM &amp; Sales"",
  REGEXMATCH(A1080&amp;B1080, ""(?i)gmail|outlook|calenda"&amp;"r|slack|discord|telegram|whatsapp|notion|trello|drive|sheets?|meeting|scheduler|appointment|mattermost""), ""Productivity &amp; Communication"",
  REGEXMATCH(A1080&amp;B1080, ""(?i)github|api|webhook|http|mysql|supabase|mongodb|redis|rss|pr|code review|incident|p"&amp;"agerduty|jira""), ""Development &amp; Utilities"",
  TRUE, ""Others""
)"),"AI &amp; LLM")</f>
        <v>AI &amp; LLM</v>
      </c>
    </row>
    <row r="1081" ht="15.75" customHeight="1">
      <c r="A1081" s="14" t="s">
        <v>2141</v>
      </c>
      <c r="B1081" s="15" t="s">
        <v>2142</v>
      </c>
      <c r="C1081" s="16" t="s">
        <v>7</v>
      </c>
      <c r="D1081" s="12" t="str">
        <f>IFERROR(__xludf.DUMMYFUNCTION("IFS(
  REGEXMATCH(A1081&amp;B1081, ""(?i)openai|gpt|gemini|anthropic|claude|mistral|cohere|rag|vector|llm|chatbot|ai-powered""), ""AI &amp; LLM"",
  REGEXMATCH(A1081&amp;B1081, ""(?i)twitter|instagram|facebook|linkedin|youtube|tiktok|threads|bluesky|pinterest|social"&amp;" video|reels?|shorts?""), ""Social Media"",
  REGEXMATCH(A1081&amp;B1081, ""(?i)hubspot|pipedrive|stripe|shopify|woocommerce|sales|crm|invoice|order|leads?|recruitment|bamboohr|erpnext""), ""CRM &amp; Sales"",
  REGEXMATCH(A1081&amp;B1081, ""(?i)gmail|outlook|calenda"&amp;"r|slack|discord|telegram|whatsapp|notion|trello|drive|sheets?|meeting|scheduler|appointment|mattermost""), ""Productivity &amp; Communication"",
  REGEXMATCH(A1081&amp;B1081, ""(?i)github|api|webhook|http|mysql|supabase|mongodb|redis|rss|pr|code review|incident|p"&amp;"agerduty|jira""), ""Development &amp; Utilities"",
  TRUE, ""Others""
)"),"AI &amp; LLM")</f>
        <v>AI &amp; LLM</v>
      </c>
    </row>
    <row r="1082" ht="15.75" customHeight="1">
      <c r="A1082" s="14" t="s">
        <v>2143</v>
      </c>
      <c r="B1082" s="15" t="s">
        <v>2144</v>
      </c>
      <c r="C1082" s="16" t="s">
        <v>7</v>
      </c>
      <c r="D1082" s="12" t="str">
        <f>IFERROR(__xludf.DUMMYFUNCTION("IFS(
  REGEXMATCH(A1082&amp;B1082, ""(?i)openai|gpt|gemini|anthropic|claude|mistral|cohere|rag|vector|llm|chatbot|ai-powered""), ""AI &amp; LLM"",
  REGEXMATCH(A1082&amp;B1082, ""(?i)twitter|instagram|facebook|linkedin|youtube|tiktok|threads|bluesky|pinterest|social"&amp;" video|reels?|shorts?""), ""Social Media"",
  REGEXMATCH(A1082&amp;B1082, ""(?i)hubspot|pipedrive|stripe|shopify|woocommerce|sales|crm|invoice|order|leads?|recruitment|bamboohr|erpnext""), ""CRM &amp; Sales"",
  REGEXMATCH(A1082&amp;B1082, ""(?i)gmail|outlook|calenda"&amp;"r|slack|discord|telegram|whatsapp|notion|trello|drive|sheets?|meeting|scheduler|appointment|mattermost""), ""Productivity &amp; Communication"",
  REGEXMATCH(A1082&amp;B1082, ""(?i)github|api|webhook|http|mysql|supabase|mongodb|redis|rss|pr|code review|incident|p"&amp;"agerduty|jira""), ""Development &amp; Utilities"",
  TRUE, ""Others""
)"),"AI &amp; LLM")</f>
        <v>AI &amp; LLM</v>
      </c>
    </row>
    <row r="1083" ht="15.75" customHeight="1">
      <c r="A1083" s="14" t="s">
        <v>2145</v>
      </c>
      <c r="B1083" s="15" t="s">
        <v>2146</v>
      </c>
      <c r="C1083" s="16" t="s">
        <v>7</v>
      </c>
      <c r="D1083" s="12" t="str">
        <f>IFERROR(__xludf.DUMMYFUNCTION("IFS(
  REGEXMATCH(A1083&amp;B1083, ""(?i)openai|gpt|gemini|anthropic|claude|mistral|cohere|rag|vector|llm|chatbot|ai-powered""), ""AI &amp; LLM"",
  REGEXMATCH(A1083&amp;B1083, ""(?i)twitter|instagram|facebook|linkedin|youtube|tiktok|threads|bluesky|pinterest|social"&amp;" video|reels?|shorts?""), ""Social Media"",
  REGEXMATCH(A1083&amp;B1083, ""(?i)hubspot|pipedrive|stripe|shopify|woocommerce|sales|crm|invoice|order|leads?|recruitment|bamboohr|erpnext""), ""CRM &amp; Sales"",
  REGEXMATCH(A1083&amp;B1083, ""(?i)gmail|outlook|calenda"&amp;"r|slack|discord|telegram|whatsapp|notion|trello|drive|sheets?|meeting|scheduler|appointment|mattermost""), ""Productivity &amp; Communication"",
  REGEXMATCH(A1083&amp;B1083, ""(?i)github|api|webhook|http|mysql|supabase|mongodb|redis|rss|pr|code review|incident|p"&amp;"agerduty|jira""), ""Development &amp; Utilities"",
  TRUE, ""Others""
)"),"AI &amp; LLM")</f>
        <v>AI &amp; LLM</v>
      </c>
    </row>
    <row r="1084" ht="15.75" customHeight="1">
      <c r="A1084" s="14" t="s">
        <v>2147</v>
      </c>
      <c r="B1084" s="15" t="s">
        <v>2148</v>
      </c>
      <c r="C1084" s="16" t="s">
        <v>7</v>
      </c>
      <c r="D1084" s="12" t="str">
        <f>IFERROR(__xludf.DUMMYFUNCTION("IFS(
  REGEXMATCH(A1084&amp;B1084, ""(?i)openai|gpt|gemini|anthropic|claude|mistral|cohere|rag|vector|llm|chatbot|ai-powered""), ""AI &amp; LLM"",
  REGEXMATCH(A1084&amp;B1084, ""(?i)twitter|instagram|facebook|linkedin|youtube|tiktok|threads|bluesky|pinterest|social"&amp;" video|reels?|shorts?""), ""Social Media"",
  REGEXMATCH(A1084&amp;B1084, ""(?i)hubspot|pipedrive|stripe|shopify|woocommerce|sales|crm|invoice|order|leads?|recruitment|bamboohr|erpnext""), ""CRM &amp; Sales"",
  REGEXMATCH(A1084&amp;B1084, ""(?i)gmail|outlook|calenda"&amp;"r|slack|discord|telegram|whatsapp|notion|trello|drive|sheets?|meeting|scheduler|appointment|mattermost""), ""Productivity &amp; Communication"",
  REGEXMATCH(A1084&amp;B1084, ""(?i)github|api|webhook|http|mysql|supabase|mongodb|redis|rss|pr|code review|incident|p"&amp;"agerduty|jira""), ""Development &amp; Utilities"",
  TRUE, ""Others""
)"),"Development &amp; Utilities")</f>
        <v>Development &amp; Utilities</v>
      </c>
    </row>
    <row r="1085" ht="15.75" customHeight="1">
      <c r="A1085" s="14" t="s">
        <v>2149</v>
      </c>
      <c r="B1085" s="15" t="s">
        <v>2150</v>
      </c>
      <c r="C1085" s="16" t="s">
        <v>7</v>
      </c>
      <c r="D1085" s="12" t="str">
        <f>IFERROR(__xludf.DUMMYFUNCTION("IFS(
  REGEXMATCH(A1085&amp;B1085, ""(?i)openai|gpt|gemini|anthropic|claude|mistral|cohere|rag|vector|llm|chatbot|ai-powered""), ""AI &amp; LLM"",
  REGEXMATCH(A1085&amp;B1085, ""(?i)twitter|instagram|facebook|linkedin|youtube|tiktok|threads|bluesky|pinterest|social"&amp;" video|reels?|shorts?""), ""Social Media"",
  REGEXMATCH(A1085&amp;B1085, ""(?i)hubspot|pipedrive|stripe|shopify|woocommerce|sales|crm|invoice|order|leads?|recruitment|bamboohr|erpnext""), ""CRM &amp; Sales"",
  REGEXMATCH(A1085&amp;B1085, ""(?i)gmail|outlook|calenda"&amp;"r|slack|discord|telegram|whatsapp|notion|trello|drive|sheets?|meeting|scheduler|appointment|mattermost""), ""Productivity &amp; Communication"",
  REGEXMATCH(A1085&amp;B1085, ""(?i)github|api|webhook|http|mysql|supabase|mongodb|redis|rss|pr|code review|incident|p"&amp;"agerduty|jira""), ""Development &amp; Utilities"",
  TRUE, ""Others""
)"),"Development &amp; Utilities")</f>
        <v>Development &amp; Utilities</v>
      </c>
    </row>
    <row r="1086" ht="15.75" customHeight="1">
      <c r="A1086" s="14" t="s">
        <v>2151</v>
      </c>
      <c r="B1086" s="15" t="s">
        <v>2152</v>
      </c>
      <c r="C1086" s="16" t="s">
        <v>7</v>
      </c>
      <c r="D1086" s="12" t="str">
        <f>IFERROR(__xludf.DUMMYFUNCTION("IFS(
  REGEXMATCH(A1086&amp;B1086, ""(?i)openai|gpt|gemini|anthropic|claude|mistral|cohere|rag|vector|llm|chatbot|ai-powered""), ""AI &amp; LLM"",
  REGEXMATCH(A1086&amp;B1086, ""(?i)twitter|instagram|facebook|linkedin|youtube|tiktok|threads|bluesky|pinterest|social"&amp;" video|reels?|shorts?""), ""Social Media"",
  REGEXMATCH(A1086&amp;B1086, ""(?i)hubspot|pipedrive|stripe|shopify|woocommerce|sales|crm|invoice|order|leads?|recruitment|bamboohr|erpnext""), ""CRM &amp; Sales"",
  REGEXMATCH(A1086&amp;B1086, ""(?i)gmail|outlook|calenda"&amp;"r|slack|discord|telegram|whatsapp|notion|trello|drive|sheets?|meeting|scheduler|appointment|mattermost""), ""Productivity &amp; Communication"",
  REGEXMATCH(A1086&amp;B1086, ""(?i)github|api|webhook|http|mysql|supabase|mongodb|redis|rss|pr|code review|incident|p"&amp;"agerduty|jira""), ""Development &amp; Utilities"",
  TRUE, ""Others""
)"),"CRM &amp; Sales")</f>
        <v>CRM &amp; Sales</v>
      </c>
    </row>
    <row r="1087" ht="15.75" customHeight="1">
      <c r="A1087" s="14" t="s">
        <v>2153</v>
      </c>
      <c r="B1087" s="15" t="s">
        <v>2154</v>
      </c>
      <c r="C1087" s="16" t="s">
        <v>7</v>
      </c>
      <c r="D1087" s="12" t="str">
        <f>IFERROR(__xludf.DUMMYFUNCTION("IFS(
  REGEXMATCH(A1087&amp;B1087, ""(?i)openai|gpt|gemini|anthropic|claude|mistral|cohere|rag|vector|llm|chatbot|ai-powered""), ""AI &amp; LLM"",
  REGEXMATCH(A1087&amp;B1087, ""(?i)twitter|instagram|facebook|linkedin|youtube|tiktok|threads|bluesky|pinterest|social"&amp;" video|reels?|shorts?""), ""Social Media"",
  REGEXMATCH(A1087&amp;B1087, ""(?i)hubspot|pipedrive|stripe|shopify|woocommerce|sales|crm|invoice|order|leads?|recruitment|bamboohr|erpnext""), ""CRM &amp; Sales"",
  REGEXMATCH(A1087&amp;B1087, ""(?i)gmail|outlook|calenda"&amp;"r|slack|discord|telegram|whatsapp|notion|trello|drive|sheets?|meeting|scheduler|appointment|mattermost""), ""Productivity &amp; Communication"",
  REGEXMATCH(A1087&amp;B1087, ""(?i)github|api|webhook|http|mysql|supabase|mongodb|redis|rss|pr|code review|incident|p"&amp;"agerduty|jira""), ""Development &amp; Utilities"",
  TRUE, ""Others""
)"),"AI &amp; LLM")</f>
        <v>AI &amp; LLM</v>
      </c>
    </row>
    <row r="1088" ht="15.75" customHeight="1">
      <c r="A1088" s="14" t="s">
        <v>2155</v>
      </c>
      <c r="B1088" s="15" t="s">
        <v>2156</v>
      </c>
      <c r="C1088" s="16" t="s">
        <v>7</v>
      </c>
      <c r="D1088" s="12" t="str">
        <f>IFERROR(__xludf.DUMMYFUNCTION("IFS(
  REGEXMATCH(A1088&amp;B1088, ""(?i)openai|gpt|gemini|anthropic|claude|mistral|cohere|rag|vector|llm|chatbot|ai-powered""), ""AI &amp; LLM"",
  REGEXMATCH(A1088&amp;B1088, ""(?i)twitter|instagram|facebook|linkedin|youtube|tiktok|threads|bluesky|pinterest|social"&amp;" video|reels?|shorts?""), ""Social Media"",
  REGEXMATCH(A1088&amp;B1088, ""(?i)hubspot|pipedrive|stripe|shopify|woocommerce|sales|crm|invoice|order|leads?|recruitment|bamboohr|erpnext""), ""CRM &amp; Sales"",
  REGEXMATCH(A1088&amp;B1088, ""(?i)gmail|outlook|calenda"&amp;"r|slack|discord|telegram|whatsapp|notion|trello|drive|sheets?|meeting|scheduler|appointment|mattermost""), ""Productivity &amp; Communication"",
  REGEXMATCH(A1088&amp;B1088, ""(?i)github|api|webhook|http|mysql|supabase|mongodb|redis|rss|pr|code review|incident|p"&amp;"agerduty|jira""), ""Development &amp; Utilities"",
  TRUE, ""Others""
)"),"Productivity &amp; Communication")</f>
        <v>Productivity &amp; Communication</v>
      </c>
    </row>
    <row r="1089" ht="15.75" customHeight="1">
      <c r="A1089" s="14" t="s">
        <v>2157</v>
      </c>
      <c r="B1089" s="15" t="s">
        <v>2158</v>
      </c>
      <c r="C1089" s="16" t="s">
        <v>7</v>
      </c>
      <c r="D1089" s="12" t="str">
        <f>IFERROR(__xludf.DUMMYFUNCTION("IFS(
  REGEXMATCH(A1089&amp;B1089, ""(?i)openai|gpt|gemini|anthropic|claude|mistral|cohere|rag|vector|llm|chatbot|ai-powered""), ""AI &amp; LLM"",
  REGEXMATCH(A1089&amp;B1089, ""(?i)twitter|instagram|facebook|linkedin|youtube|tiktok|threads|bluesky|pinterest|social"&amp;" video|reels?|shorts?""), ""Social Media"",
  REGEXMATCH(A1089&amp;B1089, ""(?i)hubspot|pipedrive|stripe|shopify|woocommerce|sales|crm|invoice|order|leads?|recruitment|bamboohr|erpnext""), ""CRM &amp; Sales"",
  REGEXMATCH(A1089&amp;B1089, ""(?i)gmail|outlook|calenda"&amp;"r|slack|discord|telegram|whatsapp|notion|trello|drive|sheets?|meeting|scheduler|appointment|mattermost""), ""Productivity &amp; Communication"",
  REGEXMATCH(A1089&amp;B1089, ""(?i)github|api|webhook|http|mysql|supabase|mongodb|redis|rss|pr|code review|incident|p"&amp;"agerduty|jira""), ""Development &amp; Utilities"",
  TRUE, ""Others""
)"),"CRM &amp; Sales")</f>
        <v>CRM &amp; Sales</v>
      </c>
    </row>
    <row r="1090" ht="15.75" customHeight="1">
      <c r="A1090" s="14" t="s">
        <v>2159</v>
      </c>
      <c r="B1090" s="15" t="s">
        <v>2160</v>
      </c>
      <c r="C1090" s="16" t="s">
        <v>7</v>
      </c>
      <c r="D1090" s="12" t="str">
        <f>IFERROR(__xludf.DUMMYFUNCTION("IFS(
  REGEXMATCH(A1090&amp;B1090, ""(?i)openai|gpt|gemini|anthropic|claude|mistral|cohere|rag|vector|llm|chatbot|ai-powered""), ""AI &amp; LLM"",
  REGEXMATCH(A1090&amp;B1090, ""(?i)twitter|instagram|facebook|linkedin|youtube|tiktok|threads|bluesky|pinterest|social"&amp;" video|reels?|shorts?""), ""Social Media"",
  REGEXMATCH(A1090&amp;B1090, ""(?i)hubspot|pipedrive|stripe|shopify|woocommerce|sales|crm|invoice|order|leads?|recruitment|bamboohr|erpnext""), ""CRM &amp; Sales"",
  REGEXMATCH(A1090&amp;B1090, ""(?i)gmail|outlook|calenda"&amp;"r|slack|discord|telegram|whatsapp|notion|trello|drive|sheets?|meeting|scheduler|appointment|mattermost""), ""Productivity &amp; Communication"",
  REGEXMATCH(A1090&amp;B1090, ""(?i)github|api|webhook|http|mysql|supabase|mongodb|redis|rss|pr|code review|incident|p"&amp;"agerduty|jira""), ""Development &amp; Utilities"",
  TRUE, ""Others""
)"),"Productivity &amp; Communication")</f>
        <v>Productivity &amp; Communication</v>
      </c>
    </row>
    <row r="1091" ht="15.75" customHeight="1">
      <c r="A1091" s="14" t="s">
        <v>2161</v>
      </c>
      <c r="B1091" s="15" t="s">
        <v>2162</v>
      </c>
      <c r="C1091" s="16" t="s">
        <v>7</v>
      </c>
      <c r="D1091" s="12" t="str">
        <f>IFERROR(__xludf.DUMMYFUNCTION("IFS(
  REGEXMATCH(A1091&amp;B1091, ""(?i)openai|gpt|gemini|anthropic|claude|mistral|cohere|rag|vector|llm|chatbot|ai-powered""), ""AI &amp; LLM"",
  REGEXMATCH(A1091&amp;B1091, ""(?i)twitter|instagram|facebook|linkedin|youtube|tiktok|threads|bluesky|pinterest|social"&amp;" video|reels?|shorts?""), ""Social Media"",
  REGEXMATCH(A1091&amp;B1091, ""(?i)hubspot|pipedrive|stripe|shopify|woocommerce|sales|crm|invoice|order|leads?|recruitment|bamboohr|erpnext""), ""CRM &amp; Sales"",
  REGEXMATCH(A1091&amp;B1091, ""(?i)gmail|outlook|calenda"&amp;"r|slack|discord|telegram|whatsapp|notion|trello|drive|sheets?|meeting|scheduler|appointment|mattermost""), ""Productivity &amp; Communication"",
  REGEXMATCH(A1091&amp;B1091, ""(?i)github|api|webhook|http|mysql|supabase|mongodb|redis|rss|pr|code review|incident|p"&amp;"agerduty|jira""), ""Development &amp; Utilities"",
  TRUE, ""Others""
)"),"AI &amp; LLM")</f>
        <v>AI &amp; LLM</v>
      </c>
    </row>
    <row r="1092" ht="15.75" customHeight="1">
      <c r="A1092" s="14" t="s">
        <v>2163</v>
      </c>
      <c r="B1092" s="15" t="s">
        <v>2164</v>
      </c>
      <c r="C1092" s="16" t="s">
        <v>7</v>
      </c>
      <c r="D1092" s="12" t="str">
        <f>IFERROR(__xludf.DUMMYFUNCTION("IFS(
  REGEXMATCH(A1092&amp;B1092, ""(?i)openai|gpt|gemini|anthropic|claude|mistral|cohere|rag|vector|llm|chatbot|ai-powered""), ""AI &amp; LLM"",
  REGEXMATCH(A1092&amp;B1092, ""(?i)twitter|instagram|facebook|linkedin|youtube|tiktok|threads|bluesky|pinterest|social"&amp;" video|reels?|shorts?""), ""Social Media"",
  REGEXMATCH(A1092&amp;B1092, ""(?i)hubspot|pipedrive|stripe|shopify|woocommerce|sales|crm|invoice|order|leads?|recruitment|bamboohr|erpnext""), ""CRM &amp; Sales"",
  REGEXMATCH(A1092&amp;B1092, ""(?i)gmail|outlook|calenda"&amp;"r|slack|discord|telegram|whatsapp|notion|trello|drive|sheets?|meeting|scheduler|appointment|mattermost""), ""Productivity &amp; Communication"",
  REGEXMATCH(A1092&amp;B1092, ""(?i)github|api|webhook|http|mysql|supabase|mongodb|redis|rss|pr|code review|incident|p"&amp;"agerduty|jira""), ""Development &amp; Utilities"",
  TRUE, ""Others""
)"),"AI &amp; LLM")</f>
        <v>AI &amp; LLM</v>
      </c>
    </row>
    <row r="1093" ht="15.75" customHeight="1">
      <c r="A1093" s="14" t="s">
        <v>2165</v>
      </c>
      <c r="B1093" s="15" t="s">
        <v>2166</v>
      </c>
      <c r="C1093" s="16" t="s">
        <v>7</v>
      </c>
      <c r="D1093" s="12" t="str">
        <f>IFERROR(__xludf.DUMMYFUNCTION("IFS(
  REGEXMATCH(A1093&amp;B1093, ""(?i)openai|gpt|gemini|anthropic|claude|mistral|cohere|rag|vector|llm|chatbot|ai-powered""), ""AI &amp; LLM"",
  REGEXMATCH(A1093&amp;B1093, ""(?i)twitter|instagram|facebook|linkedin|youtube|tiktok|threads|bluesky|pinterest|social"&amp;" video|reels?|shorts?""), ""Social Media"",
  REGEXMATCH(A1093&amp;B1093, ""(?i)hubspot|pipedrive|stripe|shopify|woocommerce|sales|crm|invoice|order|leads?|recruitment|bamboohr|erpnext""), ""CRM &amp; Sales"",
  REGEXMATCH(A1093&amp;B1093, ""(?i)gmail|outlook|calenda"&amp;"r|slack|discord|telegram|whatsapp|notion|trello|drive|sheets?|meeting|scheduler|appointment|mattermost""), ""Productivity &amp; Communication"",
  REGEXMATCH(A1093&amp;B1093, ""(?i)github|api|webhook|http|mysql|supabase|mongodb|redis|rss|pr|code review|incident|p"&amp;"agerduty|jira""), ""Development &amp; Utilities"",
  TRUE, ""Others""
)"),"AI &amp; LLM")</f>
        <v>AI &amp; LLM</v>
      </c>
    </row>
    <row r="1094" ht="15.75" customHeight="1">
      <c r="A1094" s="14" t="s">
        <v>2167</v>
      </c>
      <c r="B1094" s="15" t="s">
        <v>2168</v>
      </c>
      <c r="C1094" s="16" t="s">
        <v>7</v>
      </c>
      <c r="D1094" s="12" t="str">
        <f>IFERROR(__xludf.DUMMYFUNCTION("IFS(
  REGEXMATCH(A1094&amp;B1094, ""(?i)openai|gpt|gemini|anthropic|claude|mistral|cohere|rag|vector|llm|chatbot|ai-powered""), ""AI &amp; LLM"",
  REGEXMATCH(A1094&amp;B1094, ""(?i)twitter|instagram|facebook|linkedin|youtube|tiktok|threads|bluesky|pinterest|social"&amp;" video|reels?|shorts?""), ""Social Media"",
  REGEXMATCH(A1094&amp;B1094, ""(?i)hubspot|pipedrive|stripe|shopify|woocommerce|sales|crm|invoice|order|leads?|recruitment|bamboohr|erpnext""), ""CRM &amp; Sales"",
  REGEXMATCH(A1094&amp;B1094, ""(?i)gmail|outlook|calenda"&amp;"r|slack|discord|telegram|whatsapp|notion|trello|drive|sheets?|meeting|scheduler|appointment|mattermost""), ""Productivity &amp; Communication"",
  REGEXMATCH(A1094&amp;B1094, ""(?i)github|api|webhook|http|mysql|supabase|mongodb|redis|rss|pr|code review|incident|p"&amp;"agerduty|jira""), ""Development &amp; Utilities"",
  TRUE, ""Others""
)"),"AI &amp; LLM")</f>
        <v>AI &amp; LLM</v>
      </c>
    </row>
    <row r="1095" ht="15.75" customHeight="1">
      <c r="A1095" s="14" t="s">
        <v>2169</v>
      </c>
      <c r="B1095" s="15" t="s">
        <v>2170</v>
      </c>
      <c r="C1095" s="16" t="s">
        <v>7</v>
      </c>
      <c r="D1095" s="12" t="str">
        <f>IFERROR(__xludf.DUMMYFUNCTION("IFS(
  REGEXMATCH(A1095&amp;B1095, ""(?i)openai|gpt|gemini|anthropic|claude|mistral|cohere|rag|vector|llm|chatbot|ai-powered""), ""AI &amp; LLM"",
  REGEXMATCH(A1095&amp;B1095, ""(?i)twitter|instagram|facebook|linkedin|youtube|tiktok|threads|bluesky|pinterest|social"&amp;" video|reels?|shorts?""), ""Social Media"",
  REGEXMATCH(A1095&amp;B1095, ""(?i)hubspot|pipedrive|stripe|shopify|woocommerce|sales|crm|invoice|order|leads?|recruitment|bamboohr|erpnext""), ""CRM &amp; Sales"",
  REGEXMATCH(A1095&amp;B1095, ""(?i)gmail|outlook|calenda"&amp;"r|slack|discord|telegram|whatsapp|notion|trello|drive|sheets?|meeting|scheduler|appointment|mattermost""), ""Productivity &amp; Communication"",
  REGEXMATCH(A1095&amp;B1095, ""(?i)github|api|webhook|http|mysql|supabase|mongodb|redis|rss|pr|code review|incident|p"&amp;"agerduty|jira""), ""Development &amp; Utilities"",
  TRUE, ""Others""
)"),"Development &amp; Utilities")</f>
        <v>Development &amp; Utilities</v>
      </c>
    </row>
    <row r="1096" ht="15.75" customHeight="1">
      <c r="A1096" s="14" t="s">
        <v>2171</v>
      </c>
      <c r="B1096" s="15" t="s">
        <v>2172</v>
      </c>
      <c r="C1096" s="16" t="s">
        <v>7</v>
      </c>
      <c r="D1096" s="12" t="str">
        <f>IFERROR(__xludf.DUMMYFUNCTION("IFS(
  REGEXMATCH(A1096&amp;B1096, ""(?i)openai|gpt|gemini|anthropic|claude|mistral|cohere|rag|vector|llm|chatbot|ai-powered""), ""AI &amp; LLM"",
  REGEXMATCH(A1096&amp;B1096, ""(?i)twitter|instagram|facebook|linkedin|youtube|tiktok|threads|bluesky|pinterest|social"&amp;" video|reels?|shorts?""), ""Social Media"",
  REGEXMATCH(A1096&amp;B1096, ""(?i)hubspot|pipedrive|stripe|shopify|woocommerce|sales|crm|invoice|order|leads?|recruitment|bamboohr|erpnext""), ""CRM &amp; Sales"",
  REGEXMATCH(A1096&amp;B1096, ""(?i)gmail|outlook|calenda"&amp;"r|slack|discord|telegram|whatsapp|notion|trello|drive|sheets?|meeting|scheduler|appointment|mattermost""), ""Productivity &amp; Communication"",
  REGEXMATCH(A1096&amp;B1096, ""(?i)github|api|webhook|http|mysql|supabase|mongodb|redis|rss|pr|code review|incident|p"&amp;"agerduty|jira""), ""Development &amp; Utilities"",
  TRUE, ""Others""
)"),"AI &amp; LLM")</f>
        <v>AI &amp; LLM</v>
      </c>
    </row>
    <row r="1097" ht="15.75" customHeight="1">
      <c r="A1097" s="14" t="s">
        <v>2173</v>
      </c>
      <c r="B1097" s="15" t="s">
        <v>2174</v>
      </c>
      <c r="C1097" s="16" t="s">
        <v>7</v>
      </c>
      <c r="D1097" s="12" t="str">
        <f>IFERROR(__xludf.DUMMYFUNCTION("IFS(
  REGEXMATCH(A1097&amp;B1097, ""(?i)openai|gpt|gemini|anthropic|claude|mistral|cohere|rag|vector|llm|chatbot|ai-powered""), ""AI &amp; LLM"",
  REGEXMATCH(A1097&amp;B1097, ""(?i)twitter|instagram|facebook|linkedin|youtube|tiktok|threads|bluesky|pinterest|social"&amp;" video|reels?|shorts?""), ""Social Media"",
  REGEXMATCH(A1097&amp;B1097, ""(?i)hubspot|pipedrive|stripe|shopify|woocommerce|sales|crm|invoice|order|leads?|recruitment|bamboohr|erpnext""), ""CRM &amp; Sales"",
  REGEXMATCH(A1097&amp;B1097, ""(?i)gmail|outlook|calenda"&amp;"r|slack|discord|telegram|whatsapp|notion|trello|drive|sheets?|meeting|scheduler|appointment|mattermost""), ""Productivity &amp; Communication"",
  REGEXMATCH(A1097&amp;B1097, ""(?i)github|api|webhook|http|mysql|supabase|mongodb|redis|rss|pr|code review|incident|p"&amp;"agerduty|jira""), ""Development &amp; Utilities"",
  TRUE, ""Others""
)"),"Productivity &amp; Communication")</f>
        <v>Productivity &amp; Communication</v>
      </c>
    </row>
    <row r="1098" ht="15.75" customHeight="1">
      <c r="A1098" s="14" t="s">
        <v>2175</v>
      </c>
      <c r="B1098" s="15" t="s">
        <v>2176</v>
      </c>
      <c r="C1098" s="16" t="s">
        <v>7</v>
      </c>
      <c r="D1098" s="12" t="str">
        <f>IFERROR(__xludf.DUMMYFUNCTION("IFS(
  REGEXMATCH(A1098&amp;B1098, ""(?i)openai|gpt|gemini|anthropic|claude|mistral|cohere|rag|vector|llm|chatbot|ai-powered""), ""AI &amp; LLM"",
  REGEXMATCH(A1098&amp;B1098, ""(?i)twitter|instagram|facebook|linkedin|youtube|tiktok|threads|bluesky|pinterest|social"&amp;" video|reels?|shorts?""), ""Social Media"",
  REGEXMATCH(A1098&amp;B1098, ""(?i)hubspot|pipedrive|stripe|shopify|woocommerce|sales|crm|invoice|order|leads?|recruitment|bamboohr|erpnext""), ""CRM &amp; Sales"",
  REGEXMATCH(A1098&amp;B1098, ""(?i)gmail|outlook|calenda"&amp;"r|slack|discord|telegram|whatsapp|notion|trello|drive|sheets?|meeting|scheduler|appointment|mattermost""), ""Productivity &amp; Communication"",
  REGEXMATCH(A1098&amp;B1098, ""(?i)github|api|webhook|http|mysql|supabase|mongodb|redis|rss|pr|code review|incident|p"&amp;"agerduty|jira""), ""Development &amp; Utilities"",
  TRUE, ""Others""
)"),"AI &amp; LLM")</f>
        <v>AI &amp; LLM</v>
      </c>
    </row>
    <row r="1099" ht="15.75" customHeight="1">
      <c r="A1099" s="14" t="s">
        <v>2177</v>
      </c>
      <c r="B1099" s="15" t="s">
        <v>2178</v>
      </c>
      <c r="C1099" s="16" t="s">
        <v>7</v>
      </c>
      <c r="D1099" s="12" t="str">
        <f>IFERROR(__xludf.DUMMYFUNCTION("IFS(
  REGEXMATCH(A1099&amp;B1099, ""(?i)openai|gpt|gemini|anthropic|claude|mistral|cohere|rag|vector|llm|chatbot|ai-powered""), ""AI &amp; LLM"",
  REGEXMATCH(A1099&amp;B1099, ""(?i)twitter|instagram|facebook|linkedin|youtube|tiktok|threads|bluesky|pinterest|social"&amp;" video|reels?|shorts?""), ""Social Media"",
  REGEXMATCH(A1099&amp;B1099, ""(?i)hubspot|pipedrive|stripe|shopify|woocommerce|sales|crm|invoice|order|leads?|recruitment|bamboohr|erpnext""), ""CRM &amp; Sales"",
  REGEXMATCH(A1099&amp;B1099, ""(?i)gmail|outlook|calenda"&amp;"r|slack|discord|telegram|whatsapp|notion|trello|drive|sheets?|meeting|scheduler|appointment|mattermost""), ""Productivity &amp; Communication"",
  REGEXMATCH(A1099&amp;B1099, ""(?i)github|api|webhook|http|mysql|supabase|mongodb|redis|rss|pr|code review|incident|p"&amp;"agerduty|jira""), ""Development &amp; Utilities"",
  TRUE, ""Others""
)"),"AI &amp; LLM")</f>
        <v>AI &amp; LLM</v>
      </c>
    </row>
    <row r="1100" ht="15.75" customHeight="1">
      <c r="A1100" s="14" t="s">
        <v>2179</v>
      </c>
      <c r="B1100" s="15" t="s">
        <v>2180</v>
      </c>
      <c r="C1100" s="16" t="s">
        <v>7</v>
      </c>
      <c r="D1100" s="12" t="str">
        <f>IFERROR(__xludf.DUMMYFUNCTION("IFS(
  REGEXMATCH(A1100&amp;B1100, ""(?i)openai|gpt|gemini|anthropic|claude|mistral|cohere|rag|vector|llm|chatbot|ai-powered""), ""AI &amp; LLM"",
  REGEXMATCH(A1100&amp;B1100, ""(?i)twitter|instagram|facebook|linkedin|youtube|tiktok|threads|bluesky|pinterest|social"&amp;" video|reels?|shorts?""), ""Social Media"",
  REGEXMATCH(A1100&amp;B1100, ""(?i)hubspot|pipedrive|stripe|shopify|woocommerce|sales|crm|invoice|order|leads?|recruitment|bamboohr|erpnext""), ""CRM &amp; Sales"",
  REGEXMATCH(A1100&amp;B1100, ""(?i)gmail|outlook|calenda"&amp;"r|slack|discord|telegram|whatsapp|notion|trello|drive|sheets?|meeting|scheduler|appointment|mattermost""), ""Productivity &amp; Communication"",
  REGEXMATCH(A1100&amp;B1100, ""(?i)github|api|webhook|http|mysql|supabase|mongodb|redis|rss|pr|code review|incident|p"&amp;"agerduty|jira""), ""Development &amp; Utilities"",
  TRUE, ""Others""
)"),"AI &amp; LLM")</f>
        <v>AI &amp; LLM</v>
      </c>
    </row>
    <row r="1101" ht="15.75" customHeight="1">
      <c r="A1101" s="14" t="s">
        <v>2181</v>
      </c>
      <c r="B1101" s="15" t="s">
        <v>2182</v>
      </c>
      <c r="C1101" s="16" t="s">
        <v>7</v>
      </c>
      <c r="D1101" s="12" t="str">
        <f>IFERROR(__xludf.DUMMYFUNCTION("IFS(
  REGEXMATCH(A1101&amp;B1101, ""(?i)openai|gpt|gemini|anthropic|claude|mistral|cohere|rag|vector|llm|chatbot|ai-powered""), ""AI &amp; LLM"",
  REGEXMATCH(A1101&amp;B1101, ""(?i)twitter|instagram|facebook|linkedin|youtube|tiktok|threads|bluesky|pinterest|social"&amp;" video|reels?|shorts?""), ""Social Media"",
  REGEXMATCH(A1101&amp;B1101, ""(?i)hubspot|pipedrive|stripe|shopify|woocommerce|sales|crm|invoice|order|leads?|recruitment|bamboohr|erpnext""), ""CRM &amp; Sales"",
  REGEXMATCH(A1101&amp;B1101, ""(?i)gmail|outlook|calenda"&amp;"r|slack|discord|telegram|whatsapp|notion|trello|drive|sheets?|meeting|scheduler|appointment|mattermost""), ""Productivity &amp; Communication"",
  REGEXMATCH(A1101&amp;B1101, ""(?i)github|api|webhook|http|mysql|supabase|mongodb|redis|rss|pr|code review|incident|p"&amp;"agerduty|jira""), ""Development &amp; Utilities"",
  TRUE, ""Others""
)"),"AI &amp; LLM")</f>
        <v>AI &amp; LLM</v>
      </c>
    </row>
    <row r="1102" ht="15.75" customHeight="1">
      <c r="A1102" s="14" t="s">
        <v>2183</v>
      </c>
      <c r="B1102" s="15" t="s">
        <v>2184</v>
      </c>
      <c r="C1102" s="16" t="s">
        <v>7</v>
      </c>
      <c r="D1102" s="12" t="str">
        <f>IFERROR(__xludf.DUMMYFUNCTION("IFS(
  REGEXMATCH(A1102&amp;B1102, ""(?i)openai|gpt|gemini|anthropic|claude|mistral|cohere|rag|vector|llm|chatbot|ai-powered""), ""AI &amp; LLM"",
  REGEXMATCH(A1102&amp;B1102, ""(?i)twitter|instagram|facebook|linkedin|youtube|tiktok|threads|bluesky|pinterest|social"&amp;" video|reels?|shorts?""), ""Social Media"",
  REGEXMATCH(A1102&amp;B1102, ""(?i)hubspot|pipedrive|stripe|shopify|woocommerce|sales|crm|invoice|order|leads?|recruitment|bamboohr|erpnext""), ""CRM &amp; Sales"",
  REGEXMATCH(A1102&amp;B1102, ""(?i)gmail|outlook|calenda"&amp;"r|slack|discord|telegram|whatsapp|notion|trello|drive|sheets?|meeting|scheduler|appointment|mattermost""), ""Productivity &amp; Communication"",
  REGEXMATCH(A1102&amp;B1102, ""(?i)github|api|webhook|http|mysql|supabase|mongodb|redis|rss|pr|code review|incident|p"&amp;"agerduty|jira""), ""Development &amp; Utilities"",
  TRUE, ""Others""
)"),"Social Media")</f>
        <v>Social Media</v>
      </c>
    </row>
    <row r="1103" ht="15.75" customHeight="1">
      <c r="A1103" s="14" t="s">
        <v>2185</v>
      </c>
      <c r="B1103" s="15" t="s">
        <v>2186</v>
      </c>
      <c r="C1103" s="16" t="s">
        <v>7</v>
      </c>
      <c r="D1103" s="12" t="str">
        <f>IFERROR(__xludf.DUMMYFUNCTION("IFS(
  REGEXMATCH(A1103&amp;B1103, ""(?i)openai|gpt|gemini|anthropic|claude|mistral|cohere|rag|vector|llm|chatbot|ai-powered""), ""AI &amp; LLM"",
  REGEXMATCH(A1103&amp;B1103, ""(?i)twitter|instagram|facebook|linkedin|youtube|tiktok|threads|bluesky|pinterest|social"&amp;" video|reels?|shorts?""), ""Social Media"",
  REGEXMATCH(A1103&amp;B1103, ""(?i)hubspot|pipedrive|stripe|shopify|woocommerce|sales|crm|invoice|order|leads?|recruitment|bamboohr|erpnext""), ""CRM &amp; Sales"",
  REGEXMATCH(A1103&amp;B1103, ""(?i)gmail|outlook|calenda"&amp;"r|slack|discord|telegram|whatsapp|notion|trello|drive|sheets?|meeting|scheduler|appointment|mattermost""), ""Productivity &amp; Communication"",
  REGEXMATCH(A1103&amp;B1103, ""(?i)github|api|webhook|http|mysql|supabase|mongodb|redis|rss|pr|code review|incident|p"&amp;"agerduty|jira""), ""Development &amp; Utilities"",
  TRUE, ""Others""
)"),"Productivity &amp; Communication")</f>
        <v>Productivity &amp; Communication</v>
      </c>
    </row>
    <row r="1104" ht="15.75" customHeight="1">
      <c r="A1104" s="14" t="s">
        <v>2187</v>
      </c>
      <c r="B1104" s="15" t="s">
        <v>2188</v>
      </c>
      <c r="C1104" s="16" t="s">
        <v>7</v>
      </c>
      <c r="D1104" s="12" t="str">
        <f>IFERROR(__xludf.DUMMYFUNCTION("IFS(
  REGEXMATCH(A1104&amp;B1104, ""(?i)openai|gpt|gemini|anthropic|claude|mistral|cohere|rag|vector|llm|chatbot|ai-powered""), ""AI &amp; LLM"",
  REGEXMATCH(A1104&amp;B1104, ""(?i)twitter|instagram|facebook|linkedin|youtube|tiktok|threads|bluesky|pinterest|social"&amp;" video|reels?|shorts?""), ""Social Media"",
  REGEXMATCH(A1104&amp;B1104, ""(?i)hubspot|pipedrive|stripe|shopify|woocommerce|sales|crm|invoice|order|leads?|recruitment|bamboohr|erpnext""), ""CRM &amp; Sales"",
  REGEXMATCH(A1104&amp;B1104, ""(?i)gmail|outlook|calenda"&amp;"r|slack|discord|telegram|whatsapp|notion|trello|drive|sheets?|meeting|scheduler|appointment|mattermost""), ""Productivity &amp; Communication"",
  REGEXMATCH(A1104&amp;B1104, ""(?i)github|api|webhook|http|mysql|supabase|mongodb|redis|rss|pr|code review|incident|p"&amp;"agerduty|jira""), ""Development &amp; Utilities"",
  TRUE, ""Others""
)"),"AI &amp; LLM")</f>
        <v>AI &amp; LLM</v>
      </c>
    </row>
    <row r="1105" ht="15.75" customHeight="1">
      <c r="A1105" s="14" t="s">
        <v>2189</v>
      </c>
      <c r="B1105" s="15" t="s">
        <v>2190</v>
      </c>
      <c r="C1105" s="16" t="s">
        <v>7</v>
      </c>
      <c r="D1105" s="12" t="str">
        <f>IFERROR(__xludf.DUMMYFUNCTION("IFS(
  REGEXMATCH(A1105&amp;B1105, ""(?i)openai|gpt|gemini|anthropic|claude|mistral|cohere|rag|vector|llm|chatbot|ai-powered""), ""AI &amp; LLM"",
  REGEXMATCH(A1105&amp;B1105, ""(?i)twitter|instagram|facebook|linkedin|youtube|tiktok|threads|bluesky|pinterest|social"&amp;" video|reels?|shorts?""), ""Social Media"",
  REGEXMATCH(A1105&amp;B1105, ""(?i)hubspot|pipedrive|stripe|shopify|woocommerce|sales|crm|invoice|order|leads?|recruitment|bamboohr|erpnext""), ""CRM &amp; Sales"",
  REGEXMATCH(A1105&amp;B1105, ""(?i)gmail|outlook|calenda"&amp;"r|slack|discord|telegram|whatsapp|notion|trello|drive|sheets?|meeting|scheduler|appointment|mattermost""), ""Productivity &amp; Communication"",
  REGEXMATCH(A1105&amp;B1105, ""(?i)github|api|webhook|http|mysql|supabase|mongodb|redis|rss|pr|code review|incident|p"&amp;"agerduty|jira""), ""Development &amp; Utilities"",
  TRUE, ""Others""
)"),"AI &amp; LLM")</f>
        <v>AI &amp; LLM</v>
      </c>
    </row>
    <row r="1106" ht="15.75" customHeight="1">
      <c r="A1106" s="14" t="s">
        <v>2191</v>
      </c>
      <c r="B1106" s="15" t="s">
        <v>2192</v>
      </c>
      <c r="C1106" s="16" t="s">
        <v>7</v>
      </c>
      <c r="D1106" s="12" t="str">
        <f>IFERROR(__xludf.DUMMYFUNCTION("IFS(
  REGEXMATCH(A1106&amp;B1106, ""(?i)openai|gpt|gemini|anthropic|claude|mistral|cohere|rag|vector|llm|chatbot|ai-powered""), ""AI &amp; LLM"",
  REGEXMATCH(A1106&amp;B1106, ""(?i)twitter|instagram|facebook|linkedin|youtube|tiktok|threads|bluesky|pinterest|social"&amp;" video|reels?|shorts?""), ""Social Media"",
  REGEXMATCH(A1106&amp;B1106, ""(?i)hubspot|pipedrive|stripe|shopify|woocommerce|sales|crm|invoice|order|leads?|recruitment|bamboohr|erpnext""), ""CRM &amp; Sales"",
  REGEXMATCH(A1106&amp;B1106, ""(?i)gmail|outlook|calenda"&amp;"r|slack|discord|telegram|whatsapp|notion|trello|drive|sheets?|meeting|scheduler|appointment|mattermost""), ""Productivity &amp; Communication"",
  REGEXMATCH(A1106&amp;B1106, ""(?i)github|api|webhook|http|mysql|supabase|mongodb|redis|rss|pr|code review|incident|p"&amp;"agerduty|jira""), ""Development &amp; Utilities"",
  TRUE, ""Others""
)"),"AI &amp; LLM")</f>
        <v>AI &amp; LLM</v>
      </c>
    </row>
    <row r="1107" ht="15.75" customHeight="1">
      <c r="A1107" s="14" t="s">
        <v>2193</v>
      </c>
      <c r="B1107" s="15" t="s">
        <v>2194</v>
      </c>
      <c r="C1107" s="16" t="s">
        <v>7</v>
      </c>
      <c r="D1107" s="12" t="str">
        <f>IFERROR(__xludf.DUMMYFUNCTION("IFS(
  REGEXMATCH(A1107&amp;B1107, ""(?i)openai|gpt|gemini|anthropic|claude|mistral|cohere|rag|vector|llm|chatbot|ai-powered""), ""AI &amp; LLM"",
  REGEXMATCH(A1107&amp;B1107, ""(?i)twitter|instagram|facebook|linkedin|youtube|tiktok|threads|bluesky|pinterest|social"&amp;" video|reels?|shorts?""), ""Social Media"",
  REGEXMATCH(A1107&amp;B1107, ""(?i)hubspot|pipedrive|stripe|shopify|woocommerce|sales|crm|invoice|order|leads?|recruitment|bamboohr|erpnext""), ""CRM &amp; Sales"",
  REGEXMATCH(A1107&amp;B1107, ""(?i)gmail|outlook|calenda"&amp;"r|slack|discord|telegram|whatsapp|notion|trello|drive|sheets?|meeting|scheduler|appointment|mattermost""), ""Productivity &amp; Communication"",
  REGEXMATCH(A1107&amp;B1107, ""(?i)github|api|webhook|http|mysql|supabase|mongodb|redis|rss|pr|code review|incident|p"&amp;"agerduty|jira""), ""Development &amp; Utilities"",
  TRUE, ""Others""
)"),"AI &amp; LLM")</f>
        <v>AI &amp; LLM</v>
      </c>
    </row>
    <row r="1108" ht="15.75" customHeight="1">
      <c r="A1108" s="14" t="s">
        <v>2195</v>
      </c>
      <c r="B1108" s="15" t="s">
        <v>2196</v>
      </c>
      <c r="C1108" s="16" t="s">
        <v>7</v>
      </c>
      <c r="D1108" s="12" t="str">
        <f>IFERROR(__xludf.DUMMYFUNCTION("IFS(
  REGEXMATCH(A1108&amp;B1108, ""(?i)openai|gpt|gemini|anthropic|claude|mistral|cohere|rag|vector|llm|chatbot|ai-powered""), ""AI &amp; LLM"",
  REGEXMATCH(A1108&amp;B1108, ""(?i)twitter|instagram|facebook|linkedin|youtube|tiktok|threads|bluesky|pinterest|social"&amp;" video|reels?|shorts?""), ""Social Media"",
  REGEXMATCH(A1108&amp;B1108, ""(?i)hubspot|pipedrive|stripe|shopify|woocommerce|sales|crm|invoice|order|leads?|recruitment|bamboohr|erpnext""), ""CRM &amp; Sales"",
  REGEXMATCH(A1108&amp;B1108, ""(?i)gmail|outlook|calenda"&amp;"r|slack|discord|telegram|whatsapp|notion|trello|drive|sheets?|meeting|scheduler|appointment|mattermost""), ""Productivity &amp; Communication"",
  REGEXMATCH(A1108&amp;B1108, ""(?i)github|api|webhook|http|mysql|supabase|mongodb|redis|rss|pr|code review|incident|p"&amp;"agerduty|jira""), ""Development &amp; Utilities"",
  TRUE, ""Others""
)"),"AI &amp; LLM")</f>
        <v>AI &amp; LLM</v>
      </c>
    </row>
    <row r="1109" ht="15.75" customHeight="1">
      <c r="A1109" s="14" t="s">
        <v>2197</v>
      </c>
      <c r="B1109" s="15" t="s">
        <v>2198</v>
      </c>
      <c r="C1109" s="16" t="s">
        <v>7</v>
      </c>
      <c r="D1109" s="12" t="str">
        <f>IFERROR(__xludf.DUMMYFUNCTION("IFS(
  REGEXMATCH(A1109&amp;B1109, ""(?i)openai|gpt|gemini|anthropic|claude|mistral|cohere|rag|vector|llm|chatbot|ai-powered""), ""AI &amp; LLM"",
  REGEXMATCH(A1109&amp;B1109, ""(?i)twitter|instagram|facebook|linkedin|youtube|tiktok|threads|bluesky|pinterest|social"&amp;" video|reels?|shorts?""), ""Social Media"",
  REGEXMATCH(A1109&amp;B1109, ""(?i)hubspot|pipedrive|stripe|shopify|woocommerce|sales|crm|invoice|order|leads?|recruitment|bamboohr|erpnext""), ""CRM &amp; Sales"",
  REGEXMATCH(A1109&amp;B1109, ""(?i)gmail|outlook|calenda"&amp;"r|slack|discord|telegram|whatsapp|notion|trello|drive|sheets?|meeting|scheduler|appointment|mattermost""), ""Productivity &amp; Communication"",
  REGEXMATCH(A1109&amp;B1109, ""(?i)github|api|webhook|http|mysql|supabase|mongodb|redis|rss|pr|code review|incident|p"&amp;"agerduty|jira""), ""Development &amp; Utilities"",
  TRUE, ""Others""
)"),"AI &amp; LLM")</f>
        <v>AI &amp; LLM</v>
      </c>
    </row>
    <row r="1110" ht="15.75" customHeight="1">
      <c r="A1110" s="14" t="s">
        <v>2199</v>
      </c>
      <c r="B1110" s="15" t="s">
        <v>2200</v>
      </c>
      <c r="C1110" s="16" t="s">
        <v>7</v>
      </c>
      <c r="D1110" s="12" t="str">
        <f>IFERROR(__xludf.DUMMYFUNCTION("IFS(
  REGEXMATCH(A1110&amp;B1110, ""(?i)openai|gpt|gemini|anthropic|claude|mistral|cohere|rag|vector|llm|chatbot|ai-powered""), ""AI &amp; LLM"",
  REGEXMATCH(A1110&amp;B1110, ""(?i)twitter|instagram|facebook|linkedin|youtube|tiktok|threads|bluesky|pinterest|social"&amp;" video|reels?|shorts?""), ""Social Media"",
  REGEXMATCH(A1110&amp;B1110, ""(?i)hubspot|pipedrive|stripe|shopify|woocommerce|sales|crm|invoice|order|leads?|recruitment|bamboohr|erpnext""), ""CRM &amp; Sales"",
  REGEXMATCH(A1110&amp;B1110, ""(?i)gmail|outlook|calenda"&amp;"r|slack|discord|telegram|whatsapp|notion|trello|drive|sheets?|meeting|scheduler|appointment|mattermost""), ""Productivity &amp; Communication"",
  REGEXMATCH(A1110&amp;B1110, ""(?i)github|api|webhook|http|mysql|supabase|mongodb|redis|rss|pr|code review|incident|p"&amp;"agerduty|jira""), ""Development &amp; Utilities"",
  TRUE, ""Others""
)"),"Productivity &amp; Communication")</f>
        <v>Productivity &amp; Communication</v>
      </c>
    </row>
    <row r="1111" ht="15.75" customHeight="1">
      <c r="A1111" s="14" t="s">
        <v>2201</v>
      </c>
      <c r="B1111" s="15" t="s">
        <v>2202</v>
      </c>
      <c r="C1111" s="16" t="s">
        <v>7</v>
      </c>
      <c r="D1111" s="12" t="str">
        <f>IFERROR(__xludf.DUMMYFUNCTION("IFS(
  REGEXMATCH(A1111&amp;B1111, ""(?i)openai|gpt|gemini|anthropic|claude|mistral|cohere|rag|vector|llm|chatbot|ai-powered""), ""AI &amp; LLM"",
  REGEXMATCH(A1111&amp;B1111, ""(?i)twitter|instagram|facebook|linkedin|youtube|tiktok|threads|bluesky|pinterest|social"&amp;" video|reels?|shorts?""), ""Social Media"",
  REGEXMATCH(A1111&amp;B1111, ""(?i)hubspot|pipedrive|stripe|shopify|woocommerce|sales|crm|invoice|order|leads?|recruitment|bamboohr|erpnext""), ""CRM &amp; Sales"",
  REGEXMATCH(A1111&amp;B1111, ""(?i)gmail|outlook|calenda"&amp;"r|slack|discord|telegram|whatsapp|notion|trello|drive|sheets?|meeting|scheduler|appointment|mattermost""), ""Productivity &amp; Communication"",
  REGEXMATCH(A1111&amp;B1111, ""(?i)github|api|webhook|http|mysql|supabase|mongodb|redis|rss|pr|code review|incident|p"&amp;"agerduty|jira""), ""Development &amp; Utilities"",
  TRUE, ""Others""
)"),"Social Media")</f>
        <v>Social Media</v>
      </c>
    </row>
    <row r="1112" ht="15.75" customHeight="1">
      <c r="A1112" s="14" t="s">
        <v>2203</v>
      </c>
      <c r="B1112" s="15" t="s">
        <v>2204</v>
      </c>
      <c r="C1112" s="16" t="s">
        <v>7</v>
      </c>
      <c r="D1112" s="12" t="str">
        <f>IFERROR(__xludf.DUMMYFUNCTION("IFS(
  REGEXMATCH(A1112&amp;B1112, ""(?i)openai|gpt|gemini|anthropic|claude|mistral|cohere|rag|vector|llm|chatbot|ai-powered""), ""AI &amp; LLM"",
  REGEXMATCH(A1112&amp;B1112, ""(?i)twitter|instagram|facebook|linkedin|youtube|tiktok|threads|bluesky|pinterest|social"&amp;" video|reels?|shorts?""), ""Social Media"",
  REGEXMATCH(A1112&amp;B1112, ""(?i)hubspot|pipedrive|stripe|shopify|woocommerce|sales|crm|invoice|order|leads?|recruitment|bamboohr|erpnext""), ""CRM &amp; Sales"",
  REGEXMATCH(A1112&amp;B1112, ""(?i)gmail|outlook|calenda"&amp;"r|slack|discord|telegram|whatsapp|notion|trello|drive|sheets?|meeting|scheduler|appointment|mattermost""), ""Productivity &amp; Communication"",
  REGEXMATCH(A1112&amp;B1112, ""(?i)github|api|webhook|http|mysql|supabase|mongodb|redis|rss|pr|code review|incident|p"&amp;"agerduty|jira""), ""Development &amp; Utilities"",
  TRUE, ""Others""
)"),"AI &amp; LLM")</f>
        <v>AI &amp; LLM</v>
      </c>
    </row>
    <row r="1113" ht="15.75" customHeight="1">
      <c r="A1113" s="14" t="s">
        <v>2205</v>
      </c>
      <c r="B1113" s="15" t="s">
        <v>2206</v>
      </c>
      <c r="C1113" s="16" t="s">
        <v>7</v>
      </c>
      <c r="D1113" s="12" t="str">
        <f>IFERROR(__xludf.DUMMYFUNCTION("IFS(
  REGEXMATCH(A1113&amp;B1113, ""(?i)openai|gpt|gemini|anthropic|claude|mistral|cohere|rag|vector|llm|chatbot|ai-powered""), ""AI &amp; LLM"",
  REGEXMATCH(A1113&amp;B1113, ""(?i)twitter|instagram|facebook|linkedin|youtube|tiktok|threads|bluesky|pinterest|social"&amp;" video|reels?|shorts?""), ""Social Media"",
  REGEXMATCH(A1113&amp;B1113, ""(?i)hubspot|pipedrive|stripe|shopify|woocommerce|sales|crm|invoice|order|leads?|recruitment|bamboohr|erpnext""), ""CRM &amp; Sales"",
  REGEXMATCH(A1113&amp;B1113, ""(?i)gmail|outlook|calenda"&amp;"r|slack|discord|telegram|whatsapp|notion|trello|drive|sheets?|meeting|scheduler|appointment|mattermost""), ""Productivity &amp; Communication"",
  REGEXMATCH(A1113&amp;B1113, ""(?i)github|api|webhook|http|mysql|supabase|mongodb|redis|rss|pr|code review|incident|p"&amp;"agerduty|jira""), ""Development &amp; Utilities"",
  TRUE, ""Others""
)"),"AI &amp; LLM")</f>
        <v>AI &amp; LLM</v>
      </c>
    </row>
    <row r="1114" ht="15.75" customHeight="1">
      <c r="A1114" s="14" t="s">
        <v>2207</v>
      </c>
      <c r="B1114" s="15" t="s">
        <v>2208</v>
      </c>
      <c r="C1114" s="16" t="s">
        <v>7</v>
      </c>
      <c r="D1114" s="12" t="str">
        <f>IFERROR(__xludf.DUMMYFUNCTION("IFS(
  REGEXMATCH(A1114&amp;B1114, ""(?i)openai|gpt|gemini|anthropic|claude|mistral|cohere|rag|vector|llm|chatbot|ai-powered""), ""AI &amp; LLM"",
  REGEXMATCH(A1114&amp;B1114, ""(?i)twitter|instagram|facebook|linkedin|youtube|tiktok|threads|bluesky|pinterest|social"&amp;" video|reels?|shorts?""), ""Social Media"",
  REGEXMATCH(A1114&amp;B1114, ""(?i)hubspot|pipedrive|stripe|shopify|woocommerce|sales|crm|invoice|order|leads?|recruitment|bamboohr|erpnext""), ""CRM &amp; Sales"",
  REGEXMATCH(A1114&amp;B1114, ""(?i)gmail|outlook|calenda"&amp;"r|slack|discord|telegram|whatsapp|notion|trello|drive|sheets?|meeting|scheduler|appointment|mattermost""), ""Productivity &amp; Communication"",
  REGEXMATCH(A1114&amp;B1114, ""(?i)github|api|webhook|http|mysql|supabase|mongodb|redis|rss|pr|code review|incident|p"&amp;"agerduty|jira""), ""Development &amp; Utilities"",
  TRUE, ""Others""
)"),"AI &amp; LLM")</f>
        <v>AI &amp; LLM</v>
      </c>
    </row>
    <row r="1115" ht="15.75" customHeight="1">
      <c r="A1115" s="14" t="s">
        <v>2209</v>
      </c>
      <c r="B1115" s="15" t="s">
        <v>2210</v>
      </c>
      <c r="C1115" s="16" t="s">
        <v>7</v>
      </c>
      <c r="D1115" s="12" t="str">
        <f>IFERROR(__xludf.DUMMYFUNCTION("IFS(
  REGEXMATCH(A1115&amp;B1115, ""(?i)openai|gpt|gemini|anthropic|claude|mistral|cohere|rag|vector|llm|chatbot|ai-powered""), ""AI &amp; LLM"",
  REGEXMATCH(A1115&amp;B1115, ""(?i)twitter|instagram|facebook|linkedin|youtube|tiktok|threads|bluesky|pinterest|social"&amp;" video|reels?|shorts?""), ""Social Media"",
  REGEXMATCH(A1115&amp;B1115, ""(?i)hubspot|pipedrive|stripe|shopify|woocommerce|sales|crm|invoice|order|leads?|recruitment|bamboohr|erpnext""), ""CRM &amp; Sales"",
  REGEXMATCH(A1115&amp;B1115, ""(?i)gmail|outlook|calenda"&amp;"r|slack|discord|telegram|whatsapp|notion|trello|drive|sheets?|meeting|scheduler|appointment|mattermost""), ""Productivity &amp; Communication"",
  REGEXMATCH(A1115&amp;B1115, ""(?i)github|api|webhook|http|mysql|supabase|mongodb|redis|rss|pr|code review|incident|p"&amp;"agerduty|jira""), ""Development &amp; Utilities"",
  TRUE, ""Others""
)"),"Productivity &amp; Communication")</f>
        <v>Productivity &amp; Communication</v>
      </c>
    </row>
    <row r="1116" ht="15.75" customHeight="1">
      <c r="A1116" s="14" t="s">
        <v>2211</v>
      </c>
      <c r="B1116" s="15" t="s">
        <v>2212</v>
      </c>
      <c r="C1116" s="16" t="s">
        <v>7</v>
      </c>
      <c r="D1116" s="12" t="str">
        <f>IFERROR(__xludf.DUMMYFUNCTION("IFS(
  REGEXMATCH(A1116&amp;B1116, ""(?i)openai|gpt|gemini|anthropic|claude|mistral|cohere|rag|vector|llm|chatbot|ai-powered""), ""AI &amp; LLM"",
  REGEXMATCH(A1116&amp;B1116, ""(?i)twitter|instagram|facebook|linkedin|youtube|tiktok|threads|bluesky|pinterest|social"&amp;" video|reels?|shorts?""), ""Social Media"",
  REGEXMATCH(A1116&amp;B1116, ""(?i)hubspot|pipedrive|stripe|shopify|woocommerce|sales|crm|invoice|order|leads?|recruitment|bamboohr|erpnext""), ""CRM &amp; Sales"",
  REGEXMATCH(A1116&amp;B1116, ""(?i)gmail|outlook|calenda"&amp;"r|slack|discord|telegram|whatsapp|notion|trello|drive|sheets?|meeting|scheduler|appointment|mattermost""), ""Productivity &amp; Communication"",
  REGEXMATCH(A1116&amp;B1116, ""(?i)github|api|webhook|http|mysql|supabase|mongodb|redis|rss|pr|code review|incident|p"&amp;"agerduty|jira""), ""Development &amp; Utilities"",
  TRUE, ""Others""
)"),"AI &amp; LLM")</f>
        <v>AI &amp; LLM</v>
      </c>
    </row>
    <row r="1117" ht="15.75" customHeight="1">
      <c r="A1117" s="14" t="s">
        <v>2213</v>
      </c>
      <c r="B1117" s="15" t="s">
        <v>2214</v>
      </c>
      <c r="C1117" s="16" t="s">
        <v>7</v>
      </c>
      <c r="D1117" s="12" t="str">
        <f>IFERROR(__xludf.DUMMYFUNCTION("IFS(
  REGEXMATCH(A1117&amp;B1117, ""(?i)openai|gpt|gemini|anthropic|claude|mistral|cohere|rag|vector|llm|chatbot|ai-powered""), ""AI &amp; LLM"",
  REGEXMATCH(A1117&amp;B1117, ""(?i)twitter|instagram|facebook|linkedin|youtube|tiktok|threads|bluesky|pinterest|social"&amp;" video|reels?|shorts?""), ""Social Media"",
  REGEXMATCH(A1117&amp;B1117, ""(?i)hubspot|pipedrive|stripe|shopify|woocommerce|sales|crm|invoice|order|leads?|recruitment|bamboohr|erpnext""), ""CRM &amp; Sales"",
  REGEXMATCH(A1117&amp;B1117, ""(?i)gmail|outlook|calenda"&amp;"r|slack|discord|telegram|whatsapp|notion|trello|drive|sheets?|meeting|scheduler|appointment|mattermost""), ""Productivity &amp; Communication"",
  REGEXMATCH(A1117&amp;B1117, ""(?i)github|api|webhook|http|mysql|supabase|mongodb|redis|rss|pr|code review|incident|p"&amp;"agerduty|jira""), ""Development &amp; Utilities"",
  TRUE, ""Others""
)"),"AI &amp; LLM")</f>
        <v>AI &amp; LLM</v>
      </c>
    </row>
    <row r="1118" ht="15.75" customHeight="1">
      <c r="A1118" s="14" t="s">
        <v>2215</v>
      </c>
      <c r="B1118" s="15" t="s">
        <v>2216</v>
      </c>
      <c r="C1118" s="16" t="s">
        <v>7</v>
      </c>
      <c r="D1118" s="12" t="str">
        <f>IFERROR(__xludf.DUMMYFUNCTION("IFS(
  REGEXMATCH(A1118&amp;B1118, ""(?i)openai|gpt|gemini|anthropic|claude|mistral|cohere|rag|vector|llm|chatbot|ai-powered""), ""AI &amp; LLM"",
  REGEXMATCH(A1118&amp;B1118, ""(?i)twitter|instagram|facebook|linkedin|youtube|tiktok|threads|bluesky|pinterest|social"&amp;" video|reels?|shorts?""), ""Social Media"",
  REGEXMATCH(A1118&amp;B1118, ""(?i)hubspot|pipedrive|stripe|shopify|woocommerce|sales|crm|invoice|order|leads?|recruitment|bamboohr|erpnext""), ""CRM &amp; Sales"",
  REGEXMATCH(A1118&amp;B1118, ""(?i)gmail|outlook|calenda"&amp;"r|slack|discord|telegram|whatsapp|notion|trello|drive|sheets?|meeting|scheduler|appointment|mattermost""), ""Productivity &amp; Communication"",
  REGEXMATCH(A1118&amp;B1118, ""(?i)github|api|webhook|http|mysql|supabase|mongodb|redis|rss|pr|code review|incident|p"&amp;"agerduty|jira""), ""Development &amp; Utilities"",
  TRUE, ""Others""
)"),"Productivity &amp; Communication")</f>
        <v>Productivity &amp; Communication</v>
      </c>
    </row>
    <row r="1119" ht="15.75" customHeight="1">
      <c r="A1119" s="14" t="s">
        <v>2217</v>
      </c>
      <c r="B1119" s="15" t="s">
        <v>2218</v>
      </c>
      <c r="C1119" s="16" t="s">
        <v>7</v>
      </c>
      <c r="D1119" s="12" t="str">
        <f>IFERROR(__xludf.DUMMYFUNCTION("IFS(
  REGEXMATCH(A1119&amp;B1119, ""(?i)openai|gpt|gemini|anthropic|claude|mistral|cohere|rag|vector|llm|chatbot|ai-powered""), ""AI &amp; LLM"",
  REGEXMATCH(A1119&amp;B1119, ""(?i)twitter|instagram|facebook|linkedin|youtube|tiktok|threads|bluesky|pinterest|social"&amp;" video|reels?|shorts?""), ""Social Media"",
  REGEXMATCH(A1119&amp;B1119, ""(?i)hubspot|pipedrive|stripe|shopify|woocommerce|sales|crm|invoice|order|leads?|recruitment|bamboohr|erpnext""), ""CRM &amp; Sales"",
  REGEXMATCH(A1119&amp;B1119, ""(?i)gmail|outlook|calenda"&amp;"r|slack|discord|telegram|whatsapp|notion|trello|drive|sheets?|meeting|scheduler|appointment|mattermost""), ""Productivity &amp; Communication"",
  REGEXMATCH(A1119&amp;B1119, ""(?i)github|api|webhook|http|mysql|supabase|mongodb|redis|rss|pr|code review|incident|p"&amp;"agerduty|jira""), ""Development &amp; Utilities"",
  TRUE, ""Others""
)"),"AI &amp; LLM")</f>
        <v>AI &amp; LLM</v>
      </c>
    </row>
    <row r="1120" ht="15.75" customHeight="1">
      <c r="A1120" s="14" t="s">
        <v>2219</v>
      </c>
      <c r="B1120" s="15" t="s">
        <v>2220</v>
      </c>
      <c r="C1120" s="16" t="s">
        <v>7</v>
      </c>
      <c r="D1120" s="12" t="str">
        <f>IFERROR(__xludf.DUMMYFUNCTION("IFS(
  REGEXMATCH(A1120&amp;B1120, ""(?i)openai|gpt|gemini|anthropic|claude|mistral|cohere|rag|vector|llm|chatbot|ai-powered""), ""AI &amp; LLM"",
  REGEXMATCH(A1120&amp;B1120, ""(?i)twitter|instagram|facebook|linkedin|youtube|tiktok|threads|bluesky|pinterest|social"&amp;" video|reels?|shorts?""), ""Social Media"",
  REGEXMATCH(A1120&amp;B1120, ""(?i)hubspot|pipedrive|stripe|shopify|woocommerce|sales|crm|invoice|order|leads?|recruitment|bamboohr|erpnext""), ""CRM &amp; Sales"",
  REGEXMATCH(A1120&amp;B1120, ""(?i)gmail|outlook|calenda"&amp;"r|slack|discord|telegram|whatsapp|notion|trello|drive|sheets?|meeting|scheduler|appointment|mattermost""), ""Productivity &amp; Communication"",
  REGEXMATCH(A1120&amp;B1120, ""(?i)github|api|webhook|http|mysql|supabase|mongodb|redis|rss|pr|code review|incident|p"&amp;"agerduty|jira""), ""Development &amp; Utilities"",
  TRUE, ""Others""
)"),"Productivity &amp; Communication")</f>
        <v>Productivity &amp; Communication</v>
      </c>
    </row>
    <row r="1121" ht="15.75" customHeight="1">
      <c r="A1121" s="14" t="s">
        <v>2221</v>
      </c>
      <c r="B1121" s="15" t="s">
        <v>2222</v>
      </c>
      <c r="C1121" s="16" t="s">
        <v>7</v>
      </c>
      <c r="D1121" s="12" t="str">
        <f>IFERROR(__xludf.DUMMYFUNCTION("IFS(
  REGEXMATCH(A1121&amp;B1121, ""(?i)openai|gpt|gemini|anthropic|claude|mistral|cohere|rag|vector|llm|chatbot|ai-powered""), ""AI &amp; LLM"",
  REGEXMATCH(A1121&amp;B1121, ""(?i)twitter|instagram|facebook|linkedin|youtube|tiktok|threads|bluesky|pinterest|social"&amp;" video|reels?|shorts?""), ""Social Media"",
  REGEXMATCH(A1121&amp;B1121, ""(?i)hubspot|pipedrive|stripe|shopify|woocommerce|sales|crm|invoice|order|leads?|recruitment|bamboohr|erpnext""), ""CRM &amp; Sales"",
  REGEXMATCH(A1121&amp;B1121, ""(?i)gmail|outlook|calenda"&amp;"r|slack|discord|telegram|whatsapp|notion|trello|drive|sheets?|meeting|scheduler|appointment|mattermost""), ""Productivity &amp; Communication"",
  REGEXMATCH(A1121&amp;B1121, ""(?i)github|api|webhook|http|mysql|supabase|mongodb|redis|rss|pr|code review|incident|p"&amp;"agerduty|jira""), ""Development &amp; Utilities"",
  TRUE, ""Others""
)"),"AI &amp; LLM")</f>
        <v>AI &amp; LLM</v>
      </c>
    </row>
    <row r="1122" ht="15.75" customHeight="1">
      <c r="A1122" s="14" t="s">
        <v>2223</v>
      </c>
      <c r="B1122" s="15" t="s">
        <v>2224</v>
      </c>
      <c r="C1122" s="16" t="s">
        <v>7</v>
      </c>
      <c r="D1122" s="12" t="str">
        <f>IFERROR(__xludf.DUMMYFUNCTION("IFS(
  REGEXMATCH(A1122&amp;B1122, ""(?i)openai|gpt|gemini|anthropic|claude|mistral|cohere|rag|vector|llm|chatbot|ai-powered""), ""AI &amp; LLM"",
  REGEXMATCH(A1122&amp;B1122, ""(?i)twitter|instagram|facebook|linkedin|youtube|tiktok|threads|bluesky|pinterest|social"&amp;" video|reels?|shorts?""), ""Social Media"",
  REGEXMATCH(A1122&amp;B1122, ""(?i)hubspot|pipedrive|stripe|shopify|woocommerce|sales|crm|invoice|order|leads?|recruitment|bamboohr|erpnext""), ""CRM &amp; Sales"",
  REGEXMATCH(A1122&amp;B1122, ""(?i)gmail|outlook|calenda"&amp;"r|slack|discord|telegram|whatsapp|notion|trello|drive|sheets?|meeting|scheduler|appointment|mattermost""), ""Productivity &amp; Communication"",
  REGEXMATCH(A1122&amp;B1122, ""(?i)github|api|webhook|http|mysql|supabase|mongodb|redis|rss|pr|code review|incident|p"&amp;"agerduty|jira""), ""Development &amp; Utilities"",
  TRUE, ""Others""
)"),"AI &amp; LLM")</f>
        <v>AI &amp; LLM</v>
      </c>
    </row>
    <row r="1123" ht="15.75" customHeight="1">
      <c r="A1123" s="14" t="s">
        <v>2225</v>
      </c>
      <c r="B1123" s="15" t="s">
        <v>2226</v>
      </c>
      <c r="C1123" s="16" t="s">
        <v>7</v>
      </c>
      <c r="D1123" s="12" t="str">
        <f>IFERROR(__xludf.DUMMYFUNCTION("IFS(
  REGEXMATCH(A1123&amp;B1123, ""(?i)openai|gpt|gemini|anthropic|claude|mistral|cohere|rag|vector|llm|chatbot|ai-powered""), ""AI &amp; LLM"",
  REGEXMATCH(A1123&amp;B1123, ""(?i)twitter|instagram|facebook|linkedin|youtube|tiktok|threads|bluesky|pinterest|social"&amp;" video|reels?|shorts?""), ""Social Media"",
  REGEXMATCH(A1123&amp;B1123, ""(?i)hubspot|pipedrive|stripe|shopify|woocommerce|sales|crm|invoice|order|leads?|recruitment|bamboohr|erpnext""), ""CRM &amp; Sales"",
  REGEXMATCH(A1123&amp;B1123, ""(?i)gmail|outlook|calenda"&amp;"r|slack|discord|telegram|whatsapp|notion|trello|drive|sheets?|meeting|scheduler|appointment|mattermost""), ""Productivity &amp; Communication"",
  REGEXMATCH(A1123&amp;B1123, ""(?i)github|api|webhook|http|mysql|supabase|mongodb|redis|rss|pr|code review|incident|p"&amp;"agerduty|jira""), ""Development &amp; Utilities"",
  TRUE, ""Others""
)"),"AI &amp; LLM")</f>
        <v>AI &amp; LLM</v>
      </c>
    </row>
    <row r="1124" ht="15.75" customHeight="1">
      <c r="A1124" s="14" t="s">
        <v>2227</v>
      </c>
      <c r="B1124" s="15" t="s">
        <v>2228</v>
      </c>
      <c r="C1124" s="16" t="s">
        <v>7</v>
      </c>
      <c r="D1124" s="12" t="str">
        <f>IFERROR(__xludf.DUMMYFUNCTION("IFS(
  REGEXMATCH(A1124&amp;B1124, ""(?i)openai|gpt|gemini|anthropic|claude|mistral|cohere|rag|vector|llm|chatbot|ai-powered""), ""AI &amp; LLM"",
  REGEXMATCH(A1124&amp;B1124, ""(?i)twitter|instagram|facebook|linkedin|youtube|tiktok|threads|bluesky|pinterest|social"&amp;" video|reels?|shorts?""), ""Social Media"",
  REGEXMATCH(A1124&amp;B1124, ""(?i)hubspot|pipedrive|stripe|shopify|woocommerce|sales|crm|invoice|order|leads?|recruitment|bamboohr|erpnext""), ""CRM &amp; Sales"",
  REGEXMATCH(A1124&amp;B1124, ""(?i)gmail|outlook|calenda"&amp;"r|slack|discord|telegram|whatsapp|notion|trello|drive|sheets?|meeting|scheduler|appointment|mattermost""), ""Productivity &amp; Communication"",
  REGEXMATCH(A1124&amp;B1124, ""(?i)github|api|webhook|http|mysql|supabase|mongodb|redis|rss|pr|code review|incident|p"&amp;"agerduty|jira""), ""Development &amp; Utilities"",
  TRUE, ""Others""
)"),"AI &amp; LLM")</f>
        <v>AI &amp; LLM</v>
      </c>
    </row>
    <row r="1125" ht="15.75" customHeight="1">
      <c r="A1125" s="14" t="s">
        <v>2229</v>
      </c>
      <c r="B1125" s="15" t="s">
        <v>2230</v>
      </c>
      <c r="C1125" s="16" t="s">
        <v>7</v>
      </c>
      <c r="D1125" s="12" t="str">
        <f>IFERROR(__xludf.DUMMYFUNCTION("IFS(
  REGEXMATCH(A1125&amp;B1125, ""(?i)openai|gpt|gemini|anthropic|claude|mistral|cohere|rag|vector|llm|chatbot|ai-powered""), ""AI &amp; LLM"",
  REGEXMATCH(A1125&amp;B1125, ""(?i)twitter|instagram|facebook|linkedin|youtube|tiktok|threads|bluesky|pinterest|social"&amp;" video|reels?|shorts?""), ""Social Media"",
  REGEXMATCH(A1125&amp;B1125, ""(?i)hubspot|pipedrive|stripe|shopify|woocommerce|sales|crm|invoice|order|leads?|recruitment|bamboohr|erpnext""), ""CRM &amp; Sales"",
  REGEXMATCH(A1125&amp;B1125, ""(?i)gmail|outlook|calenda"&amp;"r|slack|discord|telegram|whatsapp|notion|trello|drive|sheets?|meeting|scheduler|appointment|mattermost""), ""Productivity &amp; Communication"",
  REGEXMATCH(A1125&amp;B1125, ""(?i)github|api|webhook|http|mysql|supabase|mongodb|redis|rss|pr|code review|incident|p"&amp;"agerduty|jira""), ""Development &amp; Utilities"",
  TRUE, ""Others""
)"),"Productivity &amp; Communication")</f>
        <v>Productivity &amp; Communication</v>
      </c>
    </row>
    <row r="1126" ht="15.75" customHeight="1">
      <c r="A1126" s="14" t="s">
        <v>2231</v>
      </c>
      <c r="B1126" s="15" t="s">
        <v>2232</v>
      </c>
      <c r="C1126" s="16" t="s">
        <v>7</v>
      </c>
      <c r="D1126" s="12" t="str">
        <f>IFERROR(__xludf.DUMMYFUNCTION("IFS(
  REGEXMATCH(A1126&amp;B1126, ""(?i)openai|gpt|gemini|anthropic|claude|mistral|cohere|rag|vector|llm|chatbot|ai-powered""), ""AI &amp; LLM"",
  REGEXMATCH(A1126&amp;B1126, ""(?i)twitter|instagram|facebook|linkedin|youtube|tiktok|threads|bluesky|pinterest|social"&amp;" video|reels?|shorts?""), ""Social Media"",
  REGEXMATCH(A1126&amp;B1126, ""(?i)hubspot|pipedrive|stripe|shopify|woocommerce|sales|crm|invoice|order|leads?|recruitment|bamboohr|erpnext""), ""CRM &amp; Sales"",
  REGEXMATCH(A1126&amp;B1126, ""(?i)gmail|outlook|calenda"&amp;"r|slack|discord|telegram|whatsapp|notion|trello|drive|sheets?|meeting|scheduler|appointment|mattermost""), ""Productivity &amp; Communication"",
  REGEXMATCH(A1126&amp;B1126, ""(?i)github|api|webhook|http|mysql|supabase|mongodb|redis|rss|pr|code review|incident|p"&amp;"agerduty|jira""), ""Development &amp; Utilities"",
  TRUE, ""Others""
)"),"AI &amp; LLM")</f>
        <v>AI &amp; LLM</v>
      </c>
    </row>
    <row r="1127" ht="15.75" customHeight="1">
      <c r="A1127" s="14" t="s">
        <v>2233</v>
      </c>
      <c r="B1127" s="15" t="s">
        <v>2234</v>
      </c>
      <c r="C1127" s="16" t="s">
        <v>7</v>
      </c>
      <c r="D1127" s="12" t="str">
        <f>IFERROR(__xludf.DUMMYFUNCTION("IFS(
  REGEXMATCH(A1127&amp;B1127, ""(?i)openai|gpt|gemini|anthropic|claude|mistral|cohere|rag|vector|llm|chatbot|ai-powered""), ""AI &amp; LLM"",
  REGEXMATCH(A1127&amp;B1127, ""(?i)twitter|instagram|facebook|linkedin|youtube|tiktok|threads|bluesky|pinterest|social"&amp;" video|reels?|shorts?""), ""Social Media"",
  REGEXMATCH(A1127&amp;B1127, ""(?i)hubspot|pipedrive|stripe|shopify|woocommerce|sales|crm|invoice|order|leads?|recruitment|bamboohr|erpnext""), ""CRM &amp; Sales"",
  REGEXMATCH(A1127&amp;B1127, ""(?i)gmail|outlook|calenda"&amp;"r|slack|discord|telegram|whatsapp|notion|trello|drive|sheets?|meeting|scheduler|appointment|mattermost""), ""Productivity &amp; Communication"",
  REGEXMATCH(A1127&amp;B1127, ""(?i)github|api|webhook|http|mysql|supabase|mongodb|redis|rss|pr|code review|incident|p"&amp;"agerduty|jira""), ""Development &amp; Utilities"",
  TRUE, ""Others""
)"),"AI &amp; LLM")</f>
        <v>AI &amp; LLM</v>
      </c>
    </row>
    <row r="1128" ht="15.75" customHeight="1">
      <c r="A1128" s="14" t="s">
        <v>2235</v>
      </c>
      <c r="B1128" s="15" t="s">
        <v>2236</v>
      </c>
      <c r="C1128" s="16" t="s">
        <v>7</v>
      </c>
      <c r="D1128" s="12" t="str">
        <f>IFERROR(__xludf.DUMMYFUNCTION("IFS(
  REGEXMATCH(A1128&amp;B1128, ""(?i)openai|gpt|gemini|anthropic|claude|mistral|cohere|rag|vector|llm|chatbot|ai-powered""), ""AI &amp; LLM"",
  REGEXMATCH(A1128&amp;B1128, ""(?i)twitter|instagram|facebook|linkedin|youtube|tiktok|threads|bluesky|pinterest|social"&amp;" video|reels?|shorts?""), ""Social Media"",
  REGEXMATCH(A1128&amp;B1128, ""(?i)hubspot|pipedrive|stripe|shopify|woocommerce|sales|crm|invoice|order|leads?|recruitment|bamboohr|erpnext""), ""CRM &amp; Sales"",
  REGEXMATCH(A1128&amp;B1128, ""(?i)gmail|outlook|calenda"&amp;"r|slack|discord|telegram|whatsapp|notion|trello|drive|sheets?|meeting|scheduler|appointment|mattermost""), ""Productivity &amp; Communication"",
  REGEXMATCH(A1128&amp;B1128, ""(?i)github|api|webhook|http|mysql|supabase|mongodb|redis|rss|pr|code review|incident|p"&amp;"agerduty|jira""), ""Development &amp; Utilities"",
  TRUE, ""Others""
)"),"AI &amp; LLM")</f>
        <v>AI &amp; LLM</v>
      </c>
    </row>
    <row r="1129" ht="15.75" customHeight="1">
      <c r="A1129" s="14" t="s">
        <v>2237</v>
      </c>
      <c r="B1129" s="15" t="s">
        <v>2238</v>
      </c>
      <c r="C1129" s="16" t="s">
        <v>7</v>
      </c>
      <c r="D1129" s="12" t="str">
        <f>IFERROR(__xludf.DUMMYFUNCTION("IFS(
  REGEXMATCH(A1129&amp;B1129, ""(?i)openai|gpt|gemini|anthropic|claude|mistral|cohere|rag|vector|llm|chatbot|ai-powered""), ""AI &amp; LLM"",
  REGEXMATCH(A1129&amp;B1129, ""(?i)twitter|instagram|facebook|linkedin|youtube|tiktok|threads|bluesky|pinterest|social"&amp;" video|reels?|shorts?""), ""Social Media"",
  REGEXMATCH(A1129&amp;B1129, ""(?i)hubspot|pipedrive|stripe|shopify|woocommerce|sales|crm|invoice|order|leads?|recruitment|bamboohr|erpnext""), ""CRM &amp; Sales"",
  REGEXMATCH(A1129&amp;B1129, ""(?i)gmail|outlook|calenda"&amp;"r|slack|discord|telegram|whatsapp|notion|trello|drive|sheets?|meeting|scheduler|appointment|mattermost""), ""Productivity &amp; Communication"",
  REGEXMATCH(A1129&amp;B1129, ""(?i)github|api|webhook|http|mysql|supabase|mongodb|redis|rss|pr|code review|incident|p"&amp;"agerduty|jira""), ""Development &amp; Utilities"",
  TRUE, ""Others""
)"),"Development &amp; Utilities")</f>
        <v>Development &amp; Utilities</v>
      </c>
    </row>
    <row r="1130" ht="15.75" customHeight="1">
      <c r="A1130" s="14" t="s">
        <v>2239</v>
      </c>
      <c r="B1130" s="15" t="s">
        <v>2240</v>
      </c>
      <c r="C1130" s="16" t="s">
        <v>7</v>
      </c>
      <c r="D1130" s="12" t="str">
        <f>IFERROR(__xludf.DUMMYFUNCTION("IFS(
  REGEXMATCH(A1130&amp;B1130, ""(?i)openai|gpt|gemini|anthropic|claude|mistral|cohere|rag|vector|llm|chatbot|ai-powered""), ""AI &amp; LLM"",
  REGEXMATCH(A1130&amp;B1130, ""(?i)twitter|instagram|facebook|linkedin|youtube|tiktok|threads|bluesky|pinterest|social"&amp;" video|reels?|shorts?""), ""Social Media"",
  REGEXMATCH(A1130&amp;B1130, ""(?i)hubspot|pipedrive|stripe|shopify|woocommerce|sales|crm|invoice|order|leads?|recruitment|bamboohr|erpnext""), ""CRM &amp; Sales"",
  REGEXMATCH(A1130&amp;B1130, ""(?i)gmail|outlook|calenda"&amp;"r|slack|discord|telegram|whatsapp|notion|trello|drive|sheets?|meeting|scheduler|appointment|mattermost""), ""Productivity &amp; Communication"",
  REGEXMATCH(A1130&amp;B1130, ""(?i)github|api|webhook|http|mysql|supabase|mongodb|redis|rss|pr|code review|incident|p"&amp;"agerduty|jira""), ""Development &amp; Utilities"",
  TRUE, ""Others""
)"),"AI &amp; LLM")</f>
        <v>AI &amp; LLM</v>
      </c>
    </row>
    <row r="1131" ht="15.75" customHeight="1">
      <c r="A1131" s="14" t="s">
        <v>2241</v>
      </c>
      <c r="B1131" s="15" t="s">
        <v>2242</v>
      </c>
      <c r="C1131" s="16" t="s">
        <v>7</v>
      </c>
      <c r="D1131" s="12" t="str">
        <f>IFERROR(__xludf.DUMMYFUNCTION("IFS(
  REGEXMATCH(A1131&amp;B1131, ""(?i)openai|gpt|gemini|anthropic|claude|mistral|cohere|rag|vector|llm|chatbot|ai-powered""), ""AI &amp; LLM"",
  REGEXMATCH(A1131&amp;B1131, ""(?i)twitter|instagram|facebook|linkedin|youtube|tiktok|threads|bluesky|pinterest|social"&amp;" video|reels?|shorts?""), ""Social Media"",
  REGEXMATCH(A1131&amp;B1131, ""(?i)hubspot|pipedrive|stripe|shopify|woocommerce|sales|crm|invoice|order|leads?|recruitment|bamboohr|erpnext""), ""CRM &amp; Sales"",
  REGEXMATCH(A1131&amp;B1131, ""(?i)gmail|outlook|calenda"&amp;"r|slack|discord|telegram|whatsapp|notion|trello|drive|sheets?|meeting|scheduler|appointment|mattermost""), ""Productivity &amp; Communication"",
  REGEXMATCH(A1131&amp;B1131, ""(?i)github|api|webhook|http|mysql|supabase|mongodb|redis|rss|pr|code review|incident|p"&amp;"agerduty|jira""), ""Development &amp; Utilities"",
  TRUE, ""Others""
)"),"AI &amp; LLM")</f>
        <v>AI &amp; LLM</v>
      </c>
    </row>
    <row r="1132" ht="15.75" customHeight="1">
      <c r="A1132" s="14" t="s">
        <v>2243</v>
      </c>
      <c r="B1132" s="15" t="s">
        <v>2244</v>
      </c>
      <c r="C1132" s="16" t="s">
        <v>7</v>
      </c>
      <c r="D1132" s="12" t="str">
        <f>IFERROR(__xludf.DUMMYFUNCTION("IFS(
  REGEXMATCH(A1132&amp;B1132, ""(?i)openai|gpt|gemini|anthropic|claude|mistral|cohere|rag|vector|llm|chatbot|ai-powered""), ""AI &amp; LLM"",
  REGEXMATCH(A1132&amp;B1132, ""(?i)twitter|instagram|facebook|linkedin|youtube|tiktok|threads|bluesky|pinterest|social"&amp;" video|reels?|shorts?""), ""Social Media"",
  REGEXMATCH(A1132&amp;B1132, ""(?i)hubspot|pipedrive|stripe|shopify|woocommerce|sales|crm|invoice|order|leads?|recruitment|bamboohr|erpnext""), ""CRM &amp; Sales"",
  REGEXMATCH(A1132&amp;B1132, ""(?i)gmail|outlook|calenda"&amp;"r|slack|discord|telegram|whatsapp|notion|trello|drive|sheets?|meeting|scheduler|appointment|mattermost""), ""Productivity &amp; Communication"",
  REGEXMATCH(A1132&amp;B1132, ""(?i)github|api|webhook|http|mysql|supabase|mongodb|redis|rss|pr|code review|incident|p"&amp;"agerduty|jira""), ""Development &amp; Utilities"",
  TRUE, ""Others""
)"),"Productivity &amp; Communication")</f>
        <v>Productivity &amp; Communication</v>
      </c>
    </row>
    <row r="1133" ht="15.75" customHeight="1">
      <c r="A1133" s="14" t="s">
        <v>2245</v>
      </c>
      <c r="B1133" s="15" t="s">
        <v>2246</v>
      </c>
      <c r="C1133" s="16" t="s">
        <v>7</v>
      </c>
      <c r="D1133" s="12" t="str">
        <f>IFERROR(__xludf.DUMMYFUNCTION("IFS(
  REGEXMATCH(A1133&amp;B1133, ""(?i)openai|gpt|gemini|anthropic|claude|mistral|cohere|rag|vector|llm|chatbot|ai-powered""), ""AI &amp; LLM"",
  REGEXMATCH(A1133&amp;B1133, ""(?i)twitter|instagram|facebook|linkedin|youtube|tiktok|threads|bluesky|pinterest|social"&amp;" video|reels?|shorts?""), ""Social Media"",
  REGEXMATCH(A1133&amp;B1133, ""(?i)hubspot|pipedrive|stripe|shopify|woocommerce|sales|crm|invoice|order|leads?|recruitment|bamboohr|erpnext""), ""CRM &amp; Sales"",
  REGEXMATCH(A1133&amp;B1133, ""(?i)gmail|outlook|calenda"&amp;"r|slack|discord|telegram|whatsapp|notion|trello|drive|sheets?|meeting|scheduler|appointment|mattermost""), ""Productivity &amp; Communication"",
  REGEXMATCH(A1133&amp;B1133, ""(?i)github|api|webhook|http|mysql|supabase|mongodb|redis|rss|pr|code review|incident|p"&amp;"agerduty|jira""), ""Development &amp; Utilities"",
  TRUE, ""Others""
)"),"AI &amp; LLM")</f>
        <v>AI &amp; LLM</v>
      </c>
    </row>
    <row r="1134" ht="15.75" customHeight="1">
      <c r="A1134" s="14" t="s">
        <v>2247</v>
      </c>
      <c r="B1134" s="15" t="s">
        <v>2248</v>
      </c>
      <c r="C1134" s="16" t="s">
        <v>7</v>
      </c>
      <c r="D1134" s="12" t="str">
        <f>IFERROR(__xludf.DUMMYFUNCTION("IFS(
  REGEXMATCH(A1134&amp;B1134, ""(?i)openai|gpt|gemini|anthropic|claude|mistral|cohere|rag|vector|llm|chatbot|ai-powered""), ""AI &amp; LLM"",
  REGEXMATCH(A1134&amp;B1134, ""(?i)twitter|instagram|facebook|linkedin|youtube|tiktok|threads|bluesky|pinterest|social"&amp;" video|reels?|shorts?""), ""Social Media"",
  REGEXMATCH(A1134&amp;B1134, ""(?i)hubspot|pipedrive|stripe|shopify|woocommerce|sales|crm|invoice|order|leads?|recruitment|bamboohr|erpnext""), ""CRM &amp; Sales"",
  REGEXMATCH(A1134&amp;B1134, ""(?i)gmail|outlook|calenda"&amp;"r|slack|discord|telegram|whatsapp|notion|trello|drive|sheets?|meeting|scheduler|appointment|mattermost""), ""Productivity &amp; Communication"",
  REGEXMATCH(A1134&amp;B1134, ""(?i)github|api|webhook|http|mysql|supabase|mongodb|redis|rss|pr|code review|incident|p"&amp;"agerduty|jira""), ""Development &amp; Utilities"",
  TRUE, ""Others""
)"),"AI &amp; LLM")</f>
        <v>AI &amp; LLM</v>
      </c>
    </row>
    <row r="1135" ht="15.75" customHeight="1">
      <c r="A1135" s="14" t="s">
        <v>2249</v>
      </c>
      <c r="B1135" s="15" t="s">
        <v>2250</v>
      </c>
      <c r="C1135" s="16" t="s">
        <v>7</v>
      </c>
      <c r="D1135" s="12" t="str">
        <f>IFERROR(__xludf.DUMMYFUNCTION("IFS(
  REGEXMATCH(A1135&amp;B1135, ""(?i)openai|gpt|gemini|anthropic|claude|mistral|cohere|rag|vector|llm|chatbot|ai-powered""), ""AI &amp; LLM"",
  REGEXMATCH(A1135&amp;B1135, ""(?i)twitter|instagram|facebook|linkedin|youtube|tiktok|threads|bluesky|pinterest|social"&amp;" video|reels?|shorts?""), ""Social Media"",
  REGEXMATCH(A1135&amp;B1135, ""(?i)hubspot|pipedrive|stripe|shopify|woocommerce|sales|crm|invoice|order|leads?|recruitment|bamboohr|erpnext""), ""CRM &amp; Sales"",
  REGEXMATCH(A1135&amp;B1135, ""(?i)gmail|outlook|calenda"&amp;"r|slack|discord|telegram|whatsapp|notion|trello|drive|sheets?|meeting|scheduler|appointment|mattermost""), ""Productivity &amp; Communication"",
  REGEXMATCH(A1135&amp;B1135, ""(?i)github|api|webhook|http|mysql|supabase|mongodb|redis|rss|pr|code review|incident|p"&amp;"agerduty|jira""), ""Development &amp; Utilities"",
  TRUE, ""Others""
)"),"AI &amp; LLM")</f>
        <v>AI &amp; LLM</v>
      </c>
    </row>
    <row r="1136" ht="15.75" customHeight="1">
      <c r="A1136" s="14" t="s">
        <v>2251</v>
      </c>
      <c r="B1136" s="15" t="s">
        <v>2252</v>
      </c>
      <c r="C1136" s="16" t="s">
        <v>7</v>
      </c>
      <c r="D1136" s="12" t="str">
        <f>IFERROR(__xludf.DUMMYFUNCTION("IFS(
  REGEXMATCH(A1136&amp;B1136, ""(?i)openai|gpt|gemini|anthropic|claude|mistral|cohere|rag|vector|llm|chatbot|ai-powered""), ""AI &amp; LLM"",
  REGEXMATCH(A1136&amp;B1136, ""(?i)twitter|instagram|facebook|linkedin|youtube|tiktok|threads|bluesky|pinterest|social"&amp;" video|reels?|shorts?""), ""Social Media"",
  REGEXMATCH(A1136&amp;B1136, ""(?i)hubspot|pipedrive|stripe|shopify|woocommerce|sales|crm|invoice|order|leads?|recruitment|bamboohr|erpnext""), ""CRM &amp; Sales"",
  REGEXMATCH(A1136&amp;B1136, ""(?i)gmail|outlook|calenda"&amp;"r|slack|discord|telegram|whatsapp|notion|trello|drive|sheets?|meeting|scheduler|appointment|mattermost""), ""Productivity &amp; Communication"",
  REGEXMATCH(A1136&amp;B1136, ""(?i)github|api|webhook|http|mysql|supabase|mongodb|redis|rss|pr|code review|incident|p"&amp;"agerduty|jira""), ""Development &amp; Utilities"",
  TRUE, ""Others""
)"),"AI &amp; LLM")</f>
        <v>AI &amp; LLM</v>
      </c>
    </row>
    <row r="1137" ht="15.75" customHeight="1">
      <c r="A1137" s="14" t="s">
        <v>2253</v>
      </c>
      <c r="B1137" s="15" t="s">
        <v>2254</v>
      </c>
      <c r="C1137" s="16" t="s">
        <v>7</v>
      </c>
      <c r="D1137" s="12" t="str">
        <f>IFERROR(__xludf.DUMMYFUNCTION("IFS(
  REGEXMATCH(A1137&amp;B1137, ""(?i)openai|gpt|gemini|anthropic|claude|mistral|cohere|rag|vector|llm|chatbot|ai-powered""), ""AI &amp; LLM"",
  REGEXMATCH(A1137&amp;B1137, ""(?i)twitter|instagram|facebook|linkedin|youtube|tiktok|threads|bluesky|pinterest|social"&amp;" video|reels?|shorts?""), ""Social Media"",
  REGEXMATCH(A1137&amp;B1137, ""(?i)hubspot|pipedrive|stripe|shopify|woocommerce|sales|crm|invoice|order|leads?|recruitment|bamboohr|erpnext""), ""CRM &amp; Sales"",
  REGEXMATCH(A1137&amp;B1137, ""(?i)gmail|outlook|calenda"&amp;"r|slack|discord|telegram|whatsapp|notion|trello|drive|sheets?|meeting|scheduler|appointment|mattermost""), ""Productivity &amp; Communication"",
  REGEXMATCH(A1137&amp;B1137, ""(?i)github|api|webhook|http|mysql|supabase|mongodb|redis|rss|pr|code review|incident|p"&amp;"agerduty|jira""), ""Development &amp; Utilities"",
  TRUE, ""Others""
)"),"Productivity &amp; Communication")</f>
        <v>Productivity &amp; Communication</v>
      </c>
    </row>
    <row r="1138" ht="15.75" customHeight="1">
      <c r="A1138" s="14" t="s">
        <v>2255</v>
      </c>
      <c r="B1138" s="15" t="s">
        <v>2256</v>
      </c>
      <c r="C1138" s="16" t="s">
        <v>7</v>
      </c>
      <c r="D1138" s="12" t="str">
        <f>IFERROR(__xludf.DUMMYFUNCTION("IFS(
  REGEXMATCH(A1138&amp;B1138, ""(?i)openai|gpt|gemini|anthropic|claude|mistral|cohere|rag|vector|llm|chatbot|ai-powered""), ""AI &amp; LLM"",
  REGEXMATCH(A1138&amp;B1138, ""(?i)twitter|instagram|facebook|linkedin|youtube|tiktok|threads|bluesky|pinterest|social"&amp;" video|reels?|shorts?""), ""Social Media"",
  REGEXMATCH(A1138&amp;B1138, ""(?i)hubspot|pipedrive|stripe|shopify|woocommerce|sales|crm|invoice|order|leads?|recruitment|bamboohr|erpnext""), ""CRM &amp; Sales"",
  REGEXMATCH(A1138&amp;B1138, ""(?i)gmail|outlook|calenda"&amp;"r|slack|discord|telegram|whatsapp|notion|trello|drive|sheets?|meeting|scheduler|appointment|mattermost""), ""Productivity &amp; Communication"",
  REGEXMATCH(A1138&amp;B1138, ""(?i)github|api|webhook|http|mysql|supabase|mongodb|redis|rss|pr|code review|incident|p"&amp;"agerduty|jira""), ""Development &amp; Utilities"",
  TRUE, ""Others""
)"),"CRM &amp; Sales")</f>
        <v>CRM &amp; Sales</v>
      </c>
    </row>
    <row r="1139" ht="15.75" customHeight="1">
      <c r="A1139" s="14" t="s">
        <v>2257</v>
      </c>
      <c r="B1139" s="15" t="s">
        <v>2258</v>
      </c>
      <c r="C1139" s="16" t="s">
        <v>7</v>
      </c>
      <c r="D1139" s="12" t="str">
        <f>IFERROR(__xludf.DUMMYFUNCTION("IFS(
  REGEXMATCH(A1139&amp;B1139, ""(?i)openai|gpt|gemini|anthropic|claude|mistral|cohere|rag|vector|llm|chatbot|ai-powered""), ""AI &amp; LLM"",
  REGEXMATCH(A1139&amp;B1139, ""(?i)twitter|instagram|facebook|linkedin|youtube|tiktok|threads|bluesky|pinterest|social"&amp;" video|reels?|shorts?""), ""Social Media"",
  REGEXMATCH(A1139&amp;B1139, ""(?i)hubspot|pipedrive|stripe|shopify|woocommerce|sales|crm|invoice|order|leads?|recruitment|bamboohr|erpnext""), ""CRM &amp; Sales"",
  REGEXMATCH(A1139&amp;B1139, ""(?i)gmail|outlook|calenda"&amp;"r|slack|discord|telegram|whatsapp|notion|trello|drive|sheets?|meeting|scheduler|appointment|mattermost""), ""Productivity &amp; Communication"",
  REGEXMATCH(A1139&amp;B1139, ""(?i)github|api|webhook|http|mysql|supabase|mongodb|redis|rss|pr|code review|incident|p"&amp;"agerduty|jira""), ""Development &amp; Utilities"",
  TRUE, ""Others""
)"),"Productivity &amp; Communication")</f>
        <v>Productivity &amp; Communication</v>
      </c>
    </row>
    <row r="1140" ht="15.75" customHeight="1">
      <c r="A1140" s="14" t="s">
        <v>2259</v>
      </c>
      <c r="B1140" s="15" t="s">
        <v>2260</v>
      </c>
      <c r="C1140" s="16" t="s">
        <v>7</v>
      </c>
      <c r="D1140" s="12" t="str">
        <f>IFERROR(__xludf.DUMMYFUNCTION("IFS(
  REGEXMATCH(A1140&amp;B1140, ""(?i)openai|gpt|gemini|anthropic|claude|mistral|cohere|rag|vector|llm|chatbot|ai-powered""), ""AI &amp; LLM"",
  REGEXMATCH(A1140&amp;B1140, ""(?i)twitter|instagram|facebook|linkedin|youtube|tiktok|threads|bluesky|pinterest|social"&amp;" video|reels?|shorts?""), ""Social Media"",
  REGEXMATCH(A1140&amp;B1140, ""(?i)hubspot|pipedrive|stripe|shopify|woocommerce|sales|crm|invoice|order|leads?|recruitment|bamboohr|erpnext""), ""CRM &amp; Sales"",
  REGEXMATCH(A1140&amp;B1140, ""(?i)gmail|outlook|calenda"&amp;"r|slack|discord|telegram|whatsapp|notion|trello|drive|sheets?|meeting|scheduler|appointment|mattermost""), ""Productivity &amp; Communication"",
  REGEXMATCH(A1140&amp;B1140, ""(?i)github|api|webhook|http|mysql|supabase|mongodb|redis|rss|pr|code review|incident|p"&amp;"agerduty|jira""), ""Development &amp; Utilities"",
  TRUE, ""Others""
)"),"AI &amp; LLM")</f>
        <v>AI &amp; LLM</v>
      </c>
    </row>
    <row r="1141" ht="15.75" customHeight="1">
      <c r="A1141" s="14" t="s">
        <v>2261</v>
      </c>
      <c r="B1141" s="15" t="s">
        <v>2262</v>
      </c>
      <c r="C1141" s="16" t="s">
        <v>7</v>
      </c>
      <c r="D1141" s="12" t="str">
        <f>IFERROR(__xludf.DUMMYFUNCTION("IFS(
  REGEXMATCH(A1141&amp;B1141, ""(?i)openai|gpt|gemini|anthropic|claude|mistral|cohere|rag|vector|llm|chatbot|ai-powered""), ""AI &amp; LLM"",
  REGEXMATCH(A1141&amp;B1141, ""(?i)twitter|instagram|facebook|linkedin|youtube|tiktok|threads|bluesky|pinterest|social"&amp;" video|reels?|shorts?""), ""Social Media"",
  REGEXMATCH(A1141&amp;B1141, ""(?i)hubspot|pipedrive|stripe|shopify|woocommerce|sales|crm|invoice|order|leads?|recruitment|bamboohr|erpnext""), ""CRM &amp; Sales"",
  REGEXMATCH(A1141&amp;B1141, ""(?i)gmail|outlook|calenda"&amp;"r|slack|discord|telegram|whatsapp|notion|trello|drive|sheets?|meeting|scheduler|appointment|mattermost""), ""Productivity &amp; Communication"",
  REGEXMATCH(A1141&amp;B1141, ""(?i)github|api|webhook|http|mysql|supabase|mongodb|redis|rss|pr|code review|incident|p"&amp;"agerduty|jira""), ""Development &amp; Utilities"",
  TRUE, ""Others""
)"),"AI &amp; LLM")</f>
        <v>AI &amp; LLM</v>
      </c>
    </row>
    <row r="1142" ht="15.75" customHeight="1">
      <c r="A1142" s="14" t="s">
        <v>2263</v>
      </c>
      <c r="B1142" s="15" t="s">
        <v>2264</v>
      </c>
      <c r="C1142" s="16" t="s">
        <v>7</v>
      </c>
      <c r="D1142" s="12" t="str">
        <f>IFERROR(__xludf.DUMMYFUNCTION("IFS(
  REGEXMATCH(A1142&amp;B1142, ""(?i)openai|gpt|gemini|anthropic|claude|mistral|cohere|rag|vector|llm|chatbot|ai-powered""), ""AI &amp; LLM"",
  REGEXMATCH(A1142&amp;B1142, ""(?i)twitter|instagram|facebook|linkedin|youtube|tiktok|threads|bluesky|pinterest|social"&amp;" video|reels?|shorts?""), ""Social Media"",
  REGEXMATCH(A1142&amp;B1142, ""(?i)hubspot|pipedrive|stripe|shopify|woocommerce|sales|crm|invoice|order|leads?|recruitment|bamboohr|erpnext""), ""CRM &amp; Sales"",
  REGEXMATCH(A1142&amp;B1142, ""(?i)gmail|outlook|calenda"&amp;"r|slack|discord|telegram|whatsapp|notion|trello|drive|sheets?|meeting|scheduler|appointment|mattermost""), ""Productivity &amp; Communication"",
  REGEXMATCH(A1142&amp;B1142, ""(?i)github|api|webhook|http|mysql|supabase|mongodb|redis|rss|pr|code review|incident|p"&amp;"agerduty|jira""), ""Development &amp; Utilities"",
  TRUE, ""Others""
)"),"Social Media")</f>
        <v>Social Media</v>
      </c>
    </row>
    <row r="1143" ht="15.75" customHeight="1">
      <c r="A1143" s="14" t="s">
        <v>2265</v>
      </c>
      <c r="B1143" s="15" t="s">
        <v>2266</v>
      </c>
      <c r="C1143" s="16" t="s">
        <v>7</v>
      </c>
      <c r="D1143" s="12" t="str">
        <f>IFERROR(__xludf.DUMMYFUNCTION("IFS(
  REGEXMATCH(A1143&amp;B1143, ""(?i)openai|gpt|gemini|anthropic|claude|mistral|cohere|rag|vector|llm|chatbot|ai-powered""), ""AI &amp; LLM"",
  REGEXMATCH(A1143&amp;B1143, ""(?i)twitter|instagram|facebook|linkedin|youtube|tiktok|threads|bluesky|pinterest|social"&amp;" video|reels?|shorts?""), ""Social Media"",
  REGEXMATCH(A1143&amp;B1143, ""(?i)hubspot|pipedrive|stripe|shopify|woocommerce|sales|crm|invoice|order|leads?|recruitment|bamboohr|erpnext""), ""CRM &amp; Sales"",
  REGEXMATCH(A1143&amp;B1143, ""(?i)gmail|outlook|calenda"&amp;"r|slack|discord|telegram|whatsapp|notion|trello|drive|sheets?|meeting|scheduler|appointment|mattermost""), ""Productivity &amp; Communication"",
  REGEXMATCH(A1143&amp;B1143, ""(?i)github|api|webhook|http|mysql|supabase|mongodb|redis|rss|pr|code review|incident|p"&amp;"agerduty|jira""), ""Development &amp; Utilities"",
  TRUE, ""Others""
)"),"AI &amp; LLM")</f>
        <v>AI &amp; LLM</v>
      </c>
    </row>
    <row r="1144" ht="15.75" customHeight="1">
      <c r="A1144" s="14" t="s">
        <v>2267</v>
      </c>
      <c r="B1144" s="15" t="s">
        <v>2268</v>
      </c>
      <c r="C1144" s="16" t="s">
        <v>7</v>
      </c>
      <c r="D1144" s="12" t="str">
        <f>IFERROR(__xludf.DUMMYFUNCTION("IFS(
  REGEXMATCH(A1144&amp;B1144, ""(?i)openai|gpt|gemini|anthropic|claude|mistral|cohere|rag|vector|llm|chatbot|ai-powered""), ""AI &amp; LLM"",
  REGEXMATCH(A1144&amp;B1144, ""(?i)twitter|instagram|facebook|linkedin|youtube|tiktok|threads|bluesky|pinterest|social"&amp;" video|reels?|shorts?""), ""Social Media"",
  REGEXMATCH(A1144&amp;B1144, ""(?i)hubspot|pipedrive|stripe|shopify|woocommerce|sales|crm|invoice|order|leads?|recruitment|bamboohr|erpnext""), ""CRM &amp; Sales"",
  REGEXMATCH(A1144&amp;B1144, ""(?i)gmail|outlook|calenda"&amp;"r|slack|discord|telegram|whatsapp|notion|trello|drive|sheets?|meeting|scheduler|appointment|mattermost""), ""Productivity &amp; Communication"",
  REGEXMATCH(A1144&amp;B1144, ""(?i)github|api|webhook|http|mysql|supabase|mongodb|redis|rss|pr|code review|incident|p"&amp;"agerduty|jira""), ""Development &amp; Utilities"",
  TRUE, ""Others""
)"),"Productivity &amp; Communication")</f>
        <v>Productivity &amp; Communication</v>
      </c>
    </row>
    <row r="1145" ht="15.75" customHeight="1">
      <c r="A1145" s="14" t="s">
        <v>2269</v>
      </c>
      <c r="B1145" s="15" t="s">
        <v>2270</v>
      </c>
      <c r="C1145" s="16" t="s">
        <v>7</v>
      </c>
      <c r="D1145" s="12" t="str">
        <f>IFERROR(__xludf.DUMMYFUNCTION("IFS(
  REGEXMATCH(A1145&amp;B1145, ""(?i)openai|gpt|gemini|anthropic|claude|mistral|cohere|rag|vector|llm|chatbot|ai-powered""), ""AI &amp; LLM"",
  REGEXMATCH(A1145&amp;B1145, ""(?i)twitter|instagram|facebook|linkedin|youtube|tiktok|threads|bluesky|pinterest|social"&amp;" video|reels?|shorts?""), ""Social Media"",
  REGEXMATCH(A1145&amp;B1145, ""(?i)hubspot|pipedrive|stripe|shopify|woocommerce|sales|crm|invoice|order|leads?|recruitment|bamboohr|erpnext""), ""CRM &amp; Sales"",
  REGEXMATCH(A1145&amp;B1145, ""(?i)gmail|outlook|calenda"&amp;"r|slack|discord|telegram|whatsapp|notion|trello|drive|sheets?|meeting|scheduler|appointment|mattermost""), ""Productivity &amp; Communication"",
  REGEXMATCH(A1145&amp;B1145, ""(?i)github|api|webhook|http|mysql|supabase|mongodb|redis|rss|pr|code review|incident|p"&amp;"agerduty|jira""), ""Development &amp; Utilities"",
  TRUE, ""Others""
)"),"AI &amp; LLM")</f>
        <v>AI &amp; LLM</v>
      </c>
    </row>
    <row r="1146" ht="15.75" customHeight="1">
      <c r="A1146" s="14" t="s">
        <v>2271</v>
      </c>
      <c r="B1146" s="15" t="s">
        <v>2272</v>
      </c>
      <c r="C1146" s="16" t="s">
        <v>7</v>
      </c>
      <c r="D1146" s="12" t="str">
        <f>IFERROR(__xludf.DUMMYFUNCTION("IFS(
  REGEXMATCH(A1146&amp;B1146, ""(?i)openai|gpt|gemini|anthropic|claude|mistral|cohere|rag|vector|llm|chatbot|ai-powered""), ""AI &amp; LLM"",
  REGEXMATCH(A1146&amp;B1146, ""(?i)twitter|instagram|facebook|linkedin|youtube|tiktok|threads|bluesky|pinterest|social"&amp;" video|reels?|shorts?""), ""Social Media"",
  REGEXMATCH(A1146&amp;B1146, ""(?i)hubspot|pipedrive|stripe|shopify|woocommerce|sales|crm|invoice|order|leads?|recruitment|bamboohr|erpnext""), ""CRM &amp; Sales"",
  REGEXMATCH(A1146&amp;B1146, ""(?i)gmail|outlook|calenda"&amp;"r|slack|discord|telegram|whatsapp|notion|trello|drive|sheets?|meeting|scheduler|appointment|mattermost""), ""Productivity &amp; Communication"",
  REGEXMATCH(A1146&amp;B1146, ""(?i)github|api|webhook|http|mysql|supabase|mongodb|redis|rss|pr|code review|incident|p"&amp;"agerduty|jira""), ""Development &amp; Utilities"",
  TRUE, ""Others""
)"),"AI &amp; LLM")</f>
        <v>AI &amp; LLM</v>
      </c>
    </row>
    <row r="1147" ht="15.75" customHeight="1">
      <c r="A1147" s="14" t="s">
        <v>2273</v>
      </c>
      <c r="B1147" s="15" t="s">
        <v>2274</v>
      </c>
      <c r="C1147" s="16" t="s">
        <v>7</v>
      </c>
      <c r="D1147" s="12" t="str">
        <f>IFERROR(__xludf.DUMMYFUNCTION("IFS(
  REGEXMATCH(A1147&amp;B1147, ""(?i)openai|gpt|gemini|anthropic|claude|mistral|cohere|rag|vector|llm|chatbot|ai-powered""), ""AI &amp; LLM"",
  REGEXMATCH(A1147&amp;B1147, ""(?i)twitter|instagram|facebook|linkedin|youtube|tiktok|threads|bluesky|pinterest|social"&amp;" video|reels?|shorts?""), ""Social Media"",
  REGEXMATCH(A1147&amp;B1147, ""(?i)hubspot|pipedrive|stripe|shopify|woocommerce|sales|crm|invoice|order|leads?|recruitment|bamboohr|erpnext""), ""CRM &amp; Sales"",
  REGEXMATCH(A1147&amp;B1147, ""(?i)gmail|outlook|calenda"&amp;"r|slack|discord|telegram|whatsapp|notion|trello|drive|sheets?|meeting|scheduler|appointment|mattermost""), ""Productivity &amp; Communication"",
  REGEXMATCH(A1147&amp;B1147, ""(?i)github|api|webhook|http|mysql|supabase|mongodb|redis|rss|pr|code review|incident|p"&amp;"agerduty|jira""), ""Development &amp; Utilities"",
  TRUE, ""Others""
)"),"Development &amp; Utilities")</f>
        <v>Development &amp; Utilities</v>
      </c>
    </row>
    <row r="1148" ht="15.75" customHeight="1">
      <c r="A1148" s="14" t="s">
        <v>2275</v>
      </c>
      <c r="B1148" s="15" t="s">
        <v>2276</v>
      </c>
      <c r="C1148" s="16" t="s">
        <v>7</v>
      </c>
      <c r="D1148" s="12" t="str">
        <f>IFERROR(__xludf.DUMMYFUNCTION("IFS(
  REGEXMATCH(A1148&amp;B1148, ""(?i)openai|gpt|gemini|anthropic|claude|mistral|cohere|rag|vector|llm|chatbot|ai-powered""), ""AI &amp; LLM"",
  REGEXMATCH(A1148&amp;B1148, ""(?i)twitter|instagram|facebook|linkedin|youtube|tiktok|threads|bluesky|pinterest|social"&amp;" video|reels?|shorts?""), ""Social Media"",
  REGEXMATCH(A1148&amp;B1148, ""(?i)hubspot|pipedrive|stripe|shopify|woocommerce|sales|crm|invoice|order|leads?|recruitment|bamboohr|erpnext""), ""CRM &amp; Sales"",
  REGEXMATCH(A1148&amp;B1148, ""(?i)gmail|outlook|calenda"&amp;"r|slack|discord|telegram|whatsapp|notion|trello|drive|sheets?|meeting|scheduler|appointment|mattermost""), ""Productivity &amp; Communication"",
  REGEXMATCH(A1148&amp;B1148, ""(?i)github|api|webhook|http|mysql|supabase|mongodb|redis|rss|pr|code review|incident|p"&amp;"agerduty|jira""), ""Development &amp; Utilities"",
  TRUE, ""Others""
)"),"Development &amp; Utilities")</f>
        <v>Development &amp; Utilities</v>
      </c>
    </row>
    <row r="1149" ht="15.75" customHeight="1">
      <c r="A1149" s="14" t="s">
        <v>2277</v>
      </c>
      <c r="B1149" s="15" t="s">
        <v>2278</v>
      </c>
      <c r="C1149" s="16" t="s">
        <v>7</v>
      </c>
      <c r="D1149" s="12" t="str">
        <f>IFERROR(__xludf.DUMMYFUNCTION("IFS(
  REGEXMATCH(A1149&amp;B1149, ""(?i)openai|gpt|gemini|anthropic|claude|mistral|cohere|rag|vector|llm|chatbot|ai-powered""), ""AI &amp; LLM"",
  REGEXMATCH(A1149&amp;B1149, ""(?i)twitter|instagram|facebook|linkedin|youtube|tiktok|threads|bluesky|pinterest|social"&amp;" video|reels?|shorts?""), ""Social Media"",
  REGEXMATCH(A1149&amp;B1149, ""(?i)hubspot|pipedrive|stripe|shopify|woocommerce|sales|crm|invoice|order|leads?|recruitment|bamboohr|erpnext""), ""CRM &amp; Sales"",
  REGEXMATCH(A1149&amp;B1149, ""(?i)gmail|outlook|calenda"&amp;"r|slack|discord|telegram|whatsapp|notion|trello|drive|sheets?|meeting|scheduler|appointment|mattermost""), ""Productivity &amp; Communication"",
  REGEXMATCH(A1149&amp;B1149, ""(?i)github|api|webhook|http|mysql|supabase|mongodb|redis|rss|pr|code review|incident|p"&amp;"agerduty|jira""), ""Development &amp; Utilities"",
  TRUE, ""Others""
)"),"AI &amp; LLM")</f>
        <v>AI &amp; LLM</v>
      </c>
    </row>
    <row r="1150" ht="15.75" customHeight="1">
      <c r="A1150" s="14" t="s">
        <v>2279</v>
      </c>
      <c r="B1150" s="15" t="s">
        <v>2280</v>
      </c>
      <c r="C1150" s="16" t="s">
        <v>7</v>
      </c>
      <c r="D1150" s="12" t="str">
        <f>IFERROR(__xludf.DUMMYFUNCTION("IFS(
  REGEXMATCH(A1150&amp;B1150, ""(?i)openai|gpt|gemini|anthropic|claude|mistral|cohere|rag|vector|llm|chatbot|ai-powered""), ""AI &amp; LLM"",
  REGEXMATCH(A1150&amp;B1150, ""(?i)twitter|instagram|facebook|linkedin|youtube|tiktok|threads|bluesky|pinterest|social"&amp;" video|reels?|shorts?""), ""Social Media"",
  REGEXMATCH(A1150&amp;B1150, ""(?i)hubspot|pipedrive|stripe|shopify|woocommerce|sales|crm|invoice|order|leads?|recruitment|bamboohr|erpnext""), ""CRM &amp; Sales"",
  REGEXMATCH(A1150&amp;B1150, ""(?i)gmail|outlook|calenda"&amp;"r|slack|discord|telegram|whatsapp|notion|trello|drive|sheets?|meeting|scheduler|appointment|mattermost""), ""Productivity &amp; Communication"",
  REGEXMATCH(A1150&amp;B1150, ""(?i)github|api|webhook|http|mysql|supabase|mongodb|redis|rss|pr|code review|incident|p"&amp;"agerduty|jira""), ""Development &amp; Utilities"",
  TRUE, ""Others""
)"),"Development &amp; Utilities")</f>
        <v>Development &amp; Utilities</v>
      </c>
    </row>
    <row r="1151" ht="15.75" customHeight="1">
      <c r="A1151" s="14" t="s">
        <v>2281</v>
      </c>
      <c r="B1151" s="15" t="s">
        <v>2282</v>
      </c>
      <c r="C1151" s="16" t="s">
        <v>7</v>
      </c>
      <c r="D1151" s="12" t="str">
        <f>IFERROR(__xludf.DUMMYFUNCTION("IFS(
  REGEXMATCH(A1151&amp;B1151, ""(?i)openai|gpt|gemini|anthropic|claude|mistral|cohere|rag|vector|llm|chatbot|ai-powered""), ""AI &amp; LLM"",
  REGEXMATCH(A1151&amp;B1151, ""(?i)twitter|instagram|facebook|linkedin|youtube|tiktok|threads|bluesky|pinterest|social"&amp;" video|reels?|shorts?""), ""Social Media"",
  REGEXMATCH(A1151&amp;B1151, ""(?i)hubspot|pipedrive|stripe|shopify|woocommerce|sales|crm|invoice|order|leads?|recruitment|bamboohr|erpnext""), ""CRM &amp; Sales"",
  REGEXMATCH(A1151&amp;B1151, ""(?i)gmail|outlook|calenda"&amp;"r|slack|discord|telegram|whatsapp|notion|trello|drive|sheets?|meeting|scheduler|appointment|mattermost""), ""Productivity &amp; Communication"",
  REGEXMATCH(A1151&amp;B1151, ""(?i)github|api|webhook|http|mysql|supabase|mongodb|redis|rss|pr|code review|incident|p"&amp;"agerduty|jira""), ""Development &amp; Utilities"",
  TRUE, ""Others""
)"),"AI &amp; LLM")</f>
        <v>AI &amp; LLM</v>
      </c>
    </row>
    <row r="1152" ht="15.75" customHeight="1">
      <c r="A1152" s="14" t="s">
        <v>2283</v>
      </c>
      <c r="B1152" s="15" t="s">
        <v>2284</v>
      </c>
      <c r="C1152" s="16" t="s">
        <v>7</v>
      </c>
      <c r="D1152" s="12" t="str">
        <f>IFERROR(__xludf.DUMMYFUNCTION("IFS(
  REGEXMATCH(A1152&amp;B1152, ""(?i)openai|gpt|gemini|anthropic|claude|mistral|cohere|rag|vector|llm|chatbot|ai-powered""), ""AI &amp; LLM"",
  REGEXMATCH(A1152&amp;B1152, ""(?i)twitter|instagram|facebook|linkedin|youtube|tiktok|threads|bluesky|pinterest|social"&amp;" video|reels?|shorts?""), ""Social Media"",
  REGEXMATCH(A1152&amp;B1152, ""(?i)hubspot|pipedrive|stripe|shopify|woocommerce|sales|crm|invoice|order|leads?|recruitment|bamboohr|erpnext""), ""CRM &amp; Sales"",
  REGEXMATCH(A1152&amp;B1152, ""(?i)gmail|outlook|calenda"&amp;"r|slack|discord|telegram|whatsapp|notion|trello|drive|sheets?|meeting|scheduler|appointment|mattermost""), ""Productivity &amp; Communication"",
  REGEXMATCH(A1152&amp;B1152, ""(?i)github|api|webhook|http|mysql|supabase|mongodb|redis|rss|pr|code review|incident|p"&amp;"agerduty|jira""), ""Development &amp; Utilities"",
  TRUE, ""Others""
)"),"AI &amp; LLM")</f>
        <v>AI &amp; LLM</v>
      </c>
    </row>
    <row r="1153" ht="15.75" customHeight="1">
      <c r="A1153" s="14" t="s">
        <v>2285</v>
      </c>
      <c r="B1153" s="15" t="s">
        <v>2286</v>
      </c>
      <c r="C1153" s="16" t="s">
        <v>7</v>
      </c>
      <c r="D1153" s="12" t="str">
        <f>IFERROR(__xludf.DUMMYFUNCTION("IFS(
  REGEXMATCH(A1153&amp;B1153, ""(?i)openai|gpt|gemini|anthropic|claude|mistral|cohere|rag|vector|llm|chatbot|ai-powered""), ""AI &amp; LLM"",
  REGEXMATCH(A1153&amp;B1153, ""(?i)twitter|instagram|facebook|linkedin|youtube|tiktok|threads|bluesky|pinterest|social"&amp;" video|reels?|shorts?""), ""Social Media"",
  REGEXMATCH(A1153&amp;B1153, ""(?i)hubspot|pipedrive|stripe|shopify|woocommerce|sales|crm|invoice|order|leads?|recruitment|bamboohr|erpnext""), ""CRM &amp; Sales"",
  REGEXMATCH(A1153&amp;B1153, ""(?i)gmail|outlook|calenda"&amp;"r|slack|discord|telegram|whatsapp|notion|trello|drive|sheets?|meeting|scheduler|appointment|mattermost""), ""Productivity &amp; Communication"",
  REGEXMATCH(A1153&amp;B1153, ""(?i)github|api|webhook|http|mysql|supabase|mongodb|redis|rss|pr|code review|incident|p"&amp;"agerduty|jira""), ""Development &amp; Utilities"",
  TRUE, ""Others""
)"),"AI &amp; LLM")</f>
        <v>AI &amp; LLM</v>
      </c>
    </row>
    <row r="1154" ht="15.75" customHeight="1">
      <c r="A1154" s="14" t="s">
        <v>2287</v>
      </c>
      <c r="B1154" s="15" t="s">
        <v>2288</v>
      </c>
      <c r="C1154" s="16" t="s">
        <v>7</v>
      </c>
      <c r="D1154" s="12" t="str">
        <f>IFERROR(__xludf.DUMMYFUNCTION("IFS(
  REGEXMATCH(A1154&amp;B1154, ""(?i)openai|gpt|gemini|anthropic|claude|mistral|cohere|rag|vector|llm|chatbot|ai-powered""), ""AI &amp; LLM"",
  REGEXMATCH(A1154&amp;B1154, ""(?i)twitter|instagram|facebook|linkedin|youtube|tiktok|threads|bluesky|pinterest|social"&amp;" video|reels?|shorts?""), ""Social Media"",
  REGEXMATCH(A1154&amp;B1154, ""(?i)hubspot|pipedrive|stripe|shopify|woocommerce|sales|crm|invoice|order|leads?|recruitment|bamboohr|erpnext""), ""CRM &amp; Sales"",
  REGEXMATCH(A1154&amp;B1154, ""(?i)gmail|outlook|calenda"&amp;"r|slack|discord|telegram|whatsapp|notion|trello|drive|sheets?|meeting|scheduler|appointment|mattermost""), ""Productivity &amp; Communication"",
  REGEXMATCH(A1154&amp;B1154, ""(?i)github|api|webhook|http|mysql|supabase|mongodb|redis|rss|pr|code review|incident|p"&amp;"agerduty|jira""), ""Development &amp; Utilities"",
  TRUE, ""Others""
)"),"Development &amp; Utilities")</f>
        <v>Development &amp; Utilities</v>
      </c>
    </row>
    <row r="1155" ht="15.75" customHeight="1">
      <c r="A1155" s="14" t="s">
        <v>2289</v>
      </c>
      <c r="B1155" s="15" t="s">
        <v>2290</v>
      </c>
      <c r="C1155" s="16" t="s">
        <v>7</v>
      </c>
      <c r="D1155" s="12" t="str">
        <f>IFERROR(__xludf.DUMMYFUNCTION("IFS(
  REGEXMATCH(A1155&amp;B1155, ""(?i)openai|gpt|gemini|anthropic|claude|mistral|cohere|rag|vector|llm|chatbot|ai-powered""), ""AI &amp; LLM"",
  REGEXMATCH(A1155&amp;B1155, ""(?i)twitter|instagram|facebook|linkedin|youtube|tiktok|threads|bluesky|pinterest|social"&amp;" video|reels?|shorts?""), ""Social Media"",
  REGEXMATCH(A1155&amp;B1155, ""(?i)hubspot|pipedrive|stripe|shopify|woocommerce|sales|crm|invoice|order|leads?|recruitment|bamboohr|erpnext""), ""CRM &amp; Sales"",
  REGEXMATCH(A1155&amp;B1155, ""(?i)gmail|outlook|calenda"&amp;"r|slack|discord|telegram|whatsapp|notion|trello|drive|sheets?|meeting|scheduler|appointment|mattermost""), ""Productivity &amp; Communication"",
  REGEXMATCH(A1155&amp;B1155, ""(?i)github|api|webhook|http|mysql|supabase|mongodb|redis|rss|pr|code review|incident|p"&amp;"agerduty|jira""), ""Development &amp; Utilities"",
  TRUE, ""Others""
)"),"Productivity &amp; Communication")</f>
        <v>Productivity &amp; Communication</v>
      </c>
    </row>
    <row r="1156" ht="15.75" customHeight="1">
      <c r="A1156" s="14" t="s">
        <v>2291</v>
      </c>
      <c r="B1156" s="15" t="s">
        <v>2292</v>
      </c>
      <c r="C1156" s="16" t="s">
        <v>7</v>
      </c>
      <c r="D1156" s="12" t="str">
        <f>IFERROR(__xludf.DUMMYFUNCTION("IFS(
  REGEXMATCH(A1156&amp;B1156, ""(?i)openai|gpt|gemini|anthropic|claude|mistral|cohere|rag|vector|llm|chatbot|ai-powered""), ""AI &amp; LLM"",
  REGEXMATCH(A1156&amp;B1156, ""(?i)twitter|instagram|facebook|linkedin|youtube|tiktok|threads|bluesky|pinterest|social"&amp;" video|reels?|shorts?""), ""Social Media"",
  REGEXMATCH(A1156&amp;B1156, ""(?i)hubspot|pipedrive|stripe|shopify|woocommerce|sales|crm|invoice|order|leads?|recruitment|bamboohr|erpnext""), ""CRM &amp; Sales"",
  REGEXMATCH(A1156&amp;B1156, ""(?i)gmail|outlook|calenda"&amp;"r|slack|discord|telegram|whatsapp|notion|trello|drive|sheets?|meeting|scheduler|appointment|mattermost""), ""Productivity &amp; Communication"",
  REGEXMATCH(A1156&amp;B1156, ""(?i)github|api|webhook|http|mysql|supabase|mongodb|redis|rss|pr|code review|incident|p"&amp;"agerduty|jira""), ""Development &amp; Utilities"",
  TRUE, ""Others""
)"),"AI &amp; LLM")</f>
        <v>AI &amp; LLM</v>
      </c>
    </row>
    <row r="1157" ht="15.75" customHeight="1">
      <c r="A1157" s="14" t="s">
        <v>2293</v>
      </c>
      <c r="B1157" s="15" t="s">
        <v>2294</v>
      </c>
      <c r="C1157" s="16" t="s">
        <v>7</v>
      </c>
      <c r="D1157" s="12" t="str">
        <f>IFERROR(__xludf.DUMMYFUNCTION("IFS(
  REGEXMATCH(A1157&amp;B1157, ""(?i)openai|gpt|gemini|anthropic|claude|mistral|cohere|rag|vector|llm|chatbot|ai-powered""), ""AI &amp; LLM"",
  REGEXMATCH(A1157&amp;B1157, ""(?i)twitter|instagram|facebook|linkedin|youtube|tiktok|threads|bluesky|pinterest|social"&amp;" video|reels?|shorts?""), ""Social Media"",
  REGEXMATCH(A1157&amp;B1157, ""(?i)hubspot|pipedrive|stripe|shopify|woocommerce|sales|crm|invoice|order|leads?|recruitment|bamboohr|erpnext""), ""CRM &amp; Sales"",
  REGEXMATCH(A1157&amp;B1157, ""(?i)gmail|outlook|calenda"&amp;"r|slack|discord|telegram|whatsapp|notion|trello|drive|sheets?|meeting|scheduler|appointment|mattermost""), ""Productivity &amp; Communication"",
  REGEXMATCH(A1157&amp;B1157, ""(?i)github|api|webhook|http|mysql|supabase|mongodb|redis|rss|pr|code review|incident|p"&amp;"agerduty|jira""), ""Development &amp; Utilities"",
  TRUE, ""Others""
)"),"AI &amp; LLM")</f>
        <v>AI &amp; LLM</v>
      </c>
    </row>
    <row r="1158" ht="15.75" customHeight="1">
      <c r="A1158" s="14" t="s">
        <v>2295</v>
      </c>
      <c r="B1158" s="15" t="s">
        <v>2296</v>
      </c>
      <c r="C1158" s="16" t="s">
        <v>7</v>
      </c>
      <c r="D1158" s="12" t="str">
        <f>IFERROR(__xludf.DUMMYFUNCTION("IFS(
  REGEXMATCH(A1158&amp;B1158, ""(?i)openai|gpt|gemini|anthropic|claude|mistral|cohere|rag|vector|llm|chatbot|ai-powered""), ""AI &amp; LLM"",
  REGEXMATCH(A1158&amp;B1158, ""(?i)twitter|instagram|facebook|linkedin|youtube|tiktok|threads|bluesky|pinterest|social"&amp;" video|reels?|shorts?""), ""Social Media"",
  REGEXMATCH(A1158&amp;B1158, ""(?i)hubspot|pipedrive|stripe|shopify|woocommerce|sales|crm|invoice|order|leads?|recruitment|bamboohr|erpnext""), ""CRM &amp; Sales"",
  REGEXMATCH(A1158&amp;B1158, ""(?i)gmail|outlook|calenda"&amp;"r|slack|discord|telegram|whatsapp|notion|trello|drive|sheets?|meeting|scheduler|appointment|mattermost""), ""Productivity &amp; Communication"",
  REGEXMATCH(A1158&amp;B1158, ""(?i)github|api|webhook|http|mysql|supabase|mongodb|redis|rss|pr|code review|incident|p"&amp;"agerduty|jira""), ""Development &amp; Utilities"",
  TRUE, ""Others""
)"),"AI &amp; LLM")</f>
        <v>AI &amp; LLM</v>
      </c>
    </row>
    <row r="1159" ht="15.75" customHeight="1">
      <c r="A1159" s="14" t="s">
        <v>2297</v>
      </c>
      <c r="B1159" s="15" t="s">
        <v>2298</v>
      </c>
      <c r="C1159" s="16" t="s">
        <v>7</v>
      </c>
      <c r="D1159" s="12" t="str">
        <f>IFERROR(__xludf.DUMMYFUNCTION("IFS(
  REGEXMATCH(A1159&amp;B1159, ""(?i)openai|gpt|gemini|anthropic|claude|mistral|cohere|rag|vector|llm|chatbot|ai-powered""), ""AI &amp; LLM"",
  REGEXMATCH(A1159&amp;B1159, ""(?i)twitter|instagram|facebook|linkedin|youtube|tiktok|threads|bluesky|pinterest|social"&amp;" video|reels?|shorts?""), ""Social Media"",
  REGEXMATCH(A1159&amp;B1159, ""(?i)hubspot|pipedrive|stripe|shopify|woocommerce|sales|crm|invoice|order|leads?|recruitment|bamboohr|erpnext""), ""CRM &amp; Sales"",
  REGEXMATCH(A1159&amp;B1159, ""(?i)gmail|outlook|calenda"&amp;"r|slack|discord|telegram|whatsapp|notion|trello|drive|sheets?|meeting|scheduler|appointment|mattermost""), ""Productivity &amp; Communication"",
  REGEXMATCH(A1159&amp;B1159, ""(?i)github|api|webhook|http|mysql|supabase|mongodb|redis|rss|pr|code review|incident|p"&amp;"agerduty|jira""), ""Development &amp; Utilities"",
  TRUE, ""Others""
)"),"AI &amp; LLM")</f>
        <v>AI &amp; LLM</v>
      </c>
    </row>
    <row r="1160" ht="15.75" customHeight="1">
      <c r="A1160" s="14" t="s">
        <v>2299</v>
      </c>
      <c r="B1160" s="15" t="s">
        <v>2300</v>
      </c>
      <c r="C1160" s="16" t="s">
        <v>7</v>
      </c>
      <c r="D1160" s="12" t="str">
        <f>IFERROR(__xludf.DUMMYFUNCTION("IFS(
  REGEXMATCH(A1160&amp;B1160, ""(?i)openai|gpt|gemini|anthropic|claude|mistral|cohere|rag|vector|llm|chatbot|ai-powered""), ""AI &amp; LLM"",
  REGEXMATCH(A1160&amp;B1160, ""(?i)twitter|instagram|facebook|linkedin|youtube|tiktok|threads|bluesky|pinterest|social"&amp;" video|reels?|shorts?""), ""Social Media"",
  REGEXMATCH(A1160&amp;B1160, ""(?i)hubspot|pipedrive|stripe|shopify|woocommerce|sales|crm|invoice|order|leads?|recruitment|bamboohr|erpnext""), ""CRM &amp; Sales"",
  REGEXMATCH(A1160&amp;B1160, ""(?i)gmail|outlook|calenda"&amp;"r|slack|discord|telegram|whatsapp|notion|trello|drive|sheets?|meeting|scheduler|appointment|mattermost""), ""Productivity &amp; Communication"",
  REGEXMATCH(A1160&amp;B1160, ""(?i)github|api|webhook|http|mysql|supabase|mongodb|redis|rss|pr|code review|incident|p"&amp;"agerduty|jira""), ""Development &amp; Utilities"",
  TRUE, ""Others""
)"),"AI &amp; LLM")</f>
        <v>AI &amp; LLM</v>
      </c>
    </row>
    <row r="1161" ht="15.75" customHeight="1">
      <c r="A1161" s="14" t="s">
        <v>2301</v>
      </c>
      <c r="B1161" s="15" t="s">
        <v>2302</v>
      </c>
      <c r="C1161" s="16" t="s">
        <v>7</v>
      </c>
      <c r="D1161" s="12" t="str">
        <f>IFERROR(__xludf.DUMMYFUNCTION("IFS(
  REGEXMATCH(A1161&amp;B1161, ""(?i)openai|gpt|gemini|anthropic|claude|mistral|cohere|rag|vector|llm|chatbot|ai-powered""), ""AI &amp; LLM"",
  REGEXMATCH(A1161&amp;B1161, ""(?i)twitter|instagram|facebook|linkedin|youtube|tiktok|threads|bluesky|pinterest|social"&amp;" video|reels?|shorts?""), ""Social Media"",
  REGEXMATCH(A1161&amp;B1161, ""(?i)hubspot|pipedrive|stripe|shopify|woocommerce|sales|crm|invoice|order|leads?|recruitment|bamboohr|erpnext""), ""CRM &amp; Sales"",
  REGEXMATCH(A1161&amp;B1161, ""(?i)gmail|outlook|calenda"&amp;"r|slack|discord|telegram|whatsapp|notion|trello|drive|sheets?|meeting|scheduler|appointment|mattermost""), ""Productivity &amp; Communication"",
  REGEXMATCH(A1161&amp;B1161, ""(?i)github|api|webhook|http|mysql|supabase|mongodb|redis|rss|pr|code review|incident|p"&amp;"agerduty|jira""), ""Development &amp; Utilities"",
  TRUE, ""Others""
)"),"AI &amp; LLM")</f>
        <v>AI &amp; LLM</v>
      </c>
    </row>
    <row r="1162" ht="15.75" customHeight="1">
      <c r="A1162" s="14" t="s">
        <v>2303</v>
      </c>
      <c r="B1162" s="15" t="s">
        <v>2304</v>
      </c>
      <c r="C1162" s="16" t="s">
        <v>7</v>
      </c>
      <c r="D1162" s="12" t="str">
        <f>IFERROR(__xludf.DUMMYFUNCTION("IFS(
  REGEXMATCH(A1162&amp;B1162, ""(?i)openai|gpt|gemini|anthropic|claude|mistral|cohere|rag|vector|llm|chatbot|ai-powered""), ""AI &amp; LLM"",
  REGEXMATCH(A1162&amp;B1162, ""(?i)twitter|instagram|facebook|linkedin|youtube|tiktok|threads|bluesky|pinterest|social"&amp;" video|reels?|shorts?""), ""Social Media"",
  REGEXMATCH(A1162&amp;B1162, ""(?i)hubspot|pipedrive|stripe|shopify|woocommerce|sales|crm|invoice|order|leads?|recruitment|bamboohr|erpnext""), ""CRM &amp; Sales"",
  REGEXMATCH(A1162&amp;B1162, ""(?i)gmail|outlook|calenda"&amp;"r|slack|discord|telegram|whatsapp|notion|trello|drive|sheets?|meeting|scheduler|appointment|mattermost""), ""Productivity &amp; Communication"",
  REGEXMATCH(A1162&amp;B1162, ""(?i)github|api|webhook|http|mysql|supabase|mongodb|redis|rss|pr|code review|incident|p"&amp;"agerduty|jira""), ""Development &amp; Utilities"",
  TRUE, ""Others""
)"),"Development &amp; Utilities")</f>
        <v>Development &amp; Utilities</v>
      </c>
    </row>
    <row r="1163" ht="15.75" customHeight="1">
      <c r="A1163" s="14" t="s">
        <v>2305</v>
      </c>
      <c r="B1163" s="15" t="s">
        <v>2306</v>
      </c>
      <c r="C1163" s="16" t="s">
        <v>7</v>
      </c>
      <c r="D1163" s="12" t="str">
        <f>IFERROR(__xludf.DUMMYFUNCTION("IFS(
  REGEXMATCH(A1163&amp;B1163, ""(?i)openai|gpt|gemini|anthropic|claude|mistral|cohere|rag|vector|llm|chatbot|ai-powered""), ""AI &amp; LLM"",
  REGEXMATCH(A1163&amp;B1163, ""(?i)twitter|instagram|facebook|linkedin|youtube|tiktok|threads|bluesky|pinterest|social"&amp;" video|reels?|shorts?""), ""Social Media"",
  REGEXMATCH(A1163&amp;B1163, ""(?i)hubspot|pipedrive|stripe|shopify|woocommerce|sales|crm|invoice|order|leads?|recruitment|bamboohr|erpnext""), ""CRM &amp; Sales"",
  REGEXMATCH(A1163&amp;B1163, ""(?i)gmail|outlook|calenda"&amp;"r|slack|discord|telegram|whatsapp|notion|trello|drive|sheets?|meeting|scheduler|appointment|mattermost""), ""Productivity &amp; Communication"",
  REGEXMATCH(A1163&amp;B1163, ""(?i)github|api|webhook|http|mysql|supabase|mongodb|redis|rss|pr|code review|incident|p"&amp;"agerduty|jira""), ""Development &amp; Utilities"",
  TRUE, ""Others""
)"),"AI &amp; LLM")</f>
        <v>AI &amp; LLM</v>
      </c>
    </row>
    <row r="1164" ht="15.75" customHeight="1">
      <c r="A1164" s="14" t="s">
        <v>2307</v>
      </c>
      <c r="B1164" s="15" t="s">
        <v>2308</v>
      </c>
      <c r="C1164" s="16" t="s">
        <v>7</v>
      </c>
      <c r="D1164" s="12" t="str">
        <f>IFERROR(__xludf.DUMMYFUNCTION("IFS(
  REGEXMATCH(A1164&amp;B1164, ""(?i)openai|gpt|gemini|anthropic|claude|mistral|cohere|rag|vector|llm|chatbot|ai-powered""), ""AI &amp; LLM"",
  REGEXMATCH(A1164&amp;B1164, ""(?i)twitter|instagram|facebook|linkedin|youtube|tiktok|threads|bluesky|pinterest|social"&amp;" video|reels?|shorts?""), ""Social Media"",
  REGEXMATCH(A1164&amp;B1164, ""(?i)hubspot|pipedrive|stripe|shopify|woocommerce|sales|crm|invoice|order|leads?|recruitment|bamboohr|erpnext""), ""CRM &amp; Sales"",
  REGEXMATCH(A1164&amp;B1164, ""(?i)gmail|outlook|calenda"&amp;"r|slack|discord|telegram|whatsapp|notion|trello|drive|sheets?|meeting|scheduler|appointment|mattermost""), ""Productivity &amp; Communication"",
  REGEXMATCH(A1164&amp;B1164, ""(?i)github|api|webhook|http|mysql|supabase|mongodb|redis|rss|pr|code review|incident|p"&amp;"agerduty|jira""), ""Development &amp; Utilities"",
  TRUE, ""Others""
)"),"AI &amp; LLM")</f>
        <v>AI &amp; LLM</v>
      </c>
    </row>
    <row r="1165" ht="15.75" customHeight="1">
      <c r="A1165" s="14" t="s">
        <v>2309</v>
      </c>
      <c r="B1165" s="15" t="s">
        <v>2310</v>
      </c>
      <c r="C1165" s="16" t="s">
        <v>7</v>
      </c>
      <c r="D1165" s="12" t="str">
        <f>IFERROR(__xludf.DUMMYFUNCTION("IFS(
  REGEXMATCH(A1165&amp;B1165, ""(?i)openai|gpt|gemini|anthropic|claude|mistral|cohere|rag|vector|llm|chatbot|ai-powered""), ""AI &amp; LLM"",
  REGEXMATCH(A1165&amp;B1165, ""(?i)twitter|instagram|facebook|linkedin|youtube|tiktok|threads|bluesky|pinterest|social"&amp;" video|reels?|shorts?""), ""Social Media"",
  REGEXMATCH(A1165&amp;B1165, ""(?i)hubspot|pipedrive|stripe|shopify|woocommerce|sales|crm|invoice|order|leads?|recruitment|bamboohr|erpnext""), ""CRM &amp; Sales"",
  REGEXMATCH(A1165&amp;B1165, ""(?i)gmail|outlook|calenda"&amp;"r|slack|discord|telegram|whatsapp|notion|trello|drive|sheets?|meeting|scheduler|appointment|mattermost""), ""Productivity &amp; Communication"",
  REGEXMATCH(A1165&amp;B1165, ""(?i)github|api|webhook|http|mysql|supabase|mongodb|redis|rss|pr|code review|incident|p"&amp;"agerduty|jira""), ""Development &amp; Utilities"",
  TRUE, ""Others""
)"),"Development &amp; Utilities")</f>
        <v>Development &amp; Utilities</v>
      </c>
    </row>
    <row r="1166" ht="15.75" customHeight="1">
      <c r="A1166" s="14" t="s">
        <v>2311</v>
      </c>
      <c r="B1166" s="15" t="s">
        <v>2312</v>
      </c>
      <c r="C1166" s="16" t="s">
        <v>7</v>
      </c>
      <c r="D1166" s="12" t="str">
        <f>IFERROR(__xludf.DUMMYFUNCTION("IFS(
  REGEXMATCH(A1166&amp;B1166, ""(?i)openai|gpt|gemini|anthropic|claude|mistral|cohere|rag|vector|llm|chatbot|ai-powered""), ""AI &amp; LLM"",
  REGEXMATCH(A1166&amp;B1166, ""(?i)twitter|instagram|facebook|linkedin|youtube|tiktok|threads|bluesky|pinterest|social"&amp;" video|reels?|shorts?""), ""Social Media"",
  REGEXMATCH(A1166&amp;B1166, ""(?i)hubspot|pipedrive|stripe|shopify|woocommerce|sales|crm|invoice|order|leads?|recruitment|bamboohr|erpnext""), ""CRM &amp; Sales"",
  REGEXMATCH(A1166&amp;B1166, ""(?i)gmail|outlook|calenda"&amp;"r|slack|discord|telegram|whatsapp|notion|trello|drive|sheets?|meeting|scheduler|appointment|mattermost""), ""Productivity &amp; Communication"",
  REGEXMATCH(A1166&amp;B1166, ""(?i)github|api|webhook|http|mysql|supabase|mongodb|redis|rss|pr|code review|incident|p"&amp;"agerduty|jira""), ""Development &amp; Utilities"",
  TRUE, ""Others""
)"),"Development &amp; Utilities")</f>
        <v>Development &amp; Utilities</v>
      </c>
    </row>
    <row r="1167" ht="15.75" customHeight="1">
      <c r="A1167" s="14" t="s">
        <v>2313</v>
      </c>
      <c r="B1167" s="15" t="s">
        <v>2314</v>
      </c>
      <c r="C1167" s="16" t="s">
        <v>7</v>
      </c>
      <c r="D1167" s="12" t="str">
        <f>IFERROR(__xludf.DUMMYFUNCTION("IFS(
  REGEXMATCH(A1167&amp;B1167, ""(?i)openai|gpt|gemini|anthropic|claude|mistral|cohere|rag|vector|llm|chatbot|ai-powered""), ""AI &amp; LLM"",
  REGEXMATCH(A1167&amp;B1167, ""(?i)twitter|instagram|facebook|linkedin|youtube|tiktok|threads|bluesky|pinterest|social"&amp;" video|reels?|shorts?""), ""Social Media"",
  REGEXMATCH(A1167&amp;B1167, ""(?i)hubspot|pipedrive|stripe|shopify|woocommerce|sales|crm|invoice|order|leads?|recruitment|bamboohr|erpnext""), ""CRM &amp; Sales"",
  REGEXMATCH(A1167&amp;B1167, ""(?i)gmail|outlook|calenda"&amp;"r|slack|discord|telegram|whatsapp|notion|trello|drive|sheets?|meeting|scheduler|appointment|mattermost""), ""Productivity &amp; Communication"",
  REGEXMATCH(A1167&amp;B1167, ""(?i)github|api|webhook|http|mysql|supabase|mongodb|redis|rss|pr|code review|incident|p"&amp;"agerduty|jira""), ""Development &amp; Utilities"",
  TRUE, ""Others""
)"),"Development &amp; Utilities")</f>
        <v>Development &amp; Utilities</v>
      </c>
    </row>
    <row r="1168" ht="15.75" customHeight="1">
      <c r="A1168" s="14" t="s">
        <v>2315</v>
      </c>
      <c r="B1168" s="15" t="s">
        <v>2316</v>
      </c>
      <c r="C1168" s="16" t="s">
        <v>7</v>
      </c>
      <c r="D1168" s="12" t="str">
        <f>IFERROR(__xludf.DUMMYFUNCTION("IFS(
  REGEXMATCH(A1168&amp;B1168, ""(?i)openai|gpt|gemini|anthropic|claude|mistral|cohere|rag|vector|llm|chatbot|ai-powered""), ""AI &amp; LLM"",
  REGEXMATCH(A1168&amp;B1168, ""(?i)twitter|instagram|facebook|linkedin|youtube|tiktok|threads|bluesky|pinterest|social"&amp;" video|reels?|shorts?""), ""Social Media"",
  REGEXMATCH(A1168&amp;B1168, ""(?i)hubspot|pipedrive|stripe|shopify|woocommerce|sales|crm|invoice|order|leads?|recruitment|bamboohr|erpnext""), ""CRM &amp; Sales"",
  REGEXMATCH(A1168&amp;B1168, ""(?i)gmail|outlook|calenda"&amp;"r|slack|discord|telegram|whatsapp|notion|trello|drive|sheets?|meeting|scheduler|appointment|mattermost""), ""Productivity &amp; Communication"",
  REGEXMATCH(A1168&amp;B1168, ""(?i)github|api|webhook|http|mysql|supabase|mongodb|redis|rss|pr|code review|incident|p"&amp;"agerduty|jira""), ""Development &amp; Utilities"",
  TRUE, ""Others""
)"),"Productivity &amp; Communication")</f>
        <v>Productivity &amp; Communication</v>
      </c>
    </row>
    <row r="1169" ht="15.75" customHeight="1">
      <c r="A1169" s="14" t="s">
        <v>2317</v>
      </c>
      <c r="B1169" s="15" t="s">
        <v>2318</v>
      </c>
      <c r="C1169" s="16" t="s">
        <v>7</v>
      </c>
      <c r="D1169" s="12" t="str">
        <f>IFERROR(__xludf.DUMMYFUNCTION("IFS(
  REGEXMATCH(A1169&amp;B1169, ""(?i)openai|gpt|gemini|anthropic|claude|mistral|cohere|rag|vector|llm|chatbot|ai-powered""), ""AI &amp; LLM"",
  REGEXMATCH(A1169&amp;B1169, ""(?i)twitter|instagram|facebook|linkedin|youtube|tiktok|threads|bluesky|pinterest|social"&amp;" video|reels?|shorts?""), ""Social Media"",
  REGEXMATCH(A1169&amp;B1169, ""(?i)hubspot|pipedrive|stripe|shopify|woocommerce|sales|crm|invoice|order|leads?|recruitment|bamboohr|erpnext""), ""CRM &amp; Sales"",
  REGEXMATCH(A1169&amp;B1169, ""(?i)gmail|outlook|calenda"&amp;"r|slack|discord|telegram|whatsapp|notion|trello|drive|sheets?|meeting|scheduler|appointment|mattermost""), ""Productivity &amp; Communication"",
  REGEXMATCH(A1169&amp;B1169, ""(?i)github|api|webhook|http|mysql|supabase|mongodb|redis|rss|pr|code review|incident|p"&amp;"agerduty|jira""), ""Development &amp; Utilities"",
  TRUE, ""Others""
)"),"AI &amp; LLM")</f>
        <v>AI &amp; LLM</v>
      </c>
    </row>
    <row r="1170" ht="15.75" customHeight="1">
      <c r="A1170" s="14" t="s">
        <v>2319</v>
      </c>
      <c r="B1170" s="15" t="s">
        <v>2320</v>
      </c>
      <c r="C1170" s="16" t="s">
        <v>7</v>
      </c>
      <c r="D1170" s="12" t="str">
        <f>IFERROR(__xludf.DUMMYFUNCTION("IFS(
  REGEXMATCH(A1170&amp;B1170, ""(?i)openai|gpt|gemini|anthropic|claude|mistral|cohere|rag|vector|llm|chatbot|ai-powered""), ""AI &amp; LLM"",
  REGEXMATCH(A1170&amp;B1170, ""(?i)twitter|instagram|facebook|linkedin|youtube|tiktok|threads|bluesky|pinterest|social"&amp;" video|reels?|shorts?""), ""Social Media"",
  REGEXMATCH(A1170&amp;B1170, ""(?i)hubspot|pipedrive|stripe|shopify|woocommerce|sales|crm|invoice|order|leads?|recruitment|bamboohr|erpnext""), ""CRM &amp; Sales"",
  REGEXMATCH(A1170&amp;B1170, ""(?i)gmail|outlook|calenda"&amp;"r|slack|discord|telegram|whatsapp|notion|trello|drive|sheets?|meeting|scheduler|appointment|mattermost""), ""Productivity &amp; Communication"",
  REGEXMATCH(A1170&amp;B1170, ""(?i)github|api|webhook|http|mysql|supabase|mongodb|redis|rss|pr|code review|incident|p"&amp;"agerduty|jira""), ""Development &amp; Utilities"",
  TRUE, ""Others""
)"),"AI &amp; LLM")</f>
        <v>AI &amp; LLM</v>
      </c>
    </row>
    <row r="1171" ht="15.75" customHeight="1">
      <c r="A1171" s="14" t="s">
        <v>2321</v>
      </c>
      <c r="B1171" s="15" t="s">
        <v>2322</v>
      </c>
      <c r="C1171" s="16" t="s">
        <v>7</v>
      </c>
      <c r="D1171" s="12" t="str">
        <f>IFERROR(__xludf.DUMMYFUNCTION("IFS(
  REGEXMATCH(A1171&amp;B1171, ""(?i)openai|gpt|gemini|anthropic|claude|mistral|cohere|rag|vector|llm|chatbot|ai-powered""), ""AI &amp; LLM"",
  REGEXMATCH(A1171&amp;B1171, ""(?i)twitter|instagram|facebook|linkedin|youtube|tiktok|threads|bluesky|pinterest|social"&amp;" video|reels?|shorts?""), ""Social Media"",
  REGEXMATCH(A1171&amp;B1171, ""(?i)hubspot|pipedrive|stripe|shopify|woocommerce|sales|crm|invoice|order|leads?|recruitment|bamboohr|erpnext""), ""CRM &amp; Sales"",
  REGEXMATCH(A1171&amp;B1171, ""(?i)gmail|outlook|calenda"&amp;"r|slack|discord|telegram|whatsapp|notion|trello|drive|sheets?|meeting|scheduler|appointment|mattermost""), ""Productivity &amp; Communication"",
  REGEXMATCH(A1171&amp;B1171, ""(?i)github|api|webhook|http|mysql|supabase|mongodb|redis|rss|pr|code review|incident|p"&amp;"agerduty|jira""), ""Development &amp; Utilities"",
  TRUE, ""Others""
)"),"AI &amp; LLM")</f>
        <v>AI &amp; LLM</v>
      </c>
    </row>
    <row r="1172" ht="15.75" customHeight="1">
      <c r="A1172" s="14" t="s">
        <v>2323</v>
      </c>
      <c r="B1172" s="15" t="s">
        <v>2324</v>
      </c>
      <c r="C1172" s="16" t="s">
        <v>7</v>
      </c>
      <c r="D1172" s="12" t="str">
        <f>IFERROR(__xludf.DUMMYFUNCTION("IFS(
  REGEXMATCH(A1172&amp;B1172, ""(?i)openai|gpt|gemini|anthropic|claude|mistral|cohere|rag|vector|llm|chatbot|ai-powered""), ""AI &amp; LLM"",
  REGEXMATCH(A1172&amp;B1172, ""(?i)twitter|instagram|facebook|linkedin|youtube|tiktok|threads|bluesky|pinterest|social"&amp;" video|reels?|shorts?""), ""Social Media"",
  REGEXMATCH(A1172&amp;B1172, ""(?i)hubspot|pipedrive|stripe|shopify|woocommerce|sales|crm|invoice|order|leads?|recruitment|bamboohr|erpnext""), ""CRM &amp; Sales"",
  REGEXMATCH(A1172&amp;B1172, ""(?i)gmail|outlook|calenda"&amp;"r|slack|discord|telegram|whatsapp|notion|trello|drive|sheets?|meeting|scheduler|appointment|mattermost""), ""Productivity &amp; Communication"",
  REGEXMATCH(A1172&amp;B1172, ""(?i)github|api|webhook|http|mysql|supabase|mongodb|redis|rss|pr|code review|incident|p"&amp;"agerduty|jira""), ""Development &amp; Utilities"",
  TRUE, ""Others""
)"),"Development &amp; Utilities")</f>
        <v>Development &amp; Utilities</v>
      </c>
    </row>
    <row r="1173" ht="15.75" customHeight="1">
      <c r="A1173" s="14" t="s">
        <v>2325</v>
      </c>
      <c r="B1173" s="15" t="s">
        <v>2326</v>
      </c>
      <c r="C1173" s="16" t="s">
        <v>7</v>
      </c>
      <c r="D1173" s="12" t="str">
        <f>IFERROR(__xludf.DUMMYFUNCTION("IFS(
  REGEXMATCH(A1173&amp;B1173, ""(?i)openai|gpt|gemini|anthropic|claude|mistral|cohere|rag|vector|llm|chatbot|ai-powered""), ""AI &amp; LLM"",
  REGEXMATCH(A1173&amp;B1173, ""(?i)twitter|instagram|facebook|linkedin|youtube|tiktok|threads|bluesky|pinterest|social"&amp;" video|reels?|shorts?""), ""Social Media"",
  REGEXMATCH(A1173&amp;B1173, ""(?i)hubspot|pipedrive|stripe|shopify|woocommerce|sales|crm|invoice|order|leads?|recruitment|bamboohr|erpnext""), ""CRM &amp; Sales"",
  REGEXMATCH(A1173&amp;B1173, ""(?i)gmail|outlook|calenda"&amp;"r|slack|discord|telegram|whatsapp|notion|trello|drive|sheets?|meeting|scheduler|appointment|mattermost""), ""Productivity &amp; Communication"",
  REGEXMATCH(A1173&amp;B1173, ""(?i)github|api|webhook|http|mysql|supabase|mongodb|redis|rss|pr|code review|incident|p"&amp;"agerduty|jira""), ""Development &amp; Utilities"",
  TRUE, ""Others""
)"),"AI &amp; LLM")</f>
        <v>AI &amp; LLM</v>
      </c>
    </row>
    <row r="1174" ht="15.75" customHeight="1">
      <c r="A1174" s="14" t="s">
        <v>2327</v>
      </c>
      <c r="B1174" s="15" t="s">
        <v>2328</v>
      </c>
      <c r="C1174" s="16" t="s">
        <v>7</v>
      </c>
      <c r="D1174" s="12" t="str">
        <f>IFERROR(__xludf.DUMMYFUNCTION("IFS(
  REGEXMATCH(A1174&amp;B1174, ""(?i)openai|gpt|gemini|anthropic|claude|mistral|cohere|rag|vector|llm|chatbot|ai-powered""), ""AI &amp; LLM"",
  REGEXMATCH(A1174&amp;B1174, ""(?i)twitter|instagram|facebook|linkedin|youtube|tiktok|threads|bluesky|pinterest|social"&amp;" video|reels?|shorts?""), ""Social Media"",
  REGEXMATCH(A1174&amp;B1174, ""(?i)hubspot|pipedrive|stripe|shopify|woocommerce|sales|crm|invoice|order|leads?|recruitment|bamboohr|erpnext""), ""CRM &amp; Sales"",
  REGEXMATCH(A1174&amp;B1174, ""(?i)gmail|outlook|calenda"&amp;"r|slack|discord|telegram|whatsapp|notion|trello|drive|sheets?|meeting|scheduler|appointment|mattermost""), ""Productivity &amp; Communication"",
  REGEXMATCH(A1174&amp;B1174, ""(?i)github|api|webhook|http|mysql|supabase|mongodb|redis|rss|pr|code review|incident|p"&amp;"agerduty|jira""), ""Development &amp; Utilities"",
  TRUE, ""Others""
)"),"Productivity &amp; Communication")</f>
        <v>Productivity &amp; Communication</v>
      </c>
    </row>
    <row r="1175" ht="15.75" customHeight="1">
      <c r="A1175" s="14" t="s">
        <v>2329</v>
      </c>
      <c r="B1175" s="15" t="s">
        <v>2330</v>
      </c>
      <c r="C1175" s="16" t="s">
        <v>7</v>
      </c>
      <c r="D1175" s="12" t="str">
        <f>IFERROR(__xludf.DUMMYFUNCTION("IFS(
  REGEXMATCH(A1175&amp;B1175, ""(?i)openai|gpt|gemini|anthropic|claude|mistral|cohere|rag|vector|llm|chatbot|ai-powered""), ""AI &amp; LLM"",
  REGEXMATCH(A1175&amp;B1175, ""(?i)twitter|instagram|facebook|linkedin|youtube|tiktok|threads|bluesky|pinterest|social"&amp;" video|reels?|shorts?""), ""Social Media"",
  REGEXMATCH(A1175&amp;B1175, ""(?i)hubspot|pipedrive|stripe|shopify|woocommerce|sales|crm|invoice|order|leads?|recruitment|bamboohr|erpnext""), ""CRM &amp; Sales"",
  REGEXMATCH(A1175&amp;B1175, ""(?i)gmail|outlook|calenda"&amp;"r|slack|discord|telegram|whatsapp|notion|trello|drive|sheets?|meeting|scheduler|appointment|mattermost""), ""Productivity &amp; Communication"",
  REGEXMATCH(A1175&amp;B1175, ""(?i)github|api|webhook|http|mysql|supabase|mongodb|redis|rss|pr|code review|incident|p"&amp;"agerduty|jira""), ""Development &amp; Utilities"",
  TRUE, ""Others""
)"),"AI &amp; LLM")</f>
        <v>AI &amp; LLM</v>
      </c>
    </row>
    <row r="1176" ht="15.75" customHeight="1">
      <c r="A1176" s="14" t="s">
        <v>2331</v>
      </c>
      <c r="B1176" s="15" t="s">
        <v>2332</v>
      </c>
      <c r="C1176" s="16" t="s">
        <v>7</v>
      </c>
      <c r="D1176" s="12" t="str">
        <f>IFERROR(__xludf.DUMMYFUNCTION("IFS(
  REGEXMATCH(A1176&amp;B1176, ""(?i)openai|gpt|gemini|anthropic|claude|mistral|cohere|rag|vector|llm|chatbot|ai-powered""), ""AI &amp; LLM"",
  REGEXMATCH(A1176&amp;B1176, ""(?i)twitter|instagram|facebook|linkedin|youtube|tiktok|threads|bluesky|pinterest|social"&amp;" video|reels?|shorts?""), ""Social Media"",
  REGEXMATCH(A1176&amp;B1176, ""(?i)hubspot|pipedrive|stripe|shopify|woocommerce|sales|crm|invoice|order|leads?|recruitment|bamboohr|erpnext""), ""CRM &amp; Sales"",
  REGEXMATCH(A1176&amp;B1176, ""(?i)gmail|outlook|calenda"&amp;"r|slack|discord|telegram|whatsapp|notion|trello|drive|sheets?|meeting|scheduler|appointment|mattermost""), ""Productivity &amp; Communication"",
  REGEXMATCH(A1176&amp;B1176, ""(?i)github|api|webhook|http|mysql|supabase|mongodb|redis|rss|pr|code review|incident|p"&amp;"agerduty|jira""), ""Development &amp; Utilities"",
  TRUE, ""Others""
)"),"Development &amp; Utilities")</f>
        <v>Development &amp; Utilities</v>
      </c>
    </row>
    <row r="1177" ht="15.75" customHeight="1">
      <c r="A1177" s="14" t="s">
        <v>2333</v>
      </c>
      <c r="B1177" s="15" t="s">
        <v>2334</v>
      </c>
      <c r="C1177" s="16" t="s">
        <v>7</v>
      </c>
      <c r="D1177" s="12" t="str">
        <f>IFERROR(__xludf.DUMMYFUNCTION("IFS(
  REGEXMATCH(A1177&amp;B1177, ""(?i)openai|gpt|gemini|anthropic|claude|mistral|cohere|rag|vector|llm|chatbot|ai-powered""), ""AI &amp; LLM"",
  REGEXMATCH(A1177&amp;B1177, ""(?i)twitter|instagram|facebook|linkedin|youtube|tiktok|threads|bluesky|pinterest|social"&amp;" video|reels?|shorts?""), ""Social Media"",
  REGEXMATCH(A1177&amp;B1177, ""(?i)hubspot|pipedrive|stripe|shopify|woocommerce|sales|crm|invoice|order|leads?|recruitment|bamboohr|erpnext""), ""CRM &amp; Sales"",
  REGEXMATCH(A1177&amp;B1177, ""(?i)gmail|outlook|calenda"&amp;"r|slack|discord|telegram|whatsapp|notion|trello|drive|sheets?|meeting|scheduler|appointment|mattermost""), ""Productivity &amp; Communication"",
  REGEXMATCH(A1177&amp;B1177, ""(?i)github|api|webhook|http|mysql|supabase|mongodb|redis|rss|pr|code review|incident|p"&amp;"agerduty|jira""), ""Development &amp; Utilities"",
  TRUE, ""Others""
)"),"AI &amp; LLM")</f>
        <v>AI &amp; LLM</v>
      </c>
    </row>
    <row r="1178" ht="15.75" customHeight="1">
      <c r="A1178" s="14" t="s">
        <v>2335</v>
      </c>
      <c r="B1178" s="15" t="s">
        <v>2336</v>
      </c>
      <c r="C1178" s="16" t="s">
        <v>7</v>
      </c>
      <c r="D1178" s="12" t="str">
        <f>IFERROR(__xludf.DUMMYFUNCTION("IFS(
  REGEXMATCH(A1178&amp;B1178, ""(?i)openai|gpt|gemini|anthropic|claude|mistral|cohere|rag|vector|llm|chatbot|ai-powered""), ""AI &amp; LLM"",
  REGEXMATCH(A1178&amp;B1178, ""(?i)twitter|instagram|facebook|linkedin|youtube|tiktok|threads|bluesky|pinterest|social"&amp;" video|reels?|shorts?""), ""Social Media"",
  REGEXMATCH(A1178&amp;B1178, ""(?i)hubspot|pipedrive|stripe|shopify|woocommerce|sales|crm|invoice|order|leads?|recruitment|bamboohr|erpnext""), ""CRM &amp; Sales"",
  REGEXMATCH(A1178&amp;B1178, ""(?i)gmail|outlook|calenda"&amp;"r|slack|discord|telegram|whatsapp|notion|trello|drive|sheets?|meeting|scheduler|appointment|mattermost""), ""Productivity &amp; Communication"",
  REGEXMATCH(A1178&amp;B1178, ""(?i)github|api|webhook|http|mysql|supabase|mongodb|redis|rss|pr|code review|incident|p"&amp;"agerduty|jira""), ""Development &amp; Utilities"",
  TRUE, ""Others""
)"),"AI &amp; LLM")</f>
        <v>AI &amp; LLM</v>
      </c>
    </row>
    <row r="1179" ht="15.75" customHeight="1">
      <c r="A1179" s="14" t="s">
        <v>2337</v>
      </c>
      <c r="B1179" s="15" t="s">
        <v>2338</v>
      </c>
      <c r="C1179" s="16" t="s">
        <v>7</v>
      </c>
      <c r="D1179" s="12" t="str">
        <f>IFERROR(__xludf.DUMMYFUNCTION("IFS(
  REGEXMATCH(A1179&amp;B1179, ""(?i)openai|gpt|gemini|anthropic|claude|mistral|cohere|rag|vector|llm|chatbot|ai-powered""), ""AI &amp; LLM"",
  REGEXMATCH(A1179&amp;B1179, ""(?i)twitter|instagram|facebook|linkedin|youtube|tiktok|threads|bluesky|pinterest|social"&amp;" video|reels?|shorts?""), ""Social Media"",
  REGEXMATCH(A1179&amp;B1179, ""(?i)hubspot|pipedrive|stripe|shopify|woocommerce|sales|crm|invoice|order|leads?|recruitment|bamboohr|erpnext""), ""CRM &amp; Sales"",
  REGEXMATCH(A1179&amp;B1179, ""(?i)gmail|outlook|calenda"&amp;"r|slack|discord|telegram|whatsapp|notion|trello|drive|sheets?|meeting|scheduler|appointment|mattermost""), ""Productivity &amp; Communication"",
  REGEXMATCH(A1179&amp;B1179, ""(?i)github|api|webhook|http|mysql|supabase|mongodb|redis|rss|pr|code review|incident|p"&amp;"agerduty|jira""), ""Development &amp; Utilities"",
  TRUE, ""Others""
)"),"AI &amp; LLM")</f>
        <v>AI &amp; LLM</v>
      </c>
    </row>
    <row r="1180" ht="15.75" customHeight="1">
      <c r="A1180" s="14" t="s">
        <v>2339</v>
      </c>
      <c r="B1180" s="15" t="s">
        <v>2340</v>
      </c>
      <c r="C1180" s="16" t="s">
        <v>7</v>
      </c>
      <c r="D1180" s="12" t="str">
        <f>IFERROR(__xludf.DUMMYFUNCTION("IFS(
  REGEXMATCH(A1180&amp;B1180, ""(?i)openai|gpt|gemini|anthropic|claude|mistral|cohere|rag|vector|llm|chatbot|ai-powered""), ""AI &amp; LLM"",
  REGEXMATCH(A1180&amp;B1180, ""(?i)twitter|instagram|facebook|linkedin|youtube|tiktok|threads|bluesky|pinterest|social"&amp;" video|reels?|shorts?""), ""Social Media"",
  REGEXMATCH(A1180&amp;B1180, ""(?i)hubspot|pipedrive|stripe|shopify|woocommerce|sales|crm|invoice|order|leads?|recruitment|bamboohr|erpnext""), ""CRM &amp; Sales"",
  REGEXMATCH(A1180&amp;B1180, ""(?i)gmail|outlook|calenda"&amp;"r|slack|discord|telegram|whatsapp|notion|trello|drive|sheets?|meeting|scheduler|appointment|mattermost""), ""Productivity &amp; Communication"",
  REGEXMATCH(A1180&amp;B1180, ""(?i)github|api|webhook|http|mysql|supabase|mongodb|redis|rss|pr|code review|incident|p"&amp;"agerduty|jira""), ""Development &amp; Utilities"",
  TRUE, ""Others""
)"),"AI &amp; LLM")</f>
        <v>AI &amp; LLM</v>
      </c>
    </row>
    <row r="1181" ht="15.75" customHeight="1">
      <c r="A1181" s="14" t="s">
        <v>2341</v>
      </c>
      <c r="B1181" s="15" t="s">
        <v>2342</v>
      </c>
      <c r="C1181" s="16" t="s">
        <v>7</v>
      </c>
      <c r="D1181" s="12" t="str">
        <f>IFERROR(__xludf.DUMMYFUNCTION("IFS(
  REGEXMATCH(A1181&amp;B1181, ""(?i)openai|gpt|gemini|anthropic|claude|mistral|cohere|rag|vector|llm|chatbot|ai-powered""), ""AI &amp; LLM"",
  REGEXMATCH(A1181&amp;B1181, ""(?i)twitter|instagram|facebook|linkedin|youtube|tiktok|threads|bluesky|pinterest|social"&amp;" video|reels?|shorts?""), ""Social Media"",
  REGEXMATCH(A1181&amp;B1181, ""(?i)hubspot|pipedrive|stripe|shopify|woocommerce|sales|crm|invoice|order|leads?|recruitment|bamboohr|erpnext""), ""CRM &amp; Sales"",
  REGEXMATCH(A1181&amp;B1181, ""(?i)gmail|outlook|calenda"&amp;"r|slack|discord|telegram|whatsapp|notion|trello|drive|sheets?|meeting|scheduler|appointment|mattermost""), ""Productivity &amp; Communication"",
  REGEXMATCH(A1181&amp;B1181, ""(?i)github|api|webhook|http|mysql|supabase|mongodb|redis|rss|pr|code review|incident|p"&amp;"agerduty|jira""), ""Development &amp; Utilities"",
  TRUE, ""Others""
)"),"Productivity &amp; Communication")</f>
        <v>Productivity &amp; Communication</v>
      </c>
    </row>
    <row r="1182" ht="15.75" customHeight="1">
      <c r="A1182" s="14" t="s">
        <v>2343</v>
      </c>
      <c r="B1182" s="15" t="s">
        <v>2344</v>
      </c>
      <c r="C1182" s="16" t="s">
        <v>7</v>
      </c>
      <c r="D1182" s="12" t="str">
        <f>IFERROR(__xludf.DUMMYFUNCTION("IFS(
  REGEXMATCH(A1182&amp;B1182, ""(?i)openai|gpt|gemini|anthropic|claude|mistral|cohere|rag|vector|llm|chatbot|ai-powered""), ""AI &amp; LLM"",
  REGEXMATCH(A1182&amp;B1182, ""(?i)twitter|instagram|facebook|linkedin|youtube|tiktok|threads|bluesky|pinterest|social"&amp;" video|reels?|shorts?""), ""Social Media"",
  REGEXMATCH(A1182&amp;B1182, ""(?i)hubspot|pipedrive|stripe|shopify|woocommerce|sales|crm|invoice|order|leads?|recruitment|bamboohr|erpnext""), ""CRM &amp; Sales"",
  REGEXMATCH(A1182&amp;B1182, ""(?i)gmail|outlook|calenda"&amp;"r|slack|discord|telegram|whatsapp|notion|trello|drive|sheets?|meeting|scheduler|appointment|mattermost""), ""Productivity &amp; Communication"",
  REGEXMATCH(A1182&amp;B1182, ""(?i)github|api|webhook|http|mysql|supabase|mongodb|redis|rss|pr|code review|incident|p"&amp;"agerduty|jira""), ""Development &amp; Utilities"",
  TRUE, ""Others""
)"),"AI &amp; LLM")</f>
        <v>AI &amp; LLM</v>
      </c>
    </row>
    <row r="1183" ht="15.75" customHeight="1">
      <c r="A1183" s="14" t="s">
        <v>2345</v>
      </c>
      <c r="B1183" s="15" t="s">
        <v>2346</v>
      </c>
      <c r="C1183" s="16" t="s">
        <v>7</v>
      </c>
      <c r="D1183" s="12" t="str">
        <f>IFERROR(__xludf.DUMMYFUNCTION("IFS(
  REGEXMATCH(A1183&amp;B1183, ""(?i)openai|gpt|gemini|anthropic|claude|mistral|cohere|rag|vector|llm|chatbot|ai-powered""), ""AI &amp; LLM"",
  REGEXMATCH(A1183&amp;B1183, ""(?i)twitter|instagram|facebook|linkedin|youtube|tiktok|threads|bluesky|pinterest|social"&amp;" video|reels?|shorts?""), ""Social Media"",
  REGEXMATCH(A1183&amp;B1183, ""(?i)hubspot|pipedrive|stripe|shopify|woocommerce|sales|crm|invoice|order|leads?|recruitment|bamboohr|erpnext""), ""CRM &amp; Sales"",
  REGEXMATCH(A1183&amp;B1183, ""(?i)gmail|outlook|calenda"&amp;"r|slack|discord|telegram|whatsapp|notion|trello|drive|sheets?|meeting|scheduler|appointment|mattermost""), ""Productivity &amp; Communication"",
  REGEXMATCH(A1183&amp;B1183, ""(?i)github|api|webhook|http|mysql|supabase|mongodb|redis|rss|pr|code review|incident|p"&amp;"agerduty|jira""), ""Development &amp; Utilities"",
  TRUE, ""Others""
)"),"Development &amp; Utilities")</f>
        <v>Development &amp; Utilities</v>
      </c>
    </row>
    <row r="1184" ht="15.75" customHeight="1">
      <c r="A1184" s="14" t="s">
        <v>2347</v>
      </c>
      <c r="B1184" s="15" t="s">
        <v>2348</v>
      </c>
      <c r="C1184" s="16" t="s">
        <v>7</v>
      </c>
      <c r="D1184" s="12" t="str">
        <f>IFERROR(__xludf.DUMMYFUNCTION("IFS(
  REGEXMATCH(A1184&amp;B1184, ""(?i)openai|gpt|gemini|anthropic|claude|mistral|cohere|rag|vector|llm|chatbot|ai-powered""), ""AI &amp; LLM"",
  REGEXMATCH(A1184&amp;B1184, ""(?i)twitter|instagram|facebook|linkedin|youtube|tiktok|threads|bluesky|pinterest|social"&amp;" video|reels?|shorts?""), ""Social Media"",
  REGEXMATCH(A1184&amp;B1184, ""(?i)hubspot|pipedrive|stripe|shopify|woocommerce|sales|crm|invoice|order|leads?|recruitment|bamboohr|erpnext""), ""CRM &amp; Sales"",
  REGEXMATCH(A1184&amp;B1184, ""(?i)gmail|outlook|calenda"&amp;"r|slack|discord|telegram|whatsapp|notion|trello|drive|sheets?|meeting|scheduler|appointment|mattermost""), ""Productivity &amp; Communication"",
  REGEXMATCH(A1184&amp;B1184, ""(?i)github|api|webhook|http|mysql|supabase|mongodb|redis|rss|pr|code review|incident|p"&amp;"agerduty|jira""), ""Development &amp; Utilities"",
  TRUE, ""Others""
)"),"Development &amp; Utilities")</f>
        <v>Development &amp; Utilities</v>
      </c>
    </row>
    <row r="1185" ht="15.75" customHeight="1">
      <c r="A1185" s="14" t="s">
        <v>2349</v>
      </c>
      <c r="B1185" s="15" t="s">
        <v>2350</v>
      </c>
      <c r="C1185" s="16" t="s">
        <v>7</v>
      </c>
      <c r="D1185" s="12" t="str">
        <f>IFERROR(__xludf.DUMMYFUNCTION("IFS(
  REGEXMATCH(A1185&amp;B1185, ""(?i)openai|gpt|gemini|anthropic|claude|mistral|cohere|rag|vector|llm|chatbot|ai-powered""), ""AI &amp; LLM"",
  REGEXMATCH(A1185&amp;B1185, ""(?i)twitter|instagram|facebook|linkedin|youtube|tiktok|threads|bluesky|pinterest|social"&amp;" video|reels?|shorts?""), ""Social Media"",
  REGEXMATCH(A1185&amp;B1185, ""(?i)hubspot|pipedrive|stripe|shopify|woocommerce|sales|crm|invoice|order|leads?|recruitment|bamboohr|erpnext""), ""CRM &amp; Sales"",
  REGEXMATCH(A1185&amp;B1185, ""(?i)gmail|outlook|calenda"&amp;"r|slack|discord|telegram|whatsapp|notion|trello|drive|sheets?|meeting|scheduler|appointment|mattermost""), ""Productivity &amp; Communication"",
  REGEXMATCH(A1185&amp;B1185, ""(?i)github|api|webhook|http|mysql|supabase|mongodb|redis|rss|pr|code review|incident|p"&amp;"agerduty|jira""), ""Development &amp; Utilities"",
  TRUE, ""Others""
)"),"AI &amp; LLM")</f>
        <v>AI &amp; LLM</v>
      </c>
    </row>
    <row r="1186" ht="15.75" customHeight="1">
      <c r="A1186" s="14" t="s">
        <v>2351</v>
      </c>
      <c r="B1186" s="15" t="s">
        <v>2352</v>
      </c>
      <c r="C1186" s="16" t="s">
        <v>7</v>
      </c>
      <c r="D1186" s="12" t="str">
        <f>IFERROR(__xludf.DUMMYFUNCTION("IFS(
  REGEXMATCH(A1186&amp;B1186, ""(?i)openai|gpt|gemini|anthropic|claude|mistral|cohere|rag|vector|llm|chatbot|ai-powered""), ""AI &amp; LLM"",
  REGEXMATCH(A1186&amp;B1186, ""(?i)twitter|instagram|facebook|linkedin|youtube|tiktok|threads|bluesky|pinterest|social"&amp;" video|reels?|shorts?""), ""Social Media"",
  REGEXMATCH(A1186&amp;B1186, ""(?i)hubspot|pipedrive|stripe|shopify|woocommerce|sales|crm|invoice|order|leads?|recruitment|bamboohr|erpnext""), ""CRM &amp; Sales"",
  REGEXMATCH(A1186&amp;B1186, ""(?i)gmail|outlook|calenda"&amp;"r|slack|discord|telegram|whatsapp|notion|trello|drive|sheets?|meeting|scheduler|appointment|mattermost""), ""Productivity &amp; Communication"",
  REGEXMATCH(A1186&amp;B1186, ""(?i)github|api|webhook|http|mysql|supabase|mongodb|redis|rss|pr|code review|incident|p"&amp;"agerduty|jira""), ""Development &amp; Utilities"",
  TRUE, ""Others""
)"),"AI &amp; LLM")</f>
        <v>AI &amp; LLM</v>
      </c>
    </row>
    <row r="1187" ht="15.75" customHeight="1">
      <c r="A1187" s="14" t="s">
        <v>2353</v>
      </c>
      <c r="B1187" s="15" t="s">
        <v>2354</v>
      </c>
      <c r="C1187" s="16" t="s">
        <v>7</v>
      </c>
      <c r="D1187" s="12" t="str">
        <f>IFERROR(__xludf.DUMMYFUNCTION("IFS(
  REGEXMATCH(A1187&amp;B1187, ""(?i)openai|gpt|gemini|anthropic|claude|mistral|cohere|rag|vector|llm|chatbot|ai-powered""), ""AI &amp; LLM"",
  REGEXMATCH(A1187&amp;B1187, ""(?i)twitter|instagram|facebook|linkedin|youtube|tiktok|threads|bluesky|pinterest|social"&amp;" video|reels?|shorts?""), ""Social Media"",
  REGEXMATCH(A1187&amp;B1187, ""(?i)hubspot|pipedrive|stripe|shopify|woocommerce|sales|crm|invoice|order|leads?|recruitment|bamboohr|erpnext""), ""CRM &amp; Sales"",
  REGEXMATCH(A1187&amp;B1187, ""(?i)gmail|outlook|calenda"&amp;"r|slack|discord|telegram|whatsapp|notion|trello|drive|sheets?|meeting|scheduler|appointment|mattermost""), ""Productivity &amp; Communication"",
  REGEXMATCH(A1187&amp;B1187, ""(?i)github|api|webhook|http|mysql|supabase|mongodb|redis|rss|pr|code review|incident|p"&amp;"agerduty|jira""), ""Development &amp; Utilities"",
  TRUE, ""Others""
)"),"AI &amp; LLM")</f>
        <v>AI &amp; LLM</v>
      </c>
    </row>
    <row r="1188" ht="15.75" customHeight="1">
      <c r="A1188" s="14" t="s">
        <v>2355</v>
      </c>
      <c r="B1188" s="15" t="s">
        <v>2356</v>
      </c>
      <c r="C1188" s="16" t="s">
        <v>7</v>
      </c>
      <c r="D1188" s="12" t="str">
        <f>IFERROR(__xludf.DUMMYFUNCTION("IFS(
  REGEXMATCH(A1188&amp;B1188, ""(?i)openai|gpt|gemini|anthropic|claude|mistral|cohere|rag|vector|llm|chatbot|ai-powered""), ""AI &amp; LLM"",
  REGEXMATCH(A1188&amp;B1188, ""(?i)twitter|instagram|facebook|linkedin|youtube|tiktok|threads|bluesky|pinterest|social"&amp;" video|reels?|shorts?""), ""Social Media"",
  REGEXMATCH(A1188&amp;B1188, ""(?i)hubspot|pipedrive|stripe|shopify|woocommerce|sales|crm|invoice|order|leads?|recruitment|bamboohr|erpnext""), ""CRM &amp; Sales"",
  REGEXMATCH(A1188&amp;B1188, ""(?i)gmail|outlook|calenda"&amp;"r|slack|discord|telegram|whatsapp|notion|trello|drive|sheets?|meeting|scheduler|appointment|mattermost""), ""Productivity &amp; Communication"",
  REGEXMATCH(A1188&amp;B1188, ""(?i)github|api|webhook|http|mysql|supabase|mongodb|redis|rss|pr|code review|incident|p"&amp;"agerduty|jira""), ""Development &amp; Utilities"",
  TRUE, ""Others""
)"),"AI &amp; LLM")</f>
        <v>AI &amp; LLM</v>
      </c>
    </row>
    <row r="1189" ht="15.75" customHeight="1">
      <c r="A1189" s="14" t="s">
        <v>2357</v>
      </c>
      <c r="B1189" s="15" t="s">
        <v>2358</v>
      </c>
      <c r="C1189" s="16" t="s">
        <v>7</v>
      </c>
      <c r="D1189" s="12" t="str">
        <f>IFERROR(__xludf.DUMMYFUNCTION("IFS(
  REGEXMATCH(A1189&amp;B1189, ""(?i)openai|gpt|gemini|anthropic|claude|mistral|cohere|rag|vector|llm|chatbot|ai-powered""), ""AI &amp; LLM"",
  REGEXMATCH(A1189&amp;B1189, ""(?i)twitter|instagram|facebook|linkedin|youtube|tiktok|threads|bluesky|pinterest|social"&amp;" video|reels?|shorts?""), ""Social Media"",
  REGEXMATCH(A1189&amp;B1189, ""(?i)hubspot|pipedrive|stripe|shopify|woocommerce|sales|crm|invoice|order|leads?|recruitment|bamboohr|erpnext""), ""CRM &amp; Sales"",
  REGEXMATCH(A1189&amp;B1189, ""(?i)gmail|outlook|calenda"&amp;"r|slack|discord|telegram|whatsapp|notion|trello|drive|sheets?|meeting|scheduler|appointment|mattermost""), ""Productivity &amp; Communication"",
  REGEXMATCH(A1189&amp;B1189, ""(?i)github|api|webhook|http|mysql|supabase|mongodb|redis|rss|pr|code review|incident|p"&amp;"agerduty|jira""), ""Development &amp; Utilities"",
  TRUE, ""Others""
)"),"Development &amp; Utilities")</f>
        <v>Development &amp; Utilities</v>
      </c>
    </row>
    <row r="1190" ht="15.75" customHeight="1">
      <c r="A1190" s="14" t="s">
        <v>2359</v>
      </c>
      <c r="B1190" s="15" t="s">
        <v>2360</v>
      </c>
      <c r="C1190" s="16" t="s">
        <v>7</v>
      </c>
      <c r="D1190" s="12" t="str">
        <f>IFERROR(__xludf.DUMMYFUNCTION("IFS(
  REGEXMATCH(A1190&amp;B1190, ""(?i)openai|gpt|gemini|anthropic|claude|mistral|cohere|rag|vector|llm|chatbot|ai-powered""), ""AI &amp; LLM"",
  REGEXMATCH(A1190&amp;B1190, ""(?i)twitter|instagram|facebook|linkedin|youtube|tiktok|threads|bluesky|pinterest|social"&amp;" video|reels?|shorts?""), ""Social Media"",
  REGEXMATCH(A1190&amp;B1190, ""(?i)hubspot|pipedrive|stripe|shopify|woocommerce|sales|crm|invoice|order|leads?|recruitment|bamboohr|erpnext""), ""CRM &amp; Sales"",
  REGEXMATCH(A1190&amp;B1190, ""(?i)gmail|outlook|calenda"&amp;"r|slack|discord|telegram|whatsapp|notion|trello|drive|sheets?|meeting|scheduler|appointment|mattermost""), ""Productivity &amp; Communication"",
  REGEXMATCH(A1190&amp;B1190, ""(?i)github|api|webhook|http|mysql|supabase|mongodb|redis|rss|pr|code review|incident|p"&amp;"agerduty|jira""), ""Development &amp; Utilities"",
  TRUE, ""Others""
)"),"AI &amp; LLM")</f>
        <v>AI &amp; LLM</v>
      </c>
    </row>
    <row r="1191" ht="15.75" customHeight="1">
      <c r="A1191" s="14" t="s">
        <v>2361</v>
      </c>
      <c r="B1191" s="15" t="s">
        <v>2362</v>
      </c>
      <c r="C1191" s="16" t="s">
        <v>7</v>
      </c>
      <c r="D1191" s="12" t="str">
        <f>IFERROR(__xludf.DUMMYFUNCTION("IFS(
  REGEXMATCH(A1191&amp;B1191, ""(?i)openai|gpt|gemini|anthropic|claude|mistral|cohere|rag|vector|llm|chatbot|ai-powered""), ""AI &amp; LLM"",
  REGEXMATCH(A1191&amp;B1191, ""(?i)twitter|instagram|facebook|linkedin|youtube|tiktok|threads|bluesky|pinterest|social"&amp;" video|reels?|shorts?""), ""Social Media"",
  REGEXMATCH(A1191&amp;B1191, ""(?i)hubspot|pipedrive|stripe|shopify|woocommerce|sales|crm|invoice|order|leads?|recruitment|bamboohr|erpnext""), ""CRM &amp; Sales"",
  REGEXMATCH(A1191&amp;B1191, ""(?i)gmail|outlook|calenda"&amp;"r|slack|discord|telegram|whatsapp|notion|trello|drive|sheets?|meeting|scheduler|appointment|mattermost""), ""Productivity &amp; Communication"",
  REGEXMATCH(A1191&amp;B1191, ""(?i)github|api|webhook|http|mysql|supabase|mongodb|redis|rss|pr|code review|incident|p"&amp;"agerduty|jira""), ""Development &amp; Utilities"",
  TRUE, ""Others""
)"),"AI &amp; LLM")</f>
        <v>AI &amp; LLM</v>
      </c>
    </row>
    <row r="1192" ht="15.75" customHeight="1">
      <c r="A1192" s="14" t="s">
        <v>2363</v>
      </c>
      <c r="B1192" s="15" t="s">
        <v>2364</v>
      </c>
      <c r="C1192" s="16" t="s">
        <v>7</v>
      </c>
      <c r="D1192" s="12" t="str">
        <f>IFERROR(__xludf.DUMMYFUNCTION("IFS(
  REGEXMATCH(A1192&amp;B1192, ""(?i)openai|gpt|gemini|anthropic|claude|mistral|cohere|rag|vector|llm|chatbot|ai-powered""), ""AI &amp; LLM"",
  REGEXMATCH(A1192&amp;B1192, ""(?i)twitter|instagram|facebook|linkedin|youtube|tiktok|threads|bluesky|pinterest|social"&amp;" video|reels?|shorts?""), ""Social Media"",
  REGEXMATCH(A1192&amp;B1192, ""(?i)hubspot|pipedrive|stripe|shopify|woocommerce|sales|crm|invoice|order|leads?|recruitment|bamboohr|erpnext""), ""CRM &amp; Sales"",
  REGEXMATCH(A1192&amp;B1192, ""(?i)gmail|outlook|calenda"&amp;"r|slack|discord|telegram|whatsapp|notion|trello|drive|sheets?|meeting|scheduler|appointment|mattermost""), ""Productivity &amp; Communication"",
  REGEXMATCH(A1192&amp;B1192, ""(?i)github|api|webhook|http|mysql|supabase|mongodb|redis|rss|pr|code review|incident|p"&amp;"agerduty|jira""), ""Development &amp; Utilities"",
  TRUE, ""Others""
)"),"AI &amp; LLM")</f>
        <v>AI &amp; LLM</v>
      </c>
    </row>
    <row r="1193" ht="15.75" customHeight="1">
      <c r="A1193" s="14" t="s">
        <v>2365</v>
      </c>
      <c r="B1193" s="15" t="s">
        <v>2366</v>
      </c>
      <c r="C1193" s="16" t="s">
        <v>7</v>
      </c>
      <c r="D1193" s="12" t="str">
        <f>IFERROR(__xludf.DUMMYFUNCTION("IFS(
  REGEXMATCH(A1193&amp;B1193, ""(?i)openai|gpt|gemini|anthropic|claude|mistral|cohere|rag|vector|llm|chatbot|ai-powered""), ""AI &amp; LLM"",
  REGEXMATCH(A1193&amp;B1193, ""(?i)twitter|instagram|facebook|linkedin|youtube|tiktok|threads|bluesky|pinterest|social"&amp;" video|reels?|shorts?""), ""Social Media"",
  REGEXMATCH(A1193&amp;B1193, ""(?i)hubspot|pipedrive|stripe|shopify|woocommerce|sales|crm|invoice|order|leads?|recruitment|bamboohr|erpnext""), ""CRM &amp; Sales"",
  REGEXMATCH(A1193&amp;B1193, ""(?i)gmail|outlook|calenda"&amp;"r|slack|discord|telegram|whatsapp|notion|trello|drive|sheets?|meeting|scheduler|appointment|mattermost""), ""Productivity &amp; Communication"",
  REGEXMATCH(A1193&amp;B1193, ""(?i)github|api|webhook|http|mysql|supabase|mongodb|redis|rss|pr|code review|incident|p"&amp;"agerduty|jira""), ""Development &amp; Utilities"",
  TRUE, ""Others""
)"),"AI &amp; LLM")</f>
        <v>AI &amp; LLM</v>
      </c>
    </row>
    <row r="1194" ht="15.75" customHeight="1">
      <c r="A1194" s="14" t="s">
        <v>2367</v>
      </c>
      <c r="B1194" s="15" t="s">
        <v>2368</v>
      </c>
      <c r="C1194" s="16" t="s">
        <v>7</v>
      </c>
      <c r="D1194" s="12" t="str">
        <f>IFERROR(__xludf.DUMMYFUNCTION("IFS(
  REGEXMATCH(A1194&amp;B1194, ""(?i)openai|gpt|gemini|anthropic|claude|mistral|cohere|rag|vector|llm|chatbot|ai-powered""), ""AI &amp; LLM"",
  REGEXMATCH(A1194&amp;B1194, ""(?i)twitter|instagram|facebook|linkedin|youtube|tiktok|threads|bluesky|pinterest|social"&amp;" video|reels?|shorts?""), ""Social Media"",
  REGEXMATCH(A1194&amp;B1194, ""(?i)hubspot|pipedrive|stripe|shopify|woocommerce|sales|crm|invoice|order|leads?|recruitment|bamboohr|erpnext""), ""CRM &amp; Sales"",
  REGEXMATCH(A1194&amp;B1194, ""(?i)gmail|outlook|calenda"&amp;"r|slack|discord|telegram|whatsapp|notion|trello|drive|sheets?|meeting|scheduler|appointment|mattermost""), ""Productivity &amp; Communication"",
  REGEXMATCH(A1194&amp;B1194, ""(?i)github|api|webhook|http|mysql|supabase|mongodb|redis|rss|pr|code review|incident|p"&amp;"agerduty|jira""), ""Development &amp; Utilities"",
  TRUE, ""Others""
)"),"Productivity &amp; Communication")</f>
        <v>Productivity &amp; Communication</v>
      </c>
    </row>
    <row r="1195" ht="15.75" customHeight="1">
      <c r="A1195" s="14" t="s">
        <v>2369</v>
      </c>
      <c r="B1195" s="15" t="s">
        <v>2370</v>
      </c>
      <c r="C1195" s="16" t="s">
        <v>7</v>
      </c>
      <c r="D1195" s="12" t="str">
        <f>IFERROR(__xludf.DUMMYFUNCTION("IFS(
  REGEXMATCH(A1195&amp;B1195, ""(?i)openai|gpt|gemini|anthropic|claude|mistral|cohere|rag|vector|llm|chatbot|ai-powered""), ""AI &amp; LLM"",
  REGEXMATCH(A1195&amp;B1195, ""(?i)twitter|instagram|facebook|linkedin|youtube|tiktok|threads|bluesky|pinterest|social"&amp;" video|reels?|shorts?""), ""Social Media"",
  REGEXMATCH(A1195&amp;B1195, ""(?i)hubspot|pipedrive|stripe|shopify|woocommerce|sales|crm|invoice|order|leads?|recruitment|bamboohr|erpnext""), ""CRM &amp; Sales"",
  REGEXMATCH(A1195&amp;B1195, ""(?i)gmail|outlook|calenda"&amp;"r|slack|discord|telegram|whatsapp|notion|trello|drive|sheets?|meeting|scheduler|appointment|mattermost""), ""Productivity &amp; Communication"",
  REGEXMATCH(A1195&amp;B1195, ""(?i)github|api|webhook|http|mysql|supabase|mongodb|redis|rss|pr|code review|incident|p"&amp;"agerduty|jira""), ""Development &amp; Utilities"",
  TRUE, ""Others""
)"),"AI &amp; LLM")</f>
        <v>AI &amp; LLM</v>
      </c>
    </row>
    <row r="1196" ht="15.75" customHeight="1">
      <c r="A1196" s="14" t="s">
        <v>2371</v>
      </c>
      <c r="B1196" s="15" t="s">
        <v>2372</v>
      </c>
      <c r="C1196" s="16" t="s">
        <v>7</v>
      </c>
      <c r="D1196" s="12" t="str">
        <f>IFERROR(__xludf.DUMMYFUNCTION("IFS(
  REGEXMATCH(A1196&amp;B1196, ""(?i)openai|gpt|gemini|anthropic|claude|mistral|cohere|rag|vector|llm|chatbot|ai-powered""), ""AI &amp; LLM"",
  REGEXMATCH(A1196&amp;B1196, ""(?i)twitter|instagram|facebook|linkedin|youtube|tiktok|threads|bluesky|pinterest|social"&amp;" video|reels?|shorts?""), ""Social Media"",
  REGEXMATCH(A1196&amp;B1196, ""(?i)hubspot|pipedrive|stripe|shopify|woocommerce|sales|crm|invoice|order|leads?|recruitment|bamboohr|erpnext""), ""CRM &amp; Sales"",
  REGEXMATCH(A1196&amp;B1196, ""(?i)gmail|outlook|calenda"&amp;"r|slack|discord|telegram|whatsapp|notion|trello|drive|sheets?|meeting|scheduler|appointment|mattermost""), ""Productivity &amp; Communication"",
  REGEXMATCH(A1196&amp;B1196, ""(?i)github|api|webhook|http|mysql|supabase|mongodb|redis|rss|pr|code review|incident|p"&amp;"agerduty|jira""), ""Development &amp; Utilities"",
  TRUE, ""Others""
)"),"AI &amp; LLM")</f>
        <v>AI &amp; LLM</v>
      </c>
    </row>
    <row r="1197" ht="15.75" customHeight="1">
      <c r="A1197" s="14" t="s">
        <v>2373</v>
      </c>
      <c r="B1197" s="15" t="s">
        <v>2374</v>
      </c>
      <c r="C1197" s="16" t="s">
        <v>7</v>
      </c>
      <c r="D1197" s="12" t="str">
        <f>IFERROR(__xludf.DUMMYFUNCTION("IFS(
  REGEXMATCH(A1197&amp;B1197, ""(?i)openai|gpt|gemini|anthropic|claude|mistral|cohere|rag|vector|llm|chatbot|ai-powered""), ""AI &amp; LLM"",
  REGEXMATCH(A1197&amp;B1197, ""(?i)twitter|instagram|facebook|linkedin|youtube|tiktok|threads|bluesky|pinterest|social"&amp;" video|reels?|shorts?""), ""Social Media"",
  REGEXMATCH(A1197&amp;B1197, ""(?i)hubspot|pipedrive|stripe|shopify|woocommerce|sales|crm|invoice|order|leads?|recruitment|bamboohr|erpnext""), ""CRM &amp; Sales"",
  REGEXMATCH(A1197&amp;B1197, ""(?i)gmail|outlook|calenda"&amp;"r|slack|discord|telegram|whatsapp|notion|trello|drive|sheets?|meeting|scheduler|appointment|mattermost""), ""Productivity &amp; Communication"",
  REGEXMATCH(A1197&amp;B1197, ""(?i)github|api|webhook|http|mysql|supabase|mongodb|redis|rss|pr|code review|incident|p"&amp;"agerduty|jira""), ""Development &amp; Utilities"",
  TRUE, ""Others""
)"),"Social Media")</f>
        <v>Social Media</v>
      </c>
    </row>
    <row r="1198" ht="15.75" customHeight="1">
      <c r="A1198" s="14" t="s">
        <v>2375</v>
      </c>
      <c r="B1198" s="15" t="s">
        <v>2376</v>
      </c>
      <c r="C1198" s="16" t="s">
        <v>7</v>
      </c>
      <c r="D1198" s="12" t="str">
        <f>IFERROR(__xludf.DUMMYFUNCTION("IFS(
  REGEXMATCH(A1198&amp;B1198, ""(?i)openai|gpt|gemini|anthropic|claude|mistral|cohere|rag|vector|llm|chatbot|ai-powered""), ""AI &amp; LLM"",
  REGEXMATCH(A1198&amp;B1198, ""(?i)twitter|instagram|facebook|linkedin|youtube|tiktok|threads|bluesky|pinterest|social"&amp;" video|reels?|shorts?""), ""Social Media"",
  REGEXMATCH(A1198&amp;B1198, ""(?i)hubspot|pipedrive|stripe|shopify|woocommerce|sales|crm|invoice|order|leads?|recruitment|bamboohr|erpnext""), ""CRM &amp; Sales"",
  REGEXMATCH(A1198&amp;B1198, ""(?i)gmail|outlook|calenda"&amp;"r|slack|discord|telegram|whatsapp|notion|trello|drive|sheets?|meeting|scheduler|appointment|mattermost""), ""Productivity &amp; Communication"",
  REGEXMATCH(A1198&amp;B1198, ""(?i)github|api|webhook|http|mysql|supabase|mongodb|redis|rss|pr|code review|incident|p"&amp;"agerduty|jira""), ""Development &amp; Utilities"",
  TRUE, ""Others""
)"),"AI &amp; LLM")</f>
        <v>AI &amp; LLM</v>
      </c>
    </row>
    <row r="1199" ht="15.75" customHeight="1">
      <c r="A1199" s="14" t="s">
        <v>2377</v>
      </c>
      <c r="B1199" s="15" t="s">
        <v>2378</v>
      </c>
      <c r="C1199" s="16" t="s">
        <v>7</v>
      </c>
      <c r="D1199" s="12" t="str">
        <f>IFERROR(__xludf.DUMMYFUNCTION("IFS(
  REGEXMATCH(A1199&amp;B1199, ""(?i)openai|gpt|gemini|anthropic|claude|mistral|cohere|rag|vector|llm|chatbot|ai-powered""), ""AI &amp; LLM"",
  REGEXMATCH(A1199&amp;B1199, ""(?i)twitter|instagram|facebook|linkedin|youtube|tiktok|threads|bluesky|pinterest|social"&amp;" video|reels?|shorts?""), ""Social Media"",
  REGEXMATCH(A1199&amp;B1199, ""(?i)hubspot|pipedrive|stripe|shopify|woocommerce|sales|crm|invoice|order|leads?|recruitment|bamboohr|erpnext""), ""CRM &amp; Sales"",
  REGEXMATCH(A1199&amp;B1199, ""(?i)gmail|outlook|calenda"&amp;"r|slack|discord|telegram|whatsapp|notion|trello|drive|sheets?|meeting|scheduler|appointment|mattermost""), ""Productivity &amp; Communication"",
  REGEXMATCH(A1199&amp;B1199, ""(?i)github|api|webhook|http|mysql|supabase|mongodb|redis|rss|pr|code review|incident|p"&amp;"agerduty|jira""), ""Development &amp; Utilities"",
  TRUE, ""Others""
)"),"Development &amp; Utilities")</f>
        <v>Development &amp; Utilities</v>
      </c>
    </row>
    <row r="1200" ht="15.75" customHeight="1">
      <c r="A1200" s="14" t="s">
        <v>2379</v>
      </c>
      <c r="B1200" s="15" t="s">
        <v>2380</v>
      </c>
      <c r="C1200" s="16" t="s">
        <v>7</v>
      </c>
      <c r="D1200" s="12" t="str">
        <f>IFERROR(__xludf.DUMMYFUNCTION("IFS(
  REGEXMATCH(A1200&amp;B1200, ""(?i)openai|gpt|gemini|anthropic|claude|mistral|cohere|rag|vector|llm|chatbot|ai-powered""), ""AI &amp; LLM"",
  REGEXMATCH(A1200&amp;B1200, ""(?i)twitter|instagram|facebook|linkedin|youtube|tiktok|threads|bluesky|pinterest|social"&amp;" video|reels?|shorts?""), ""Social Media"",
  REGEXMATCH(A1200&amp;B1200, ""(?i)hubspot|pipedrive|stripe|shopify|woocommerce|sales|crm|invoice|order|leads?|recruitment|bamboohr|erpnext""), ""CRM &amp; Sales"",
  REGEXMATCH(A1200&amp;B1200, ""(?i)gmail|outlook|calenda"&amp;"r|slack|discord|telegram|whatsapp|notion|trello|drive|sheets?|meeting|scheduler|appointment|mattermost""), ""Productivity &amp; Communication"",
  REGEXMATCH(A1200&amp;B1200, ""(?i)github|api|webhook|http|mysql|supabase|mongodb|redis|rss|pr|code review|incident|p"&amp;"agerduty|jira""), ""Development &amp; Utilities"",
  TRUE, ""Others""
)"),"AI &amp; LLM")</f>
        <v>AI &amp; LLM</v>
      </c>
    </row>
    <row r="1201" ht="15.75" customHeight="1">
      <c r="A1201" s="14" t="s">
        <v>2381</v>
      </c>
      <c r="B1201" s="15" t="s">
        <v>2382</v>
      </c>
      <c r="C1201" s="16" t="s">
        <v>7</v>
      </c>
      <c r="D1201" s="12" t="str">
        <f>IFERROR(__xludf.DUMMYFUNCTION("IFS(
  REGEXMATCH(A1201&amp;B1201, ""(?i)openai|gpt|gemini|anthropic|claude|mistral|cohere|rag|vector|llm|chatbot|ai-powered""), ""AI &amp; LLM"",
  REGEXMATCH(A1201&amp;B1201, ""(?i)twitter|instagram|facebook|linkedin|youtube|tiktok|threads|bluesky|pinterest|social"&amp;" video|reels?|shorts?""), ""Social Media"",
  REGEXMATCH(A1201&amp;B1201, ""(?i)hubspot|pipedrive|stripe|shopify|woocommerce|sales|crm|invoice|order|leads?|recruitment|bamboohr|erpnext""), ""CRM &amp; Sales"",
  REGEXMATCH(A1201&amp;B1201, ""(?i)gmail|outlook|calenda"&amp;"r|slack|discord|telegram|whatsapp|notion|trello|drive|sheets?|meeting|scheduler|appointment|mattermost""), ""Productivity &amp; Communication"",
  REGEXMATCH(A1201&amp;B1201, ""(?i)github|api|webhook|http|mysql|supabase|mongodb|redis|rss|pr|code review|incident|p"&amp;"agerduty|jira""), ""Development &amp; Utilities"",
  TRUE, ""Others""
)"),"AI &amp; LLM")</f>
        <v>AI &amp; LLM</v>
      </c>
    </row>
    <row r="1202" ht="15.75" customHeight="1">
      <c r="A1202" s="14" t="s">
        <v>2383</v>
      </c>
      <c r="B1202" s="15" t="s">
        <v>2384</v>
      </c>
      <c r="C1202" s="16" t="s">
        <v>7</v>
      </c>
      <c r="D1202" s="12" t="str">
        <f>IFERROR(__xludf.DUMMYFUNCTION("IFS(
  REGEXMATCH(A1202&amp;B1202, ""(?i)openai|gpt|gemini|anthropic|claude|mistral|cohere|rag|vector|llm|chatbot|ai-powered""), ""AI &amp; LLM"",
  REGEXMATCH(A1202&amp;B1202, ""(?i)twitter|instagram|facebook|linkedin|youtube|tiktok|threads|bluesky|pinterest|social"&amp;" video|reels?|shorts?""), ""Social Media"",
  REGEXMATCH(A1202&amp;B1202, ""(?i)hubspot|pipedrive|stripe|shopify|woocommerce|sales|crm|invoice|order|leads?|recruitment|bamboohr|erpnext""), ""CRM &amp; Sales"",
  REGEXMATCH(A1202&amp;B1202, ""(?i)gmail|outlook|calenda"&amp;"r|slack|discord|telegram|whatsapp|notion|trello|drive|sheets?|meeting|scheduler|appointment|mattermost""), ""Productivity &amp; Communication"",
  REGEXMATCH(A1202&amp;B1202, ""(?i)github|api|webhook|http|mysql|supabase|mongodb|redis|rss|pr|code review|incident|p"&amp;"agerduty|jira""), ""Development &amp; Utilities"",
  TRUE, ""Others""
)"),"AI &amp; LLM")</f>
        <v>AI &amp; LLM</v>
      </c>
    </row>
    <row r="1203" ht="15.75" customHeight="1">
      <c r="A1203" s="14" t="s">
        <v>2385</v>
      </c>
      <c r="B1203" s="15" t="s">
        <v>2386</v>
      </c>
      <c r="C1203" s="16" t="s">
        <v>7</v>
      </c>
      <c r="D1203" s="12" t="str">
        <f>IFERROR(__xludf.DUMMYFUNCTION("IFS(
  REGEXMATCH(A1203&amp;B1203, ""(?i)openai|gpt|gemini|anthropic|claude|mistral|cohere|rag|vector|llm|chatbot|ai-powered""), ""AI &amp; LLM"",
  REGEXMATCH(A1203&amp;B1203, ""(?i)twitter|instagram|facebook|linkedin|youtube|tiktok|threads|bluesky|pinterest|social"&amp;" video|reels?|shorts?""), ""Social Media"",
  REGEXMATCH(A1203&amp;B1203, ""(?i)hubspot|pipedrive|stripe|shopify|woocommerce|sales|crm|invoice|order|leads?|recruitment|bamboohr|erpnext""), ""CRM &amp; Sales"",
  REGEXMATCH(A1203&amp;B1203, ""(?i)gmail|outlook|calenda"&amp;"r|slack|discord|telegram|whatsapp|notion|trello|drive|sheets?|meeting|scheduler|appointment|mattermost""), ""Productivity &amp; Communication"",
  REGEXMATCH(A1203&amp;B1203, ""(?i)github|api|webhook|http|mysql|supabase|mongodb|redis|rss|pr|code review|incident|p"&amp;"agerduty|jira""), ""Development &amp; Utilities"",
  TRUE, ""Others""
)"),"AI &amp; LLM")</f>
        <v>AI &amp; LLM</v>
      </c>
    </row>
    <row r="1204" ht="15.75" customHeight="1">
      <c r="A1204" s="14" t="s">
        <v>2387</v>
      </c>
      <c r="B1204" s="15" t="s">
        <v>2388</v>
      </c>
      <c r="C1204" s="16" t="s">
        <v>7</v>
      </c>
      <c r="D1204" s="12" t="str">
        <f>IFERROR(__xludf.DUMMYFUNCTION("IFS(
  REGEXMATCH(A1204&amp;B1204, ""(?i)openai|gpt|gemini|anthropic|claude|mistral|cohere|rag|vector|llm|chatbot|ai-powered""), ""AI &amp; LLM"",
  REGEXMATCH(A1204&amp;B1204, ""(?i)twitter|instagram|facebook|linkedin|youtube|tiktok|threads|bluesky|pinterest|social"&amp;" video|reels?|shorts?""), ""Social Media"",
  REGEXMATCH(A1204&amp;B1204, ""(?i)hubspot|pipedrive|stripe|shopify|woocommerce|sales|crm|invoice|order|leads?|recruitment|bamboohr|erpnext""), ""CRM &amp; Sales"",
  REGEXMATCH(A1204&amp;B1204, ""(?i)gmail|outlook|calenda"&amp;"r|slack|discord|telegram|whatsapp|notion|trello|drive|sheets?|meeting|scheduler|appointment|mattermost""), ""Productivity &amp; Communication"",
  REGEXMATCH(A1204&amp;B1204, ""(?i)github|api|webhook|http|mysql|supabase|mongodb|redis|rss|pr|code review|incident|p"&amp;"agerduty|jira""), ""Development &amp; Utilities"",
  TRUE, ""Others""
)"),"Productivity &amp; Communication")</f>
        <v>Productivity &amp; Communication</v>
      </c>
    </row>
    <row r="1205" ht="15.75" customHeight="1">
      <c r="A1205" s="14" t="s">
        <v>2389</v>
      </c>
      <c r="B1205" s="15" t="s">
        <v>2390</v>
      </c>
      <c r="C1205" s="16" t="s">
        <v>7</v>
      </c>
      <c r="D1205" s="12" t="str">
        <f>IFERROR(__xludf.DUMMYFUNCTION("IFS(
  REGEXMATCH(A1205&amp;B1205, ""(?i)openai|gpt|gemini|anthropic|claude|mistral|cohere|rag|vector|llm|chatbot|ai-powered""), ""AI &amp; LLM"",
  REGEXMATCH(A1205&amp;B1205, ""(?i)twitter|instagram|facebook|linkedin|youtube|tiktok|threads|bluesky|pinterest|social"&amp;" video|reels?|shorts?""), ""Social Media"",
  REGEXMATCH(A1205&amp;B1205, ""(?i)hubspot|pipedrive|stripe|shopify|woocommerce|sales|crm|invoice|order|leads?|recruitment|bamboohr|erpnext""), ""CRM &amp; Sales"",
  REGEXMATCH(A1205&amp;B1205, ""(?i)gmail|outlook|calenda"&amp;"r|slack|discord|telegram|whatsapp|notion|trello|drive|sheets?|meeting|scheduler|appointment|mattermost""), ""Productivity &amp; Communication"",
  REGEXMATCH(A1205&amp;B1205, ""(?i)github|api|webhook|http|mysql|supabase|mongodb|redis|rss|pr|code review|incident|p"&amp;"agerduty|jira""), ""Development &amp; Utilities"",
  TRUE, ""Others""
)"),"AI &amp; LLM")</f>
        <v>AI &amp; LLM</v>
      </c>
    </row>
    <row r="1206" ht="15.75" customHeight="1">
      <c r="A1206" s="14" t="s">
        <v>2391</v>
      </c>
      <c r="B1206" s="15" t="s">
        <v>2392</v>
      </c>
      <c r="C1206" s="16" t="s">
        <v>7</v>
      </c>
      <c r="D1206" s="12" t="str">
        <f>IFERROR(__xludf.DUMMYFUNCTION("IFS(
  REGEXMATCH(A1206&amp;B1206, ""(?i)openai|gpt|gemini|anthropic|claude|mistral|cohere|rag|vector|llm|chatbot|ai-powered""), ""AI &amp; LLM"",
  REGEXMATCH(A1206&amp;B1206, ""(?i)twitter|instagram|facebook|linkedin|youtube|tiktok|threads|bluesky|pinterest|social"&amp;" video|reels?|shorts?""), ""Social Media"",
  REGEXMATCH(A1206&amp;B1206, ""(?i)hubspot|pipedrive|stripe|shopify|woocommerce|sales|crm|invoice|order|leads?|recruitment|bamboohr|erpnext""), ""CRM &amp; Sales"",
  REGEXMATCH(A1206&amp;B1206, ""(?i)gmail|outlook|calenda"&amp;"r|slack|discord|telegram|whatsapp|notion|trello|drive|sheets?|meeting|scheduler|appointment|mattermost""), ""Productivity &amp; Communication"",
  REGEXMATCH(A1206&amp;B1206, ""(?i)github|api|webhook|http|mysql|supabase|mongodb|redis|rss|pr|code review|incident|p"&amp;"agerduty|jira""), ""Development &amp; Utilities"",
  TRUE, ""Others""
)"),"AI &amp; LLM")</f>
        <v>AI &amp; LLM</v>
      </c>
    </row>
    <row r="1207" ht="15.75" customHeight="1">
      <c r="A1207" s="14" t="s">
        <v>2393</v>
      </c>
      <c r="B1207" s="15" t="s">
        <v>2394</v>
      </c>
      <c r="C1207" s="16" t="s">
        <v>7</v>
      </c>
      <c r="D1207" s="12" t="str">
        <f>IFERROR(__xludf.DUMMYFUNCTION("IFS(
  REGEXMATCH(A1207&amp;B1207, ""(?i)openai|gpt|gemini|anthropic|claude|mistral|cohere|rag|vector|llm|chatbot|ai-powered""), ""AI &amp; LLM"",
  REGEXMATCH(A1207&amp;B1207, ""(?i)twitter|instagram|facebook|linkedin|youtube|tiktok|threads|bluesky|pinterest|social"&amp;" video|reels?|shorts?""), ""Social Media"",
  REGEXMATCH(A1207&amp;B1207, ""(?i)hubspot|pipedrive|stripe|shopify|woocommerce|sales|crm|invoice|order|leads?|recruitment|bamboohr|erpnext""), ""CRM &amp; Sales"",
  REGEXMATCH(A1207&amp;B1207, ""(?i)gmail|outlook|calenda"&amp;"r|slack|discord|telegram|whatsapp|notion|trello|drive|sheets?|meeting|scheduler|appointment|mattermost""), ""Productivity &amp; Communication"",
  REGEXMATCH(A1207&amp;B1207, ""(?i)github|api|webhook|http|mysql|supabase|mongodb|redis|rss|pr|code review|incident|p"&amp;"agerduty|jira""), ""Development &amp; Utilities"",
  TRUE, ""Others""
)"),"Productivity &amp; Communication")</f>
        <v>Productivity &amp; Communication</v>
      </c>
    </row>
    <row r="1208" ht="15.75" customHeight="1">
      <c r="A1208" s="14" t="s">
        <v>2395</v>
      </c>
      <c r="B1208" s="15" t="s">
        <v>2396</v>
      </c>
      <c r="C1208" s="16" t="s">
        <v>7</v>
      </c>
      <c r="D1208" s="12" t="str">
        <f>IFERROR(__xludf.DUMMYFUNCTION("IFS(
  REGEXMATCH(A1208&amp;B1208, ""(?i)openai|gpt|gemini|anthropic|claude|mistral|cohere|rag|vector|llm|chatbot|ai-powered""), ""AI &amp; LLM"",
  REGEXMATCH(A1208&amp;B1208, ""(?i)twitter|instagram|facebook|linkedin|youtube|tiktok|threads|bluesky|pinterest|social"&amp;" video|reels?|shorts?""), ""Social Media"",
  REGEXMATCH(A1208&amp;B1208, ""(?i)hubspot|pipedrive|stripe|shopify|woocommerce|sales|crm|invoice|order|leads?|recruitment|bamboohr|erpnext""), ""CRM &amp; Sales"",
  REGEXMATCH(A1208&amp;B1208, ""(?i)gmail|outlook|calenda"&amp;"r|slack|discord|telegram|whatsapp|notion|trello|drive|sheets?|meeting|scheduler|appointment|mattermost""), ""Productivity &amp; Communication"",
  REGEXMATCH(A1208&amp;B1208, ""(?i)github|api|webhook|http|mysql|supabase|mongodb|redis|rss|pr|code review|incident|p"&amp;"agerduty|jira""), ""Development &amp; Utilities"",
  TRUE, ""Others""
)"),"CRM &amp; Sales")</f>
        <v>CRM &amp; Sales</v>
      </c>
    </row>
    <row r="1209" ht="15.75" customHeight="1">
      <c r="A1209" s="14" t="s">
        <v>2397</v>
      </c>
      <c r="B1209" s="15" t="s">
        <v>2398</v>
      </c>
      <c r="C1209" s="16" t="s">
        <v>7</v>
      </c>
      <c r="D1209" s="12" t="str">
        <f>IFERROR(__xludf.DUMMYFUNCTION("IFS(
  REGEXMATCH(A1209&amp;B1209, ""(?i)openai|gpt|gemini|anthropic|claude|mistral|cohere|rag|vector|llm|chatbot|ai-powered""), ""AI &amp; LLM"",
  REGEXMATCH(A1209&amp;B1209, ""(?i)twitter|instagram|facebook|linkedin|youtube|tiktok|threads|bluesky|pinterest|social"&amp;" video|reels?|shorts?""), ""Social Media"",
  REGEXMATCH(A1209&amp;B1209, ""(?i)hubspot|pipedrive|stripe|shopify|woocommerce|sales|crm|invoice|order|leads?|recruitment|bamboohr|erpnext""), ""CRM &amp; Sales"",
  REGEXMATCH(A1209&amp;B1209, ""(?i)gmail|outlook|calenda"&amp;"r|slack|discord|telegram|whatsapp|notion|trello|drive|sheets?|meeting|scheduler|appointment|mattermost""), ""Productivity &amp; Communication"",
  REGEXMATCH(A1209&amp;B1209, ""(?i)github|api|webhook|http|mysql|supabase|mongodb|redis|rss|pr|code review|incident|p"&amp;"agerduty|jira""), ""Development &amp; Utilities"",
  TRUE, ""Others""
)"),"Development &amp; Utilities")</f>
        <v>Development &amp; Utilities</v>
      </c>
    </row>
    <row r="1210" ht="15.75" customHeight="1">
      <c r="A1210" s="14" t="s">
        <v>2399</v>
      </c>
      <c r="B1210" s="15" t="s">
        <v>2400</v>
      </c>
      <c r="C1210" s="16" t="s">
        <v>7</v>
      </c>
      <c r="D1210" s="12" t="str">
        <f>IFERROR(__xludf.DUMMYFUNCTION("IFS(
  REGEXMATCH(A1210&amp;B1210, ""(?i)openai|gpt|gemini|anthropic|claude|mistral|cohere|rag|vector|llm|chatbot|ai-powered""), ""AI &amp; LLM"",
  REGEXMATCH(A1210&amp;B1210, ""(?i)twitter|instagram|facebook|linkedin|youtube|tiktok|threads|bluesky|pinterest|social"&amp;" video|reels?|shorts?""), ""Social Media"",
  REGEXMATCH(A1210&amp;B1210, ""(?i)hubspot|pipedrive|stripe|shopify|woocommerce|sales|crm|invoice|order|leads?|recruitment|bamboohr|erpnext""), ""CRM &amp; Sales"",
  REGEXMATCH(A1210&amp;B1210, ""(?i)gmail|outlook|calenda"&amp;"r|slack|discord|telegram|whatsapp|notion|trello|drive|sheets?|meeting|scheduler|appointment|mattermost""), ""Productivity &amp; Communication"",
  REGEXMATCH(A1210&amp;B1210, ""(?i)github|api|webhook|http|mysql|supabase|mongodb|redis|rss|pr|code review|incident|p"&amp;"agerduty|jira""), ""Development &amp; Utilities"",
  TRUE, ""Others""
)"),"CRM &amp; Sales")</f>
        <v>CRM &amp; Sales</v>
      </c>
    </row>
    <row r="1211" ht="15.75" customHeight="1">
      <c r="A1211" s="14" t="s">
        <v>2401</v>
      </c>
      <c r="B1211" s="15" t="s">
        <v>2402</v>
      </c>
      <c r="C1211" s="16" t="s">
        <v>7</v>
      </c>
      <c r="D1211" s="12" t="str">
        <f>IFERROR(__xludf.DUMMYFUNCTION("IFS(
  REGEXMATCH(A1211&amp;B1211, ""(?i)openai|gpt|gemini|anthropic|claude|mistral|cohere|rag|vector|llm|chatbot|ai-powered""), ""AI &amp; LLM"",
  REGEXMATCH(A1211&amp;B1211, ""(?i)twitter|instagram|facebook|linkedin|youtube|tiktok|threads|bluesky|pinterest|social"&amp;" video|reels?|shorts?""), ""Social Media"",
  REGEXMATCH(A1211&amp;B1211, ""(?i)hubspot|pipedrive|stripe|shopify|woocommerce|sales|crm|invoice|order|leads?|recruitment|bamboohr|erpnext""), ""CRM &amp; Sales"",
  REGEXMATCH(A1211&amp;B1211, ""(?i)gmail|outlook|calenda"&amp;"r|slack|discord|telegram|whatsapp|notion|trello|drive|sheets?|meeting|scheduler|appointment|mattermost""), ""Productivity &amp; Communication"",
  REGEXMATCH(A1211&amp;B1211, ""(?i)github|api|webhook|http|mysql|supabase|mongodb|redis|rss|pr|code review|incident|p"&amp;"agerduty|jira""), ""Development &amp; Utilities"",
  TRUE, ""Others""
)"),"CRM &amp; Sales")</f>
        <v>CRM &amp; Sales</v>
      </c>
    </row>
    <row r="1212" ht="15.75" customHeight="1">
      <c r="A1212" s="14" t="s">
        <v>2403</v>
      </c>
      <c r="B1212" s="15" t="s">
        <v>2404</v>
      </c>
      <c r="C1212" s="16" t="s">
        <v>7</v>
      </c>
      <c r="D1212" s="12" t="str">
        <f>IFERROR(__xludf.DUMMYFUNCTION("IFS(
  REGEXMATCH(A1212&amp;B1212, ""(?i)openai|gpt|gemini|anthropic|claude|mistral|cohere|rag|vector|llm|chatbot|ai-powered""), ""AI &amp; LLM"",
  REGEXMATCH(A1212&amp;B1212, ""(?i)twitter|instagram|facebook|linkedin|youtube|tiktok|threads|bluesky|pinterest|social"&amp;" video|reels?|shorts?""), ""Social Media"",
  REGEXMATCH(A1212&amp;B1212, ""(?i)hubspot|pipedrive|stripe|shopify|woocommerce|sales|crm|invoice|order|leads?|recruitment|bamboohr|erpnext""), ""CRM &amp; Sales"",
  REGEXMATCH(A1212&amp;B1212, ""(?i)gmail|outlook|calenda"&amp;"r|slack|discord|telegram|whatsapp|notion|trello|drive|sheets?|meeting|scheduler|appointment|mattermost""), ""Productivity &amp; Communication"",
  REGEXMATCH(A1212&amp;B1212, ""(?i)github|api|webhook|http|mysql|supabase|mongodb|redis|rss|pr|code review|incident|p"&amp;"agerduty|jira""), ""Development &amp; Utilities"",
  TRUE, ""Others""
)"),"AI &amp; LLM")</f>
        <v>AI &amp; LLM</v>
      </c>
    </row>
    <row r="1213" ht="15.75" customHeight="1">
      <c r="A1213" s="14" t="s">
        <v>2405</v>
      </c>
      <c r="B1213" s="15" t="s">
        <v>2406</v>
      </c>
      <c r="C1213" s="16" t="s">
        <v>7</v>
      </c>
      <c r="D1213" s="12" t="str">
        <f>IFERROR(__xludf.DUMMYFUNCTION("IFS(
  REGEXMATCH(A1213&amp;B1213, ""(?i)openai|gpt|gemini|anthropic|claude|mistral|cohere|rag|vector|llm|chatbot|ai-powered""), ""AI &amp; LLM"",
  REGEXMATCH(A1213&amp;B1213, ""(?i)twitter|instagram|facebook|linkedin|youtube|tiktok|threads|bluesky|pinterest|social"&amp;" video|reels?|shorts?""), ""Social Media"",
  REGEXMATCH(A1213&amp;B1213, ""(?i)hubspot|pipedrive|stripe|shopify|woocommerce|sales|crm|invoice|order|leads?|recruitment|bamboohr|erpnext""), ""CRM &amp; Sales"",
  REGEXMATCH(A1213&amp;B1213, ""(?i)gmail|outlook|calenda"&amp;"r|slack|discord|telegram|whatsapp|notion|trello|drive|sheets?|meeting|scheduler|appointment|mattermost""), ""Productivity &amp; Communication"",
  REGEXMATCH(A1213&amp;B1213, ""(?i)github|api|webhook|http|mysql|supabase|mongodb|redis|rss|pr|code review|incident|p"&amp;"agerduty|jira""), ""Development &amp; Utilities"",
  TRUE, ""Others""
)"),"Development &amp; Utilities")</f>
        <v>Development &amp; Utilities</v>
      </c>
    </row>
    <row r="1214" ht="15.75" customHeight="1">
      <c r="A1214" s="14" t="s">
        <v>2407</v>
      </c>
      <c r="B1214" s="15" t="s">
        <v>2408</v>
      </c>
      <c r="C1214" s="16" t="s">
        <v>7</v>
      </c>
      <c r="D1214" s="12" t="str">
        <f>IFERROR(__xludf.DUMMYFUNCTION("IFS(
  REGEXMATCH(A1214&amp;B1214, ""(?i)openai|gpt|gemini|anthropic|claude|mistral|cohere|rag|vector|llm|chatbot|ai-powered""), ""AI &amp; LLM"",
  REGEXMATCH(A1214&amp;B1214, ""(?i)twitter|instagram|facebook|linkedin|youtube|tiktok|threads|bluesky|pinterest|social"&amp;" video|reels?|shorts?""), ""Social Media"",
  REGEXMATCH(A1214&amp;B1214, ""(?i)hubspot|pipedrive|stripe|shopify|woocommerce|sales|crm|invoice|order|leads?|recruitment|bamboohr|erpnext""), ""CRM &amp; Sales"",
  REGEXMATCH(A1214&amp;B1214, ""(?i)gmail|outlook|calenda"&amp;"r|slack|discord|telegram|whatsapp|notion|trello|drive|sheets?|meeting|scheduler|appointment|mattermost""), ""Productivity &amp; Communication"",
  REGEXMATCH(A1214&amp;B1214, ""(?i)github|api|webhook|http|mysql|supabase|mongodb|redis|rss|pr|code review|incident|p"&amp;"agerduty|jira""), ""Development &amp; Utilities"",
  TRUE, ""Others""
)"),"Development &amp; Utilities")</f>
        <v>Development &amp; Utilities</v>
      </c>
    </row>
    <row r="1215" ht="15.75" customHeight="1">
      <c r="A1215" s="14" t="s">
        <v>2409</v>
      </c>
      <c r="B1215" s="15" t="s">
        <v>2410</v>
      </c>
      <c r="C1215" s="16" t="s">
        <v>7</v>
      </c>
      <c r="D1215" s="12" t="str">
        <f>IFERROR(__xludf.DUMMYFUNCTION("IFS(
  REGEXMATCH(A1215&amp;B1215, ""(?i)openai|gpt|gemini|anthropic|claude|mistral|cohere|rag|vector|llm|chatbot|ai-powered""), ""AI &amp; LLM"",
  REGEXMATCH(A1215&amp;B1215, ""(?i)twitter|instagram|facebook|linkedin|youtube|tiktok|threads|bluesky|pinterest|social"&amp;" video|reels?|shorts?""), ""Social Media"",
  REGEXMATCH(A1215&amp;B1215, ""(?i)hubspot|pipedrive|stripe|shopify|woocommerce|sales|crm|invoice|order|leads?|recruitment|bamboohr|erpnext""), ""CRM &amp; Sales"",
  REGEXMATCH(A1215&amp;B1215, ""(?i)gmail|outlook|calenda"&amp;"r|slack|discord|telegram|whatsapp|notion|trello|drive|sheets?|meeting|scheduler|appointment|mattermost""), ""Productivity &amp; Communication"",
  REGEXMATCH(A1215&amp;B1215, ""(?i)github|api|webhook|http|mysql|supabase|mongodb|redis|rss|pr|code review|incident|p"&amp;"agerduty|jira""), ""Development &amp; Utilities"",
  TRUE, ""Others""
)"),"AI &amp; LLM")</f>
        <v>AI &amp; LLM</v>
      </c>
    </row>
    <row r="1216" ht="15.75" customHeight="1">
      <c r="A1216" s="14" t="s">
        <v>2411</v>
      </c>
      <c r="B1216" s="15" t="s">
        <v>2412</v>
      </c>
      <c r="C1216" s="16" t="s">
        <v>7</v>
      </c>
      <c r="D1216" s="12" t="str">
        <f>IFERROR(__xludf.DUMMYFUNCTION("IFS(
  REGEXMATCH(A1216&amp;B1216, ""(?i)openai|gpt|gemini|anthropic|claude|mistral|cohere|rag|vector|llm|chatbot|ai-powered""), ""AI &amp; LLM"",
  REGEXMATCH(A1216&amp;B1216, ""(?i)twitter|instagram|facebook|linkedin|youtube|tiktok|threads|bluesky|pinterest|social"&amp;" video|reels?|shorts?""), ""Social Media"",
  REGEXMATCH(A1216&amp;B1216, ""(?i)hubspot|pipedrive|stripe|shopify|woocommerce|sales|crm|invoice|order|leads?|recruitment|bamboohr|erpnext""), ""CRM &amp; Sales"",
  REGEXMATCH(A1216&amp;B1216, ""(?i)gmail|outlook|calenda"&amp;"r|slack|discord|telegram|whatsapp|notion|trello|drive|sheets?|meeting|scheduler|appointment|mattermost""), ""Productivity &amp; Communication"",
  REGEXMATCH(A1216&amp;B1216, ""(?i)github|api|webhook|http|mysql|supabase|mongodb|redis|rss|pr|code review|incident|p"&amp;"agerduty|jira""), ""Development &amp; Utilities"",
  TRUE, ""Others""
)"),"AI &amp; LLM")</f>
        <v>AI &amp; LLM</v>
      </c>
    </row>
    <row r="1217" ht="15.75" customHeight="1">
      <c r="A1217" s="14" t="s">
        <v>2413</v>
      </c>
      <c r="B1217" s="15" t="s">
        <v>2414</v>
      </c>
      <c r="C1217" s="16" t="s">
        <v>7</v>
      </c>
      <c r="D1217" s="12" t="str">
        <f>IFERROR(__xludf.DUMMYFUNCTION("IFS(
  REGEXMATCH(A1217&amp;B1217, ""(?i)openai|gpt|gemini|anthropic|claude|mistral|cohere|rag|vector|llm|chatbot|ai-powered""), ""AI &amp; LLM"",
  REGEXMATCH(A1217&amp;B1217, ""(?i)twitter|instagram|facebook|linkedin|youtube|tiktok|threads|bluesky|pinterest|social"&amp;" video|reels?|shorts?""), ""Social Media"",
  REGEXMATCH(A1217&amp;B1217, ""(?i)hubspot|pipedrive|stripe|shopify|woocommerce|sales|crm|invoice|order|leads?|recruitment|bamboohr|erpnext""), ""CRM &amp; Sales"",
  REGEXMATCH(A1217&amp;B1217, ""(?i)gmail|outlook|calenda"&amp;"r|slack|discord|telegram|whatsapp|notion|trello|drive|sheets?|meeting|scheduler|appointment|mattermost""), ""Productivity &amp; Communication"",
  REGEXMATCH(A1217&amp;B1217, ""(?i)github|api|webhook|http|mysql|supabase|mongodb|redis|rss|pr|code review|incident|p"&amp;"agerduty|jira""), ""Development &amp; Utilities"",
  TRUE, ""Others""
)"),"Development &amp; Utilities")</f>
        <v>Development &amp; Utilities</v>
      </c>
    </row>
    <row r="1218" ht="15.75" customHeight="1">
      <c r="A1218" s="14" t="s">
        <v>2415</v>
      </c>
      <c r="B1218" s="15" t="s">
        <v>2416</v>
      </c>
      <c r="C1218" s="16" t="s">
        <v>7</v>
      </c>
      <c r="D1218" s="12" t="str">
        <f>IFERROR(__xludf.DUMMYFUNCTION("IFS(
  REGEXMATCH(A1218&amp;B1218, ""(?i)openai|gpt|gemini|anthropic|claude|mistral|cohere|rag|vector|llm|chatbot|ai-powered""), ""AI &amp; LLM"",
  REGEXMATCH(A1218&amp;B1218, ""(?i)twitter|instagram|facebook|linkedin|youtube|tiktok|threads|bluesky|pinterest|social"&amp;" video|reels?|shorts?""), ""Social Media"",
  REGEXMATCH(A1218&amp;B1218, ""(?i)hubspot|pipedrive|stripe|shopify|woocommerce|sales|crm|invoice|order|leads?|recruitment|bamboohr|erpnext""), ""CRM &amp; Sales"",
  REGEXMATCH(A1218&amp;B1218, ""(?i)gmail|outlook|calenda"&amp;"r|slack|discord|telegram|whatsapp|notion|trello|drive|sheets?|meeting|scheduler|appointment|mattermost""), ""Productivity &amp; Communication"",
  REGEXMATCH(A1218&amp;B1218, ""(?i)github|api|webhook|http|mysql|supabase|mongodb|redis|rss|pr|code review|incident|p"&amp;"agerduty|jira""), ""Development &amp; Utilities"",
  TRUE, ""Others""
)"),"AI &amp; LLM")</f>
        <v>AI &amp; LLM</v>
      </c>
    </row>
    <row r="1219" ht="15.75" customHeight="1">
      <c r="A1219" s="14" t="s">
        <v>2417</v>
      </c>
      <c r="B1219" s="15" t="s">
        <v>2418</v>
      </c>
      <c r="C1219" s="16" t="s">
        <v>7</v>
      </c>
      <c r="D1219" s="12" t="str">
        <f>IFERROR(__xludf.DUMMYFUNCTION("IFS(
  REGEXMATCH(A1219&amp;B1219, ""(?i)openai|gpt|gemini|anthropic|claude|mistral|cohere|rag|vector|llm|chatbot|ai-powered""), ""AI &amp; LLM"",
  REGEXMATCH(A1219&amp;B1219, ""(?i)twitter|instagram|facebook|linkedin|youtube|tiktok|threads|bluesky|pinterest|social"&amp;" video|reels?|shorts?""), ""Social Media"",
  REGEXMATCH(A1219&amp;B1219, ""(?i)hubspot|pipedrive|stripe|shopify|woocommerce|sales|crm|invoice|order|leads?|recruitment|bamboohr|erpnext""), ""CRM &amp; Sales"",
  REGEXMATCH(A1219&amp;B1219, ""(?i)gmail|outlook|calenda"&amp;"r|slack|discord|telegram|whatsapp|notion|trello|drive|sheets?|meeting|scheduler|appointment|mattermost""), ""Productivity &amp; Communication"",
  REGEXMATCH(A1219&amp;B1219, ""(?i)github|api|webhook|http|mysql|supabase|mongodb|redis|rss|pr|code review|incident|p"&amp;"agerduty|jira""), ""Development &amp; Utilities"",
  TRUE, ""Others""
)"),"AI &amp; LLM")</f>
        <v>AI &amp; LLM</v>
      </c>
    </row>
    <row r="1220" ht="15.75" customHeight="1">
      <c r="A1220" s="14" t="s">
        <v>2419</v>
      </c>
      <c r="B1220" s="15" t="s">
        <v>2420</v>
      </c>
      <c r="C1220" s="16" t="s">
        <v>7</v>
      </c>
      <c r="D1220" s="12" t="str">
        <f>IFERROR(__xludf.DUMMYFUNCTION("IFS(
  REGEXMATCH(A1220&amp;B1220, ""(?i)openai|gpt|gemini|anthropic|claude|mistral|cohere|rag|vector|llm|chatbot|ai-powered""), ""AI &amp; LLM"",
  REGEXMATCH(A1220&amp;B1220, ""(?i)twitter|instagram|facebook|linkedin|youtube|tiktok|threads|bluesky|pinterest|social"&amp;" video|reels?|shorts?""), ""Social Media"",
  REGEXMATCH(A1220&amp;B1220, ""(?i)hubspot|pipedrive|stripe|shopify|woocommerce|sales|crm|invoice|order|leads?|recruitment|bamboohr|erpnext""), ""CRM &amp; Sales"",
  REGEXMATCH(A1220&amp;B1220, ""(?i)gmail|outlook|calenda"&amp;"r|slack|discord|telegram|whatsapp|notion|trello|drive|sheets?|meeting|scheduler|appointment|mattermost""), ""Productivity &amp; Communication"",
  REGEXMATCH(A1220&amp;B1220, ""(?i)github|api|webhook|http|mysql|supabase|mongodb|redis|rss|pr|code review|incident|p"&amp;"agerduty|jira""), ""Development &amp; Utilities"",
  TRUE, ""Others""
)"),"AI &amp; LLM")</f>
        <v>AI &amp; LLM</v>
      </c>
    </row>
    <row r="1221" ht="15.75" customHeight="1">
      <c r="A1221" s="14" t="s">
        <v>2421</v>
      </c>
      <c r="B1221" s="15" t="s">
        <v>2422</v>
      </c>
      <c r="C1221" s="16" t="s">
        <v>7</v>
      </c>
      <c r="D1221" s="12" t="str">
        <f>IFERROR(__xludf.DUMMYFUNCTION("IFS(
  REGEXMATCH(A1221&amp;B1221, ""(?i)openai|gpt|gemini|anthropic|claude|mistral|cohere|rag|vector|llm|chatbot|ai-powered""), ""AI &amp; LLM"",
  REGEXMATCH(A1221&amp;B1221, ""(?i)twitter|instagram|facebook|linkedin|youtube|tiktok|threads|bluesky|pinterest|social"&amp;" video|reels?|shorts?""), ""Social Media"",
  REGEXMATCH(A1221&amp;B1221, ""(?i)hubspot|pipedrive|stripe|shopify|woocommerce|sales|crm|invoice|order|leads?|recruitment|bamboohr|erpnext""), ""CRM &amp; Sales"",
  REGEXMATCH(A1221&amp;B1221, ""(?i)gmail|outlook|calenda"&amp;"r|slack|discord|telegram|whatsapp|notion|trello|drive|sheets?|meeting|scheduler|appointment|mattermost""), ""Productivity &amp; Communication"",
  REGEXMATCH(A1221&amp;B1221, ""(?i)github|api|webhook|http|mysql|supabase|mongodb|redis|rss|pr|code review|incident|p"&amp;"agerduty|jira""), ""Development &amp; Utilities"",
  TRUE, ""Others""
)"),"Productivity &amp; Communication")</f>
        <v>Productivity &amp; Communication</v>
      </c>
    </row>
    <row r="1222" ht="15.75" customHeight="1">
      <c r="A1222" s="14" t="s">
        <v>2423</v>
      </c>
      <c r="B1222" s="15" t="s">
        <v>2424</v>
      </c>
      <c r="C1222" s="16" t="s">
        <v>7</v>
      </c>
      <c r="D1222" s="12" t="str">
        <f>IFERROR(__xludf.DUMMYFUNCTION("IFS(
  REGEXMATCH(A1222&amp;B1222, ""(?i)openai|gpt|gemini|anthropic|claude|mistral|cohere|rag|vector|llm|chatbot|ai-powered""), ""AI &amp; LLM"",
  REGEXMATCH(A1222&amp;B1222, ""(?i)twitter|instagram|facebook|linkedin|youtube|tiktok|threads|bluesky|pinterest|social"&amp;" video|reels?|shorts?""), ""Social Media"",
  REGEXMATCH(A1222&amp;B1222, ""(?i)hubspot|pipedrive|stripe|shopify|woocommerce|sales|crm|invoice|order|leads?|recruitment|bamboohr|erpnext""), ""CRM &amp; Sales"",
  REGEXMATCH(A1222&amp;B1222, ""(?i)gmail|outlook|calenda"&amp;"r|slack|discord|telegram|whatsapp|notion|trello|drive|sheets?|meeting|scheduler|appointment|mattermost""), ""Productivity &amp; Communication"",
  REGEXMATCH(A1222&amp;B1222, ""(?i)github|api|webhook|http|mysql|supabase|mongodb|redis|rss|pr|code review|incident|p"&amp;"agerduty|jira""), ""Development &amp; Utilities"",
  TRUE, ""Others""
)"),"AI &amp; LLM")</f>
        <v>AI &amp; LLM</v>
      </c>
    </row>
    <row r="1223" ht="15.75" customHeight="1">
      <c r="A1223" s="14" t="s">
        <v>2425</v>
      </c>
      <c r="B1223" s="15" t="s">
        <v>2426</v>
      </c>
      <c r="C1223" s="16" t="s">
        <v>7</v>
      </c>
      <c r="D1223" s="12" t="str">
        <f>IFERROR(__xludf.DUMMYFUNCTION("IFS(
  REGEXMATCH(A1223&amp;B1223, ""(?i)openai|gpt|gemini|anthropic|claude|mistral|cohere|rag|vector|llm|chatbot|ai-powered""), ""AI &amp; LLM"",
  REGEXMATCH(A1223&amp;B1223, ""(?i)twitter|instagram|facebook|linkedin|youtube|tiktok|threads|bluesky|pinterest|social"&amp;" video|reels?|shorts?""), ""Social Media"",
  REGEXMATCH(A1223&amp;B1223, ""(?i)hubspot|pipedrive|stripe|shopify|woocommerce|sales|crm|invoice|order|leads?|recruitment|bamboohr|erpnext""), ""CRM &amp; Sales"",
  REGEXMATCH(A1223&amp;B1223, ""(?i)gmail|outlook|calenda"&amp;"r|slack|discord|telegram|whatsapp|notion|trello|drive|sheets?|meeting|scheduler|appointment|mattermost""), ""Productivity &amp; Communication"",
  REGEXMATCH(A1223&amp;B1223, ""(?i)github|api|webhook|http|mysql|supabase|mongodb|redis|rss|pr|code review|incident|p"&amp;"agerduty|jira""), ""Development &amp; Utilities"",
  TRUE, ""Others""
)"),"Productivity &amp; Communication")</f>
        <v>Productivity &amp; Communication</v>
      </c>
    </row>
    <row r="1224" ht="15.75" customHeight="1">
      <c r="A1224" s="14" t="s">
        <v>2427</v>
      </c>
      <c r="B1224" s="15" t="s">
        <v>2428</v>
      </c>
      <c r="C1224" s="16" t="s">
        <v>7</v>
      </c>
      <c r="D1224" s="12" t="str">
        <f>IFERROR(__xludf.DUMMYFUNCTION("IFS(
  REGEXMATCH(A1224&amp;B1224, ""(?i)openai|gpt|gemini|anthropic|claude|mistral|cohere|rag|vector|llm|chatbot|ai-powered""), ""AI &amp; LLM"",
  REGEXMATCH(A1224&amp;B1224, ""(?i)twitter|instagram|facebook|linkedin|youtube|tiktok|threads|bluesky|pinterest|social"&amp;" video|reels?|shorts?""), ""Social Media"",
  REGEXMATCH(A1224&amp;B1224, ""(?i)hubspot|pipedrive|stripe|shopify|woocommerce|sales|crm|invoice|order|leads?|recruitment|bamboohr|erpnext""), ""CRM &amp; Sales"",
  REGEXMATCH(A1224&amp;B1224, ""(?i)gmail|outlook|calenda"&amp;"r|slack|discord|telegram|whatsapp|notion|trello|drive|sheets?|meeting|scheduler|appointment|mattermost""), ""Productivity &amp; Communication"",
  REGEXMATCH(A1224&amp;B1224, ""(?i)github|api|webhook|http|mysql|supabase|mongodb|redis|rss|pr|code review|incident|p"&amp;"agerduty|jira""), ""Development &amp; Utilities"",
  TRUE, ""Others""
)"),"AI &amp; LLM")</f>
        <v>AI &amp; LLM</v>
      </c>
    </row>
    <row r="1225" ht="15.75" customHeight="1">
      <c r="A1225" s="14" t="s">
        <v>2429</v>
      </c>
      <c r="B1225" s="15" t="s">
        <v>2430</v>
      </c>
      <c r="C1225" s="16" t="s">
        <v>7</v>
      </c>
      <c r="D1225" s="12" t="str">
        <f>IFERROR(__xludf.DUMMYFUNCTION("IFS(
  REGEXMATCH(A1225&amp;B1225, ""(?i)openai|gpt|gemini|anthropic|claude|mistral|cohere|rag|vector|llm|chatbot|ai-powered""), ""AI &amp; LLM"",
  REGEXMATCH(A1225&amp;B1225, ""(?i)twitter|instagram|facebook|linkedin|youtube|tiktok|threads|bluesky|pinterest|social"&amp;" video|reels?|shorts?""), ""Social Media"",
  REGEXMATCH(A1225&amp;B1225, ""(?i)hubspot|pipedrive|stripe|shopify|woocommerce|sales|crm|invoice|order|leads?|recruitment|bamboohr|erpnext""), ""CRM &amp; Sales"",
  REGEXMATCH(A1225&amp;B1225, ""(?i)gmail|outlook|calenda"&amp;"r|slack|discord|telegram|whatsapp|notion|trello|drive|sheets?|meeting|scheduler|appointment|mattermost""), ""Productivity &amp; Communication"",
  REGEXMATCH(A1225&amp;B1225, ""(?i)github|api|webhook|http|mysql|supabase|mongodb|redis|rss|pr|code review|incident|p"&amp;"agerduty|jira""), ""Development &amp; Utilities"",
  TRUE, ""Others""
)"),"AI &amp; LLM")</f>
        <v>AI &amp; LLM</v>
      </c>
    </row>
    <row r="1226" ht="15.75" customHeight="1">
      <c r="A1226" s="14" t="s">
        <v>2431</v>
      </c>
      <c r="B1226" s="15" t="s">
        <v>2432</v>
      </c>
      <c r="C1226" s="16" t="s">
        <v>7</v>
      </c>
      <c r="D1226" s="12" t="str">
        <f>IFERROR(__xludf.DUMMYFUNCTION("IFS(
  REGEXMATCH(A1226&amp;B1226, ""(?i)openai|gpt|gemini|anthropic|claude|mistral|cohere|rag|vector|llm|chatbot|ai-powered""), ""AI &amp; LLM"",
  REGEXMATCH(A1226&amp;B1226, ""(?i)twitter|instagram|facebook|linkedin|youtube|tiktok|threads|bluesky|pinterest|social"&amp;" video|reels?|shorts?""), ""Social Media"",
  REGEXMATCH(A1226&amp;B1226, ""(?i)hubspot|pipedrive|stripe|shopify|woocommerce|sales|crm|invoice|order|leads?|recruitment|bamboohr|erpnext""), ""CRM &amp; Sales"",
  REGEXMATCH(A1226&amp;B1226, ""(?i)gmail|outlook|calenda"&amp;"r|slack|discord|telegram|whatsapp|notion|trello|drive|sheets?|meeting|scheduler|appointment|mattermost""), ""Productivity &amp; Communication"",
  REGEXMATCH(A1226&amp;B1226, ""(?i)github|api|webhook|http|mysql|supabase|mongodb|redis|rss|pr|code review|incident|p"&amp;"agerduty|jira""), ""Development &amp; Utilities"",
  TRUE, ""Others""
)"),"AI &amp; LLM")</f>
        <v>AI &amp; LLM</v>
      </c>
    </row>
    <row r="1227" ht="15.75" customHeight="1">
      <c r="A1227" s="14" t="s">
        <v>2433</v>
      </c>
      <c r="B1227" s="15" t="s">
        <v>2434</v>
      </c>
      <c r="C1227" s="16" t="s">
        <v>7</v>
      </c>
      <c r="D1227" s="12" t="str">
        <f>IFERROR(__xludf.DUMMYFUNCTION("IFS(
  REGEXMATCH(A1227&amp;B1227, ""(?i)openai|gpt|gemini|anthropic|claude|mistral|cohere|rag|vector|llm|chatbot|ai-powered""), ""AI &amp; LLM"",
  REGEXMATCH(A1227&amp;B1227, ""(?i)twitter|instagram|facebook|linkedin|youtube|tiktok|threads|bluesky|pinterest|social"&amp;" video|reels?|shorts?""), ""Social Media"",
  REGEXMATCH(A1227&amp;B1227, ""(?i)hubspot|pipedrive|stripe|shopify|woocommerce|sales|crm|invoice|order|leads?|recruitment|bamboohr|erpnext""), ""CRM &amp; Sales"",
  REGEXMATCH(A1227&amp;B1227, ""(?i)gmail|outlook|calenda"&amp;"r|slack|discord|telegram|whatsapp|notion|trello|drive|sheets?|meeting|scheduler|appointment|mattermost""), ""Productivity &amp; Communication"",
  REGEXMATCH(A1227&amp;B1227, ""(?i)github|api|webhook|http|mysql|supabase|mongodb|redis|rss|pr|code review|incident|p"&amp;"agerduty|jira""), ""Development &amp; Utilities"",
  TRUE, ""Others""
)"),"Development &amp; Utilities")</f>
        <v>Development &amp; Utilities</v>
      </c>
    </row>
    <row r="1228" ht="15.75" customHeight="1">
      <c r="A1228" s="14" t="s">
        <v>2435</v>
      </c>
      <c r="B1228" s="15" t="s">
        <v>2436</v>
      </c>
      <c r="C1228" s="16" t="s">
        <v>7</v>
      </c>
      <c r="D1228" s="12" t="str">
        <f>IFERROR(__xludf.DUMMYFUNCTION("IFS(
  REGEXMATCH(A1228&amp;B1228, ""(?i)openai|gpt|gemini|anthropic|claude|mistral|cohere|rag|vector|llm|chatbot|ai-powered""), ""AI &amp; LLM"",
  REGEXMATCH(A1228&amp;B1228, ""(?i)twitter|instagram|facebook|linkedin|youtube|tiktok|threads|bluesky|pinterest|social"&amp;" video|reels?|shorts?""), ""Social Media"",
  REGEXMATCH(A1228&amp;B1228, ""(?i)hubspot|pipedrive|stripe|shopify|woocommerce|sales|crm|invoice|order|leads?|recruitment|bamboohr|erpnext""), ""CRM &amp; Sales"",
  REGEXMATCH(A1228&amp;B1228, ""(?i)gmail|outlook|calenda"&amp;"r|slack|discord|telegram|whatsapp|notion|trello|drive|sheets?|meeting|scheduler|appointment|mattermost""), ""Productivity &amp; Communication"",
  REGEXMATCH(A1228&amp;B1228, ""(?i)github|api|webhook|http|mysql|supabase|mongodb|redis|rss|pr|code review|incident|p"&amp;"agerduty|jira""), ""Development &amp; Utilities"",
  TRUE, ""Others""
)"),"AI &amp; LLM")</f>
        <v>AI &amp; LLM</v>
      </c>
    </row>
    <row r="1229" ht="15.75" customHeight="1">
      <c r="A1229" s="14" t="s">
        <v>2437</v>
      </c>
      <c r="B1229" s="15" t="s">
        <v>2438</v>
      </c>
      <c r="C1229" s="16" t="s">
        <v>7</v>
      </c>
      <c r="D1229" s="12" t="str">
        <f>IFERROR(__xludf.DUMMYFUNCTION("IFS(
  REGEXMATCH(A1229&amp;B1229, ""(?i)openai|gpt|gemini|anthropic|claude|mistral|cohere|rag|vector|llm|chatbot|ai-powered""), ""AI &amp; LLM"",
  REGEXMATCH(A1229&amp;B1229, ""(?i)twitter|instagram|facebook|linkedin|youtube|tiktok|threads|bluesky|pinterest|social"&amp;" video|reels?|shorts?""), ""Social Media"",
  REGEXMATCH(A1229&amp;B1229, ""(?i)hubspot|pipedrive|stripe|shopify|woocommerce|sales|crm|invoice|order|leads?|recruitment|bamboohr|erpnext""), ""CRM &amp; Sales"",
  REGEXMATCH(A1229&amp;B1229, ""(?i)gmail|outlook|calenda"&amp;"r|slack|discord|telegram|whatsapp|notion|trello|drive|sheets?|meeting|scheduler|appointment|mattermost""), ""Productivity &amp; Communication"",
  REGEXMATCH(A1229&amp;B1229, ""(?i)github|api|webhook|http|mysql|supabase|mongodb|redis|rss|pr|code review|incident|p"&amp;"agerduty|jira""), ""Development &amp; Utilities"",
  TRUE, ""Others""
)"),"AI &amp; LLM")</f>
        <v>AI &amp; LLM</v>
      </c>
    </row>
    <row r="1230" ht="15.75" customHeight="1">
      <c r="A1230" s="14" t="s">
        <v>2439</v>
      </c>
      <c r="B1230" s="15" t="s">
        <v>2440</v>
      </c>
      <c r="C1230" s="16" t="s">
        <v>7</v>
      </c>
      <c r="D1230" s="12" t="str">
        <f>IFERROR(__xludf.DUMMYFUNCTION("IFS(
  REGEXMATCH(A1230&amp;B1230, ""(?i)openai|gpt|gemini|anthropic|claude|mistral|cohere|rag|vector|llm|chatbot|ai-powered""), ""AI &amp; LLM"",
  REGEXMATCH(A1230&amp;B1230, ""(?i)twitter|instagram|facebook|linkedin|youtube|tiktok|threads|bluesky|pinterest|social"&amp;" video|reels?|shorts?""), ""Social Media"",
  REGEXMATCH(A1230&amp;B1230, ""(?i)hubspot|pipedrive|stripe|shopify|woocommerce|sales|crm|invoice|order|leads?|recruitment|bamboohr|erpnext""), ""CRM &amp; Sales"",
  REGEXMATCH(A1230&amp;B1230, ""(?i)gmail|outlook|calenda"&amp;"r|slack|discord|telegram|whatsapp|notion|trello|drive|sheets?|meeting|scheduler|appointment|mattermost""), ""Productivity &amp; Communication"",
  REGEXMATCH(A1230&amp;B1230, ""(?i)github|api|webhook|http|mysql|supabase|mongodb|redis|rss|pr|code review|incident|p"&amp;"agerduty|jira""), ""Development &amp; Utilities"",
  TRUE, ""Others""
)"),"AI &amp; LLM")</f>
        <v>AI &amp; LLM</v>
      </c>
    </row>
    <row r="1231" ht="15.75" customHeight="1">
      <c r="A1231" s="14" t="s">
        <v>2441</v>
      </c>
      <c r="B1231" s="15" t="s">
        <v>2442</v>
      </c>
      <c r="C1231" s="16" t="s">
        <v>7</v>
      </c>
      <c r="D1231" s="12" t="str">
        <f>IFERROR(__xludf.DUMMYFUNCTION("IFS(
  REGEXMATCH(A1231&amp;B1231, ""(?i)openai|gpt|gemini|anthropic|claude|mistral|cohere|rag|vector|llm|chatbot|ai-powered""), ""AI &amp; LLM"",
  REGEXMATCH(A1231&amp;B1231, ""(?i)twitter|instagram|facebook|linkedin|youtube|tiktok|threads|bluesky|pinterest|social"&amp;" video|reels?|shorts?""), ""Social Media"",
  REGEXMATCH(A1231&amp;B1231, ""(?i)hubspot|pipedrive|stripe|shopify|woocommerce|sales|crm|invoice|order|leads?|recruitment|bamboohr|erpnext""), ""CRM &amp; Sales"",
  REGEXMATCH(A1231&amp;B1231, ""(?i)gmail|outlook|calenda"&amp;"r|slack|discord|telegram|whatsapp|notion|trello|drive|sheets?|meeting|scheduler|appointment|mattermost""), ""Productivity &amp; Communication"",
  REGEXMATCH(A1231&amp;B1231, ""(?i)github|api|webhook|http|mysql|supabase|mongodb|redis|rss|pr|code review|incident|p"&amp;"agerduty|jira""), ""Development &amp; Utilities"",
  TRUE, ""Others""
)"),"Productivity &amp; Communication")</f>
        <v>Productivity &amp; Communication</v>
      </c>
    </row>
    <row r="1232" ht="15.75" customHeight="1">
      <c r="A1232" s="14" t="s">
        <v>2443</v>
      </c>
      <c r="B1232" s="15" t="s">
        <v>2444</v>
      </c>
      <c r="C1232" s="16" t="s">
        <v>7</v>
      </c>
      <c r="D1232" s="12" t="str">
        <f>IFERROR(__xludf.DUMMYFUNCTION("IFS(
  REGEXMATCH(A1232&amp;B1232, ""(?i)openai|gpt|gemini|anthropic|claude|mistral|cohere|rag|vector|llm|chatbot|ai-powered""), ""AI &amp; LLM"",
  REGEXMATCH(A1232&amp;B1232, ""(?i)twitter|instagram|facebook|linkedin|youtube|tiktok|threads|bluesky|pinterest|social"&amp;" video|reels?|shorts?""), ""Social Media"",
  REGEXMATCH(A1232&amp;B1232, ""(?i)hubspot|pipedrive|stripe|shopify|woocommerce|sales|crm|invoice|order|leads?|recruitment|bamboohr|erpnext""), ""CRM &amp; Sales"",
  REGEXMATCH(A1232&amp;B1232, ""(?i)gmail|outlook|calenda"&amp;"r|slack|discord|telegram|whatsapp|notion|trello|drive|sheets?|meeting|scheduler|appointment|mattermost""), ""Productivity &amp; Communication"",
  REGEXMATCH(A1232&amp;B1232, ""(?i)github|api|webhook|http|mysql|supabase|mongodb|redis|rss|pr|code review|incident|p"&amp;"agerduty|jira""), ""Development &amp; Utilities"",
  TRUE, ""Others""
)"),"AI &amp; LLM")</f>
        <v>AI &amp; LLM</v>
      </c>
    </row>
    <row r="1233" ht="15.75" customHeight="1">
      <c r="A1233" s="14" t="s">
        <v>2445</v>
      </c>
      <c r="B1233" s="15" t="s">
        <v>2446</v>
      </c>
      <c r="C1233" s="16" t="s">
        <v>7</v>
      </c>
      <c r="D1233" s="12" t="str">
        <f>IFERROR(__xludf.DUMMYFUNCTION("IFS(
  REGEXMATCH(A1233&amp;B1233, ""(?i)openai|gpt|gemini|anthropic|claude|mistral|cohere|rag|vector|llm|chatbot|ai-powered""), ""AI &amp; LLM"",
  REGEXMATCH(A1233&amp;B1233, ""(?i)twitter|instagram|facebook|linkedin|youtube|tiktok|threads|bluesky|pinterest|social"&amp;" video|reels?|shorts?""), ""Social Media"",
  REGEXMATCH(A1233&amp;B1233, ""(?i)hubspot|pipedrive|stripe|shopify|woocommerce|sales|crm|invoice|order|leads?|recruitment|bamboohr|erpnext""), ""CRM &amp; Sales"",
  REGEXMATCH(A1233&amp;B1233, ""(?i)gmail|outlook|calenda"&amp;"r|slack|discord|telegram|whatsapp|notion|trello|drive|sheets?|meeting|scheduler|appointment|mattermost""), ""Productivity &amp; Communication"",
  REGEXMATCH(A1233&amp;B1233, ""(?i)github|api|webhook|http|mysql|supabase|mongodb|redis|rss|pr|code review|incident|p"&amp;"agerduty|jira""), ""Development &amp; Utilities"",
  TRUE, ""Others""
)"),"AI &amp; LLM")</f>
        <v>AI &amp; LLM</v>
      </c>
    </row>
    <row r="1234" ht="15.75" customHeight="1">
      <c r="A1234" s="14" t="s">
        <v>2447</v>
      </c>
      <c r="B1234" s="15" t="s">
        <v>2448</v>
      </c>
      <c r="C1234" s="16" t="s">
        <v>7</v>
      </c>
      <c r="D1234" s="12" t="str">
        <f>IFERROR(__xludf.DUMMYFUNCTION("IFS(
  REGEXMATCH(A1234&amp;B1234, ""(?i)openai|gpt|gemini|anthropic|claude|mistral|cohere|rag|vector|llm|chatbot|ai-powered""), ""AI &amp; LLM"",
  REGEXMATCH(A1234&amp;B1234, ""(?i)twitter|instagram|facebook|linkedin|youtube|tiktok|threads|bluesky|pinterest|social"&amp;" video|reels?|shorts?""), ""Social Media"",
  REGEXMATCH(A1234&amp;B1234, ""(?i)hubspot|pipedrive|stripe|shopify|woocommerce|sales|crm|invoice|order|leads?|recruitment|bamboohr|erpnext""), ""CRM &amp; Sales"",
  REGEXMATCH(A1234&amp;B1234, ""(?i)gmail|outlook|calenda"&amp;"r|slack|discord|telegram|whatsapp|notion|trello|drive|sheets?|meeting|scheduler|appointment|mattermost""), ""Productivity &amp; Communication"",
  REGEXMATCH(A1234&amp;B1234, ""(?i)github|api|webhook|http|mysql|supabase|mongodb|redis|rss|pr|code review|incident|p"&amp;"agerduty|jira""), ""Development &amp; Utilities"",
  TRUE, ""Others""
)"),"AI &amp; LLM")</f>
        <v>AI &amp; LLM</v>
      </c>
    </row>
    <row r="1235" ht="15.75" customHeight="1">
      <c r="A1235" s="14" t="s">
        <v>2449</v>
      </c>
      <c r="B1235" s="15" t="s">
        <v>2450</v>
      </c>
      <c r="C1235" s="16" t="s">
        <v>7</v>
      </c>
      <c r="D1235" s="12" t="str">
        <f>IFERROR(__xludf.DUMMYFUNCTION("IFS(
  REGEXMATCH(A1235&amp;B1235, ""(?i)openai|gpt|gemini|anthropic|claude|mistral|cohere|rag|vector|llm|chatbot|ai-powered""), ""AI &amp; LLM"",
  REGEXMATCH(A1235&amp;B1235, ""(?i)twitter|instagram|facebook|linkedin|youtube|tiktok|threads|bluesky|pinterest|social"&amp;" video|reels?|shorts?""), ""Social Media"",
  REGEXMATCH(A1235&amp;B1235, ""(?i)hubspot|pipedrive|stripe|shopify|woocommerce|sales|crm|invoice|order|leads?|recruitment|bamboohr|erpnext""), ""CRM &amp; Sales"",
  REGEXMATCH(A1235&amp;B1235, ""(?i)gmail|outlook|calenda"&amp;"r|slack|discord|telegram|whatsapp|notion|trello|drive|sheets?|meeting|scheduler|appointment|mattermost""), ""Productivity &amp; Communication"",
  REGEXMATCH(A1235&amp;B1235, ""(?i)github|api|webhook|http|mysql|supabase|mongodb|redis|rss|pr|code review|incident|p"&amp;"agerduty|jira""), ""Development &amp; Utilities"",
  TRUE, ""Others""
)"),"AI &amp; LLM")</f>
        <v>AI &amp; LLM</v>
      </c>
    </row>
    <row r="1236" ht="15.75" customHeight="1">
      <c r="A1236" s="14" t="s">
        <v>2451</v>
      </c>
      <c r="B1236" s="15" t="s">
        <v>2452</v>
      </c>
      <c r="C1236" s="16" t="s">
        <v>7</v>
      </c>
      <c r="D1236" s="12" t="str">
        <f>IFERROR(__xludf.DUMMYFUNCTION("IFS(
  REGEXMATCH(A1236&amp;B1236, ""(?i)openai|gpt|gemini|anthropic|claude|mistral|cohere|rag|vector|llm|chatbot|ai-powered""), ""AI &amp; LLM"",
  REGEXMATCH(A1236&amp;B1236, ""(?i)twitter|instagram|facebook|linkedin|youtube|tiktok|threads|bluesky|pinterest|social"&amp;" video|reels?|shorts?""), ""Social Media"",
  REGEXMATCH(A1236&amp;B1236, ""(?i)hubspot|pipedrive|stripe|shopify|woocommerce|sales|crm|invoice|order|leads?|recruitment|bamboohr|erpnext""), ""CRM &amp; Sales"",
  REGEXMATCH(A1236&amp;B1236, ""(?i)gmail|outlook|calenda"&amp;"r|slack|discord|telegram|whatsapp|notion|trello|drive|sheets?|meeting|scheduler|appointment|mattermost""), ""Productivity &amp; Communication"",
  REGEXMATCH(A1236&amp;B1236, ""(?i)github|api|webhook|http|mysql|supabase|mongodb|redis|rss|pr|code review|incident|p"&amp;"agerduty|jira""), ""Development &amp; Utilities"",
  TRUE, ""Others""
)"),"AI &amp; LLM")</f>
        <v>AI &amp; LLM</v>
      </c>
    </row>
    <row r="1237" ht="15.75" customHeight="1">
      <c r="A1237" s="14" t="s">
        <v>2453</v>
      </c>
      <c r="B1237" s="15" t="s">
        <v>2454</v>
      </c>
      <c r="C1237" s="16" t="s">
        <v>7</v>
      </c>
      <c r="D1237" s="12" t="str">
        <f>IFERROR(__xludf.DUMMYFUNCTION("IFS(
  REGEXMATCH(A1237&amp;B1237, ""(?i)openai|gpt|gemini|anthropic|claude|mistral|cohere|rag|vector|llm|chatbot|ai-powered""), ""AI &amp; LLM"",
  REGEXMATCH(A1237&amp;B1237, ""(?i)twitter|instagram|facebook|linkedin|youtube|tiktok|threads|bluesky|pinterest|social"&amp;" video|reels?|shorts?""), ""Social Media"",
  REGEXMATCH(A1237&amp;B1237, ""(?i)hubspot|pipedrive|stripe|shopify|woocommerce|sales|crm|invoice|order|leads?|recruitment|bamboohr|erpnext""), ""CRM &amp; Sales"",
  REGEXMATCH(A1237&amp;B1237, ""(?i)gmail|outlook|calenda"&amp;"r|slack|discord|telegram|whatsapp|notion|trello|drive|sheets?|meeting|scheduler|appointment|mattermost""), ""Productivity &amp; Communication"",
  REGEXMATCH(A1237&amp;B1237, ""(?i)github|api|webhook|http|mysql|supabase|mongodb|redis|rss|pr|code review|incident|p"&amp;"agerduty|jira""), ""Development &amp; Utilities"",
  TRUE, ""Others""
)"),"AI &amp; LLM")</f>
        <v>AI &amp; LLM</v>
      </c>
    </row>
    <row r="1238" ht="15.75" customHeight="1">
      <c r="A1238" s="14" t="s">
        <v>2455</v>
      </c>
      <c r="B1238" s="15" t="s">
        <v>2456</v>
      </c>
      <c r="C1238" s="16" t="s">
        <v>7</v>
      </c>
      <c r="D1238" s="12" t="str">
        <f>IFERROR(__xludf.DUMMYFUNCTION("IFS(
  REGEXMATCH(A1238&amp;B1238, ""(?i)openai|gpt|gemini|anthropic|claude|mistral|cohere|rag|vector|llm|chatbot|ai-powered""), ""AI &amp; LLM"",
  REGEXMATCH(A1238&amp;B1238, ""(?i)twitter|instagram|facebook|linkedin|youtube|tiktok|threads|bluesky|pinterest|social"&amp;" video|reels?|shorts?""), ""Social Media"",
  REGEXMATCH(A1238&amp;B1238, ""(?i)hubspot|pipedrive|stripe|shopify|woocommerce|sales|crm|invoice|order|leads?|recruitment|bamboohr|erpnext""), ""CRM &amp; Sales"",
  REGEXMATCH(A1238&amp;B1238, ""(?i)gmail|outlook|calenda"&amp;"r|slack|discord|telegram|whatsapp|notion|trello|drive|sheets?|meeting|scheduler|appointment|mattermost""), ""Productivity &amp; Communication"",
  REGEXMATCH(A1238&amp;B1238, ""(?i)github|api|webhook|http|mysql|supabase|mongodb|redis|rss|pr|code review|incident|p"&amp;"agerduty|jira""), ""Development &amp; Utilities"",
  TRUE, ""Others""
)"),"AI &amp; LLM")</f>
        <v>AI &amp; LLM</v>
      </c>
    </row>
    <row r="1239" ht="15.75" customHeight="1">
      <c r="A1239" s="14" t="s">
        <v>2457</v>
      </c>
      <c r="B1239" s="15" t="s">
        <v>2458</v>
      </c>
      <c r="C1239" s="16" t="s">
        <v>7</v>
      </c>
      <c r="D1239" s="12" t="str">
        <f>IFERROR(__xludf.DUMMYFUNCTION("IFS(
  REGEXMATCH(A1239&amp;B1239, ""(?i)openai|gpt|gemini|anthropic|claude|mistral|cohere|rag|vector|llm|chatbot|ai-powered""), ""AI &amp; LLM"",
  REGEXMATCH(A1239&amp;B1239, ""(?i)twitter|instagram|facebook|linkedin|youtube|tiktok|threads|bluesky|pinterest|social"&amp;" video|reels?|shorts?""), ""Social Media"",
  REGEXMATCH(A1239&amp;B1239, ""(?i)hubspot|pipedrive|stripe|shopify|woocommerce|sales|crm|invoice|order|leads?|recruitment|bamboohr|erpnext""), ""CRM &amp; Sales"",
  REGEXMATCH(A1239&amp;B1239, ""(?i)gmail|outlook|calenda"&amp;"r|slack|discord|telegram|whatsapp|notion|trello|drive|sheets?|meeting|scheduler|appointment|mattermost""), ""Productivity &amp; Communication"",
  REGEXMATCH(A1239&amp;B1239, ""(?i)github|api|webhook|http|mysql|supabase|mongodb|redis|rss|pr|code review|incident|p"&amp;"agerduty|jira""), ""Development &amp; Utilities"",
  TRUE, ""Others""
)"),"Social Media")</f>
        <v>Social Media</v>
      </c>
    </row>
    <row r="1240" ht="15.75" customHeight="1">
      <c r="A1240" s="14" t="s">
        <v>2459</v>
      </c>
      <c r="B1240" s="15" t="s">
        <v>2460</v>
      </c>
      <c r="C1240" s="16" t="s">
        <v>7</v>
      </c>
      <c r="D1240" s="12" t="str">
        <f>IFERROR(__xludf.DUMMYFUNCTION("IFS(
  REGEXMATCH(A1240&amp;B1240, ""(?i)openai|gpt|gemini|anthropic|claude|mistral|cohere|rag|vector|llm|chatbot|ai-powered""), ""AI &amp; LLM"",
  REGEXMATCH(A1240&amp;B1240, ""(?i)twitter|instagram|facebook|linkedin|youtube|tiktok|threads|bluesky|pinterest|social"&amp;" video|reels?|shorts?""), ""Social Media"",
  REGEXMATCH(A1240&amp;B1240, ""(?i)hubspot|pipedrive|stripe|shopify|woocommerce|sales|crm|invoice|order|leads?|recruitment|bamboohr|erpnext""), ""CRM &amp; Sales"",
  REGEXMATCH(A1240&amp;B1240, ""(?i)gmail|outlook|calenda"&amp;"r|slack|discord|telegram|whatsapp|notion|trello|drive|sheets?|meeting|scheduler|appointment|mattermost""), ""Productivity &amp; Communication"",
  REGEXMATCH(A1240&amp;B1240, ""(?i)github|api|webhook|http|mysql|supabase|mongodb|redis|rss|pr|code review|incident|p"&amp;"agerduty|jira""), ""Development &amp; Utilities"",
  TRUE, ""Others""
)"),"AI &amp; LLM")</f>
        <v>AI &amp; LLM</v>
      </c>
    </row>
    <row r="1241" ht="15.75" customHeight="1">
      <c r="A1241" s="14" t="s">
        <v>2461</v>
      </c>
      <c r="B1241" s="15" t="s">
        <v>2462</v>
      </c>
      <c r="C1241" s="16" t="s">
        <v>7</v>
      </c>
      <c r="D1241" s="12" t="str">
        <f>IFERROR(__xludf.DUMMYFUNCTION("IFS(
  REGEXMATCH(A1241&amp;B1241, ""(?i)openai|gpt|gemini|anthropic|claude|mistral|cohere|rag|vector|llm|chatbot|ai-powered""), ""AI &amp; LLM"",
  REGEXMATCH(A1241&amp;B1241, ""(?i)twitter|instagram|facebook|linkedin|youtube|tiktok|threads|bluesky|pinterest|social"&amp;" video|reels?|shorts?""), ""Social Media"",
  REGEXMATCH(A1241&amp;B1241, ""(?i)hubspot|pipedrive|stripe|shopify|woocommerce|sales|crm|invoice|order|leads?|recruitment|bamboohr|erpnext""), ""CRM &amp; Sales"",
  REGEXMATCH(A1241&amp;B1241, ""(?i)gmail|outlook|calenda"&amp;"r|slack|discord|telegram|whatsapp|notion|trello|drive|sheets?|meeting|scheduler|appointment|mattermost""), ""Productivity &amp; Communication"",
  REGEXMATCH(A1241&amp;B1241, ""(?i)github|api|webhook|http|mysql|supabase|mongodb|redis|rss|pr|code review|incident|p"&amp;"agerduty|jira""), ""Development &amp; Utilities"",
  TRUE, ""Others""
)"),"Productivity &amp; Communication")</f>
        <v>Productivity &amp; Communication</v>
      </c>
    </row>
    <row r="1242" ht="15.75" customHeight="1">
      <c r="A1242" s="14" t="s">
        <v>2463</v>
      </c>
      <c r="B1242" s="15" t="s">
        <v>2464</v>
      </c>
      <c r="C1242" s="16" t="s">
        <v>7</v>
      </c>
      <c r="D1242" s="12" t="str">
        <f>IFERROR(__xludf.DUMMYFUNCTION("IFS(
  REGEXMATCH(A1242&amp;B1242, ""(?i)openai|gpt|gemini|anthropic|claude|mistral|cohere|rag|vector|llm|chatbot|ai-powered""), ""AI &amp; LLM"",
  REGEXMATCH(A1242&amp;B1242, ""(?i)twitter|instagram|facebook|linkedin|youtube|tiktok|threads|bluesky|pinterest|social"&amp;" video|reels?|shorts?""), ""Social Media"",
  REGEXMATCH(A1242&amp;B1242, ""(?i)hubspot|pipedrive|stripe|shopify|woocommerce|sales|crm|invoice|order|leads?|recruitment|bamboohr|erpnext""), ""CRM &amp; Sales"",
  REGEXMATCH(A1242&amp;B1242, ""(?i)gmail|outlook|calenda"&amp;"r|slack|discord|telegram|whatsapp|notion|trello|drive|sheets?|meeting|scheduler|appointment|mattermost""), ""Productivity &amp; Communication"",
  REGEXMATCH(A1242&amp;B1242, ""(?i)github|api|webhook|http|mysql|supabase|mongodb|redis|rss|pr|code review|incident|p"&amp;"agerduty|jira""), ""Development &amp; Utilities"",
  TRUE, ""Others""
)"),"AI &amp; LLM")</f>
        <v>AI &amp; LLM</v>
      </c>
    </row>
    <row r="1243" ht="15.75" customHeight="1">
      <c r="A1243" s="14" t="s">
        <v>2465</v>
      </c>
      <c r="B1243" s="15" t="s">
        <v>2466</v>
      </c>
      <c r="C1243" s="16" t="s">
        <v>7</v>
      </c>
      <c r="D1243" s="12" t="str">
        <f>IFERROR(__xludf.DUMMYFUNCTION("IFS(
  REGEXMATCH(A1243&amp;B1243, ""(?i)openai|gpt|gemini|anthropic|claude|mistral|cohere|rag|vector|llm|chatbot|ai-powered""), ""AI &amp; LLM"",
  REGEXMATCH(A1243&amp;B1243, ""(?i)twitter|instagram|facebook|linkedin|youtube|tiktok|threads|bluesky|pinterest|social"&amp;" video|reels?|shorts?""), ""Social Media"",
  REGEXMATCH(A1243&amp;B1243, ""(?i)hubspot|pipedrive|stripe|shopify|woocommerce|sales|crm|invoice|order|leads?|recruitment|bamboohr|erpnext""), ""CRM &amp; Sales"",
  REGEXMATCH(A1243&amp;B1243, ""(?i)gmail|outlook|calenda"&amp;"r|slack|discord|telegram|whatsapp|notion|trello|drive|sheets?|meeting|scheduler|appointment|mattermost""), ""Productivity &amp; Communication"",
  REGEXMATCH(A1243&amp;B1243, ""(?i)github|api|webhook|http|mysql|supabase|mongodb|redis|rss|pr|code review|incident|p"&amp;"agerduty|jira""), ""Development &amp; Utilities"",
  TRUE, ""Others""
)"),"Development &amp; Utilities")</f>
        <v>Development &amp; Utilities</v>
      </c>
    </row>
    <row r="1244" ht="15.75" customHeight="1">
      <c r="A1244" s="14" t="s">
        <v>2467</v>
      </c>
      <c r="B1244" s="15" t="s">
        <v>2468</v>
      </c>
      <c r="C1244" s="16" t="s">
        <v>7</v>
      </c>
      <c r="D1244" s="12" t="str">
        <f>IFERROR(__xludf.DUMMYFUNCTION("IFS(
  REGEXMATCH(A1244&amp;B1244, ""(?i)openai|gpt|gemini|anthropic|claude|mistral|cohere|rag|vector|llm|chatbot|ai-powered""), ""AI &amp; LLM"",
  REGEXMATCH(A1244&amp;B1244, ""(?i)twitter|instagram|facebook|linkedin|youtube|tiktok|threads|bluesky|pinterest|social"&amp;" video|reels?|shorts?""), ""Social Media"",
  REGEXMATCH(A1244&amp;B1244, ""(?i)hubspot|pipedrive|stripe|shopify|woocommerce|sales|crm|invoice|order|leads?|recruitment|bamboohr|erpnext""), ""CRM &amp; Sales"",
  REGEXMATCH(A1244&amp;B1244, ""(?i)gmail|outlook|calenda"&amp;"r|slack|discord|telegram|whatsapp|notion|trello|drive|sheets?|meeting|scheduler|appointment|mattermost""), ""Productivity &amp; Communication"",
  REGEXMATCH(A1244&amp;B1244, ""(?i)github|api|webhook|http|mysql|supabase|mongodb|redis|rss|pr|code review|incident|p"&amp;"agerduty|jira""), ""Development &amp; Utilities"",
  TRUE, ""Others""
)"),"Productivity &amp; Communication")</f>
        <v>Productivity &amp; Communication</v>
      </c>
    </row>
    <row r="1245" ht="15.75" customHeight="1">
      <c r="A1245" s="14" t="s">
        <v>2469</v>
      </c>
      <c r="B1245" s="15" t="s">
        <v>2470</v>
      </c>
      <c r="C1245" s="16" t="s">
        <v>7</v>
      </c>
      <c r="D1245" s="12" t="str">
        <f>IFERROR(__xludf.DUMMYFUNCTION("IFS(
  REGEXMATCH(A1245&amp;B1245, ""(?i)openai|gpt|gemini|anthropic|claude|mistral|cohere|rag|vector|llm|chatbot|ai-powered""), ""AI &amp; LLM"",
  REGEXMATCH(A1245&amp;B1245, ""(?i)twitter|instagram|facebook|linkedin|youtube|tiktok|threads|bluesky|pinterest|social"&amp;" video|reels?|shorts?""), ""Social Media"",
  REGEXMATCH(A1245&amp;B1245, ""(?i)hubspot|pipedrive|stripe|shopify|woocommerce|sales|crm|invoice|order|leads?|recruitment|bamboohr|erpnext""), ""CRM &amp; Sales"",
  REGEXMATCH(A1245&amp;B1245, ""(?i)gmail|outlook|calenda"&amp;"r|slack|discord|telegram|whatsapp|notion|trello|drive|sheets?|meeting|scheduler|appointment|mattermost""), ""Productivity &amp; Communication"",
  REGEXMATCH(A1245&amp;B1245, ""(?i)github|api|webhook|http|mysql|supabase|mongodb|redis|rss|pr|code review|incident|p"&amp;"agerduty|jira""), ""Development &amp; Utilities"",
  TRUE, ""Others""
)"),"AI &amp; LLM")</f>
        <v>AI &amp; LLM</v>
      </c>
    </row>
    <row r="1246" ht="15.75" customHeight="1">
      <c r="A1246" s="14" t="s">
        <v>2471</v>
      </c>
      <c r="B1246" s="15" t="s">
        <v>2472</v>
      </c>
      <c r="C1246" s="16" t="s">
        <v>7</v>
      </c>
      <c r="D1246" s="12" t="str">
        <f>IFERROR(__xludf.DUMMYFUNCTION("IFS(
  REGEXMATCH(A1246&amp;B1246, ""(?i)openai|gpt|gemini|anthropic|claude|mistral|cohere|rag|vector|llm|chatbot|ai-powered""), ""AI &amp; LLM"",
  REGEXMATCH(A1246&amp;B1246, ""(?i)twitter|instagram|facebook|linkedin|youtube|tiktok|threads|bluesky|pinterest|social"&amp;" video|reels?|shorts?""), ""Social Media"",
  REGEXMATCH(A1246&amp;B1246, ""(?i)hubspot|pipedrive|stripe|shopify|woocommerce|sales|crm|invoice|order|leads?|recruitment|bamboohr|erpnext""), ""CRM &amp; Sales"",
  REGEXMATCH(A1246&amp;B1246, ""(?i)gmail|outlook|calenda"&amp;"r|slack|discord|telegram|whatsapp|notion|trello|drive|sheets?|meeting|scheduler|appointment|mattermost""), ""Productivity &amp; Communication"",
  REGEXMATCH(A1246&amp;B1246, ""(?i)github|api|webhook|http|mysql|supabase|mongodb|redis|rss|pr|code review|incident|p"&amp;"agerduty|jira""), ""Development &amp; Utilities"",
  TRUE, ""Others""
)"),"AI &amp; LLM")</f>
        <v>AI &amp; LLM</v>
      </c>
    </row>
    <row r="1247" ht="15.75" customHeight="1">
      <c r="A1247" s="14" t="s">
        <v>2025</v>
      </c>
      <c r="B1247" s="15" t="s">
        <v>2473</v>
      </c>
      <c r="C1247" s="16" t="s">
        <v>7</v>
      </c>
      <c r="D1247" s="12" t="str">
        <f>IFERROR(__xludf.DUMMYFUNCTION("IFS(
  REGEXMATCH(A1247&amp;B1247, ""(?i)openai|gpt|gemini|anthropic|claude|mistral|cohere|rag|vector|llm|chatbot|ai-powered""), ""AI &amp; LLM"",
  REGEXMATCH(A1247&amp;B1247, ""(?i)twitter|instagram|facebook|linkedin|youtube|tiktok|threads|bluesky|pinterest|social"&amp;" video|reels?|shorts?""), ""Social Media"",
  REGEXMATCH(A1247&amp;B1247, ""(?i)hubspot|pipedrive|stripe|shopify|woocommerce|sales|crm|invoice|order|leads?|recruitment|bamboohr|erpnext""), ""CRM &amp; Sales"",
  REGEXMATCH(A1247&amp;B1247, ""(?i)gmail|outlook|calenda"&amp;"r|slack|discord|telegram|whatsapp|notion|trello|drive|sheets?|meeting|scheduler|appointment|mattermost""), ""Productivity &amp; Communication"",
  REGEXMATCH(A1247&amp;B1247, ""(?i)github|api|webhook|http|mysql|supabase|mongodb|redis|rss|pr|code review|incident|p"&amp;"agerduty|jira""), ""Development &amp; Utilities"",
  TRUE, ""Others""
)"),"AI &amp; LLM")</f>
        <v>AI &amp; LLM</v>
      </c>
    </row>
    <row r="1248" ht="15.75" customHeight="1">
      <c r="A1248" s="14" t="s">
        <v>2474</v>
      </c>
      <c r="B1248" s="15" t="s">
        <v>2475</v>
      </c>
      <c r="C1248" s="16" t="s">
        <v>7</v>
      </c>
      <c r="D1248" s="12" t="str">
        <f>IFERROR(__xludf.DUMMYFUNCTION("IFS(
  REGEXMATCH(A1248&amp;B1248, ""(?i)openai|gpt|gemini|anthropic|claude|mistral|cohere|rag|vector|llm|chatbot|ai-powered""), ""AI &amp; LLM"",
  REGEXMATCH(A1248&amp;B1248, ""(?i)twitter|instagram|facebook|linkedin|youtube|tiktok|threads|bluesky|pinterest|social"&amp;" video|reels?|shorts?""), ""Social Media"",
  REGEXMATCH(A1248&amp;B1248, ""(?i)hubspot|pipedrive|stripe|shopify|woocommerce|sales|crm|invoice|order|leads?|recruitment|bamboohr|erpnext""), ""CRM &amp; Sales"",
  REGEXMATCH(A1248&amp;B1248, ""(?i)gmail|outlook|calenda"&amp;"r|slack|discord|telegram|whatsapp|notion|trello|drive|sheets?|meeting|scheduler|appointment|mattermost""), ""Productivity &amp; Communication"",
  REGEXMATCH(A1248&amp;B1248, ""(?i)github|api|webhook|http|mysql|supabase|mongodb|redis|rss|pr|code review|incident|p"&amp;"agerduty|jira""), ""Development &amp; Utilities"",
  TRUE, ""Others""
)"),"AI &amp; LLM")</f>
        <v>AI &amp; LLM</v>
      </c>
    </row>
    <row r="1249" ht="15.75" customHeight="1">
      <c r="A1249" s="14" t="s">
        <v>2476</v>
      </c>
      <c r="B1249" s="15" t="s">
        <v>2477</v>
      </c>
      <c r="C1249" s="16" t="s">
        <v>7</v>
      </c>
      <c r="D1249" s="12" t="str">
        <f>IFERROR(__xludf.DUMMYFUNCTION("IFS(
  REGEXMATCH(A1249&amp;B1249, ""(?i)openai|gpt|gemini|anthropic|claude|mistral|cohere|rag|vector|llm|chatbot|ai-powered""), ""AI &amp; LLM"",
  REGEXMATCH(A1249&amp;B1249, ""(?i)twitter|instagram|facebook|linkedin|youtube|tiktok|threads|bluesky|pinterest|social"&amp;" video|reels?|shorts?""), ""Social Media"",
  REGEXMATCH(A1249&amp;B1249, ""(?i)hubspot|pipedrive|stripe|shopify|woocommerce|sales|crm|invoice|order|leads?|recruitment|bamboohr|erpnext""), ""CRM &amp; Sales"",
  REGEXMATCH(A1249&amp;B1249, ""(?i)gmail|outlook|calenda"&amp;"r|slack|discord|telegram|whatsapp|notion|trello|drive|sheets?|meeting|scheduler|appointment|mattermost""), ""Productivity &amp; Communication"",
  REGEXMATCH(A1249&amp;B1249, ""(?i)github|api|webhook|http|mysql|supabase|mongodb|redis|rss|pr|code review|incident|p"&amp;"agerduty|jira""), ""Development &amp; Utilities"",
  TRUE, ""Others""
)"),"Development &amp; Utilities")</f>
        <v>Development &amp; Utilities</v>
      </c>
    </row>
    <row r="1250" ht="15.75" customHeight="1">
      <c r="A1250" s="14" t="s">
        <v>2478</v>
      </c>
      <c r="B1250" s="15" t="s">
        <v>2479</v>
      </c>
      <c r="C1250" s="16" t="s">
        <v>7</v>
      </c>
      <c r="D1250" s="12" t="str">
        <f>IFERROR(__xludf.DUMMYFUNCTION("IFS(
  REGEXMATCH(A1250&amp;B1250, ""(?i)openai|gpt|gemini|anthropic|claude|mistral|cohere|rag|vector|llm|chatbot|ai-powered""), ""AI &amp; LLM"",
  REGEXMATCH(A1250&amp;B1250, ""(?i)twitter|instagram|facebook|linkedin|youtube|tiktok|threads|bluesky|pinterest|social"&amp;" video|reels?|shorts?""), ""Social Media"",
  REGEXMATCH(A1250&amp;B1250, ""(?i)hubspot|pipedrive|stripe|shopify|woocommerce|sales|crm|invoice|order|leads?|recruitment|bamboohr|erpnext""), ""CRM &amp; Sales"",
  REGEXMATCH(A1250&amp;B1250, ""(?i)gmail|outlook|calenda"&amp;"r|slack|discord|telegram|whatsapp|notion|trello|drive|sheets?|meeting|scheduler|appointment|mattermost""), ""Productivity &amp; Communication"",
  REGEXMATCH(A1250&amp;B1250, ""(?i)github|api|webhook|http|mysql|supabase|mongodb|redis|rss|pr|code review|incident|p"&amp;"agerduty|jira""), ""Development &amp; Utilities"",
  TRUE, ""Others""
)"),"Development &amp; Utilities")</f>
        <v>Development &amp; Utilities</v>
      </c>
    </row>
    <row r="1251" ht="15.75" customHeight="1">
      <c r="A1251" s="14" t="s">
        <v>2480</v>
      </c>
      <c r="B1251" s="15" t="s">
        <v>2481</v>
      </c>
      <c r="C1251" s="16" t="s">
        <v>7</v>
      </c>
      <c r="D1251" s="12" t="str">
        <f>IFERROR(__xludf.DUMMYFUNCTION("IFS(
  REGEXMATCH(A1251&amp;B1251, ""(?i)openai|gpt|gemini|anthropic|claude|mistral|cohere|rag|vector|llm|chatbot|ai-powered""), ""AI &amp; LLM"",
  REGEXMATCH(A1251&amp;B1251, ""(?i)twitter|instagram|facebook|linkedin|youtube|tiktok|threads|bluesky|pinterest|social"&amp;" video|reels?|shorts?""), ""Social Media"",
  REGEXMATCH(A1251&amp;B1251, ""(?i)hubspot|pipedrive|stripe|shopify|woocommerce|sales|crm|invoice|order|leads?|recruitment|bamboohr|erpnext""), ""CRM &amp; Sales"",
  REGEXMATCH(A1251&amp;B1251, ""(?i)gmail|outlook|calenda"&amp;"r|slack|discord|telegram|whatsapp|notion|trello|drive|sheets?|meeting|scheduler|appointment|mattermost""), ""Productivity &amp; Communication"",
  REGEXMATCH(A1251&amp;B1251, ""(?i)github|api|webhook|http|mysql|supabase|mongodb|redis|rss|pr|code review|incident|p"&amp;"agerduty|jira""), ""Development &amp; Utilities"",
  TRUE, ""Others""
)"),"AI &amp; LLM")</f>
        <v>AI &amp; LLM</v>
      </c>
    </row>
    <row r="1252" ht="15.75" customHeight="1">
      <c r="A1252" s="14" t="s">
        <v>2482</v>
      </c>
      <c r="B1252" s="15" t="s">
        <v>2483</v>
      </c>
      <c r="C1252" s="16" t="s">
        <v>7</v>
      </c>
      <c r="D1252" s="12" t="str">
        <f>IFERROR(__xludf.DUMMYFUNCTION("IFS(
  REGEXMATCH(A1252&amp;B1252, ""(?i)openai|gpt|gemini|anthropic|claude|mistral|cohere|rag|vector|llm|chatbot|ai-powered""), ""AI &amp; LLM"",
  REGEXMATCH(A1252&amp;B1252, ""(?i)twitter|instagram|facebook|linkedin|youtube|tiktok|threads|bluesky|pinterest|social"&amp;" video|reels?|shorts?""), ""Social Media"",
  REGEXMATCH(A1252&amp;B1252, ""(?i)hubspot|pipedrive|stripe|shopify|woocommerce|sales|crm|invoice|order|leads?|recruitment|bamboohr|erpnext""), ""CRM &amp; Sales"",
  REGEXMATCH(A1252&amp;B1252, ""(?i)gmail|outlook|calenda"&amp;"r|slack|discord|telegram|whatsapp|notion|trello|drive|sheets?|meeting|scheduler|appointment|mattermost""), ""Productivity &amp; Communication"",
  REGEXMATCH(A1252&amp;B1252, ""(?i)github|api|webhook|http|mysql|supabase|mongodb|redis|rss|pr|code review|incident|p"&amp;"agerduty|jira""), ""Development &amp; Utilities"",
  TRUE, ""Others""
)"),"AI &amp; LLM")</f>
        <v>AI &amp; LLM</v>
      </c>
    </row>
    <row r="1253" ht="15.75" customHeight="1">
      <c r="A1253" s="14" t="s">
        <v>2484</v>
      </c>
      <c r="B1253" s="15" t="s">
        <v>2485</v>
      </c>
      <c r="C1253" s="16" t="s">
        <v>7</v>
      </c>
      <c r="D1253" s="12" t="str">
        <f>IFERROR(__xludf.DUMMYFUNCTION("IFS(
  REGEXMATCH(A1253&amp;B1253, ""(?i)openai|gpt|gemini|anthropic|claude|mistral|cohere|rag|vector|llm|chatbot|ai-powered""), ""AI &amp; LLM"",
  REGEXMATCH(A1253&amp;B1253, ""(?i)twitter|instagram|facebook|linkedin|youtube|tiktok|threads|bluesky|pinterest|social"&amp;" video|reels?|shorts?""), ""Social Media"",
  REGEXMATCH(A1253&amp;B1253, ""(?i)hubspot|pipedrive|stripe|shopify|woocommerce|sales|crm|invoice|order|leads?|recruitment|bamboohr|erpnext""), ""CRM &amp; Sales"",
  REGEXMATCH(A1253&amp;B1253, ""(?i)gmail|outlook|calenda"&amp;"r|slack|discord|telegram|whatsapp|notion|trello|drive|sheets?|meeting|scheduler|appointment|mattermost""), ""Productivity &amp; Communication"",
  REGEXMATCH(A1253&amp;B1253, ""(?i)github|api|webhook|http|mysql|supabase|mongodb|redis|rss|pr|code review|incident|p"&amp;"agerduty|jira""), ""Development &amp; Utilities"",
  TRUE, ""Others""
)"),"Productivity &amp; Communication")</f>
        <v>Productivity &amp; Communication</v>
      </c>
    </row>
    <row r="1254" ht="15.75" customHeight="1">
      <c r="A1254" s="14" t="s">
        <v>2486</v>
      </c>
      <c r="B1254" s="15" t="s">
        <v>2487</v>
      </c>
      <c r="C1254" s="16" t="s">
        <v>7</v>
      </c>
      <c r="D1254" s="12" t="str">
        <f>IFERROR(__xludf.DUMMYFUNCTION("IFS(
  REGEXMATCH(A1254&amp;B1254, ""(?i)openai|gpt|gemini|anthropic|claude|mistral|cohere|rag|vector|llm|chatbot|ai-powered""), ""AI &amp; LLM"",
  REGEXMATCH(A1254&amp;B1254, ""(?i)twitter|instagram|facebook|linkedin|youtube|tiktok|threads|bluesky|pinterest|social"&amp;" video|reels?|shorts?""), ""Social Media"",
  REGEXMATCH(A1254&amp;B1254, ""(?i)hubspot|pipedrive|stripe|shopify|woocommerce|sales|crm|invoice|order|leads?|recruitment|bamboohr|erpnext""), ""CRM &amp; Sales"",
  REGEXMATCH(A1254&amp;B1254, ""(?i)gmail|outlook|calenda"&amp;"r|slack|discord|telegram|whatsapp|notion|trello|drive|sheets?|meeting|scheduler|appointment|mattermost""), ""Productivity &amp; Communication"",
  REGEXMATCH(A1254&amp;B1254, ""(?i)github|api|webhook|http|mysql|supabase|mongodb|redis|rss|pr|code review|incident|p"&amp;"agerduty|jira""), ""Development &amp; Utilities"",
  TRUE, ""Others""
)"),"Social Media")</f>
        <v>Social Media</v>
      </c>
    </row>
    <row r="1255" ht="15.75" customHeight="1">
      <c r="A1255" s="14" t="s">
        <v>1524</v>
      </c>
      <c r="B1255" s="15" t="s">
        <v>2488</v>
      </c>
      <c r="C1255" s="16" t="s">
        <v>7</v>
      </c>
      <c r="D1255" s="12" t="str">
        <f>IFERROR(__xludf.DUMMYFUNCTION("IFS(
  REGEXMATCH(A1255&amp;B1255, ""(?i)openai|gpt|gemini|anthropic|claude|mistral|cohere|rag|vector|llm|chatbot|ai-powered""), ""AI &amp; LLM"",
  REGEXMATCH(A1255&amp;B1255, ""(?i)twitter|instagram|facebook|linkedin|youtube|tiktok|threads|bluesky|pinterest|social"&amp;" video|reels?|shorts?""), ""Social Media"",
  REGEXMATCH(A1255&amp;B1255, ""(?i)hubspot|pipedrive|stripe|shopify|woocommerce|sales|crm|invoice|order|leads?|recruitment|bamboohr|erpnext""), ""CRM &amp; Sales"",
  REGEXMATCH(A1255&amp;B1255, ""(?i)gmail|outlook|calenda"&amp;"r|slack|discord|telegram|whatsapp|notion|trello|drive|sheets?|meeting|scheduler|appointment|mattermost""), ""Productivity &amp; Communication"",
  REGEXMATCH(A1255&amp;B1255, ""(?i)github|api|webhook|http|mysql|supabase|mongodb|redis|rss|pr|code review|incident|p"&amp;"agerduty|jira""), ""Development &amp; Utilities"",
  TRUE, ""Others""
)"),"AI &amp; LLM")</f>
        <v>AI &amp; LLM</v>
      </c>
    </row>
    <row r="1256" ht="15.75" customHeight="1">
      <c r="A1256" s="14" t="s">
        <v>2489</v>
      </c>
      <c r="B1256" s="15" t="s">
        <v>2490</v>
      </c>
      <c r="C1256" s="16" t="s">
        <v>7</v>
      </c>
      <c r="D1256" s="12" t="str">
        <f>IFERROR(__xludf.DUMMYFUNCTION("IFS(
  REGEXMATCH(A1256&amp;B1256, ""(?i)openai|gpt|gemini|anthropic|claude|mistral|cohere|rag|vector|llm|chatbot|ai-powered""), ""AI &amp; LLM"",
  REGEXMATCH(A1256&amp;B1256, ""(?i)twitter|instagram|facebook|linkedin|youtube|tiktok|threads|bluesky|pinterest|social"&amp;" video|reels?|shorts?""), ""Social Media"",
  REGEXMATCH(A1256&amp;B1256, ""(?i)hubspot|pipedrive|stripe|shopify|woocommerce|sales|crm|invoice|order|leads?|recruitment|bamboohr|erpnext""), ""CRM &amp; Sales"",
  REGEXMATCH(A1256&amp;B1256, ""(?i)gmail|outlook|calenda"&amp;"r|slack|discord|telegram|whatsapp|notion|trello|drive|sheets?|meeting|scheduler|appointment|mattermost""), ""Productivity &amp; Communication"",
  REGEXMATCH(A1256&amp;B1256, ""(?i)github|api|webhook|http|mysql|supabase|mongodb|redis|rss|pr|code review|incident|p"&amp;"agerduty|jira""), ""Development &amp; Utilities"",
  TRUE, ""Others""
)"),"Productivity &amp; Communication")</f>
        <v>Productivity &amp; Communication</v>
      </c>
    </row>
    <row r="1257" ht="15.75" customHeight="1">
      <c r="A1257" s="14" t="s">
        <v>2491</v>
      </c>
      <c r="B1257" s="15" t="s">
        <v>2492</v>
      </c>
      <c r="C1257" s="16" t="s">
        <v>7</v>
      </c>
      <c r="D1257" s="12" t="str">
        <f>IFERROR(__xludf.DUMMYFUNCTION("IFS(
  REGEXMATCH(A1257&amp;B1257, ""(?i)openai|gpt|gemini|anthropic|claude|mistral|cohere|rag|vector|llm|chatbot|ai-powered""), ""AI &amp; LLM"",
  REGEXMATCH(A1257&amp;B1257, ""(?i)twitter|instagram|facebook|linkedin|youtube|tiktok|threads|bluesky|pinterest|social"&amp;" video|reels?|shorts?""), ""Social Media"",
  REGEXMATCH(A1257&amp;B1257, ""(?i)hubspot|pipedrive|stripe|shopify|woocommerce|sales|crm|invoice|order|leads?|recruitment|bamboohr|erpnext""), ""CRM &amp; Sales"",
  REGEXMATCH(A1257&amp;B1257, ""(?i)gmail|outlook|calenda"&amp;"r|slack|discord|telegram|whatsapp|notion|trello|drive|sheets?|meeting|scheduler|appointment|mattermost""), ""Productivity &amp; Communication"",
  REGEXMATCH(A1257&amp;B1257, ""(?i)github|api|webhook|http|mysql|supabase|mongodb|redis|rss|pr|code review|incident|p"&amp;"agerduty|jira""), ""Development &amp; Utilities"",
  TRUE, ""Others""
)"),"AI &amp; LLM")</f>
        <v>AI &amp; LLM</v>
      </c>
    </row>
    <row r="1258" ht="15.75" customHeight="1">
      <c r="A1258" s="14" t="s">
        <v>2493</v>
      </c>
      <c r="B1258" s="15" t="s">
        <v>2494</v>
      </c>
      <c r="C1258" s="16" t="s">
        <v>7</v>
      </c>
      <c r="D1258" s="12" t="str">
        <f>IFERROR(__xludf.DUMMYFUNCTION("IFS(
  REGEXMATCH(A1258&amp;B1258, ""(?i)openai|gpt|gemini|anthropic|claude|mistral|cohere|rag|vector|llm|chatbot|ai-powered""), ""AI &amp; LLM"",
  REGEXMATCH(A1258&amp;B1258, ""(?i)twitter|instagram|facebook|linkedin|youtube|tiktok|threads|bluesky|pinterest|social"&amp;" video|reels?|shorts?""), ""Social Media"",
  REGEXMATCH(A1258&amp;B1258, ""(?i)hubspot|pipedrive|stripe|shopify|woocommerce|sales|crm|invoice|order|leads?|recruitment|bamboohr|erpnext""), ""CRM &amp; Sales"",
  REGEXMATCH(A1258&amp;B1258, ""(?i)gmail|outlook|calenda"&amp;"r|slack|discord|telegram|whatsapp|notion|trello|drive|sheets?|meeting|scheduler|appointment|mattermost""), ""Productivity &amp; Communication"",
  REGEXMATCH(A1258&amp;B1258, ""(?i)github|api|webhook|http|mysql|supabase|mongodb|redis|rss|pr|code review|incident|p"&amp;"agerduty|jira""), ""Development &amp; Utilities"",
  TRUE, ""Others""
)"),"AI &amp; LLM")</f>
        <v>AI &amp; LLM</v>
      </c>
    </row>
    <row r="1259" ht="15.75" customHeight="1">
      <c r="A1259" s="14" t="s">
        <v>2495</v>
      </c>
      <c r="B1259" s="15" t="s">
        <v>2496</v>
      </c>
      <c r="C1259" s="16" t="s">
        <v>7</v>
      </c>
      <c r="D1259" s="12" t="str">
        <f>IFERROR(__xludf.DUMMYFUNCTION("IFS(
  REGEXMATCH(A1259&amp;B1259, ""(?i)openai|gpt|gemini|anthropic|claude|mistral|cohere|rag|vector|llm|chatbot|ai-powered""), ""AI &amp; LLM"",
  REGEXMATCH(A1259&amp;B1259, ""(?i)twitter|instagram|facebook|linkedin|youtube|tiktok|threads|bluesky|pinterest|social"&amp;" video|reels?|shorts?""), ""Social Media"",
  REGEXMATCH(A1259&amp;B1259, ""(?i)hubspot|pipedrive|stripe|shopify|woocommerce|sales|crm|invoice|order|leads?|recruitment|bamboohr|erpnext""), ""CRM &amp; Sales"",
  REGEXMATCH(A1259&amp;B1259, ""(?i)gmail|outlook|calenda"&amp;"r|slack|discord|telegram|whatsapp|notion|trello|drive|sheets?|meeting|scheduler|appointment|mattermost""), ""Productivity &amp; Communication"",
  REGEXMATCH(A1259&amp;B1259, ""(?i)github|api|webhook|http|mysql|supabase|mongodb|redis|rss|pr|code review|incident|p"&amp;"agerduty|jira""), ""Development &amp; Utilities"",
  TRUE, ""Others""
)"),"AI &amp; LLM")</f>
        <v>AI &amp; LLM</v>
      </c>
    </row>
    <row r="1260" ht="15.75" customHeight="1">
      <c r="A1260" s="14" t="s">
        <v>2497</v>
      </c>
      <c r="B1260" s="15" t="s">
        <v>2498</v>
      </c>
      <c r="C1260" s="16" t="s">
        <v>7</v>
      </c>
      <c r="D1260" s="12" t="str">
        <f>IFERROR(__xludf.DUMMYFUNCTION("IFS(
  REGEXMATCH(A1260&amp;B1260, ""(?i)openai|gpt|gemini|anthropic|claude|mistral|cohere|rag|vector|llm|chatbot|ai-powered""), ""AI &amp; LLM"",
  REGEXMATCH(A1260&amp;B1260, ""(?i)twitter|instagram|facebook|linkedin|youtube|tiktok|threads|bluesky|pinterest|social"&amp;" video|reels?|shorts?""), ""Social Media"",
  REGEXMATCH(A1260&amp;B1260, ""(?i)hubspot|pipedrive|stripe|shopify|woocommerce|sales|crm|invoice|order|leads?|recruitment|bamboohr|erpnext""), ""CRM &amp; Sales"",
  REGEXMATCH(A1260&amp;B1260, ""(?i)gmail|outlook|calenda"&amp;"r|slack|discord|telegram|whatsapp|notion|trello|drive|sheets?|meeting|scheduler|appointment|mattermost""), ""Productivity &amp; Communication"",
  REGEXMATCH(A1260&amp;B1260, ""(?i)github|api|webhook|http|mysql|supabase|mongodb|redis|rss|pr|code review|incident|p"&amp;"agerduty|jira""), ""Development &amp; Utilities"",
  TRUE, ""Others""
)"),"AI &amp; LLM")</f>
        <v>AI &amp; LLM</v>
      </c>
    </row>
    <row r="1261" ht="15.75" customHeight="1">
      <c r="A1261" s="14" t="s">
        <v>2499</v>
      </c>
      <c r="B1261" s="15" t="s">
        <v>2500</v>
      </c>
      <c r="C1261" s="16" t="s">
        <v>7</v>
      </c>
      <c r="D1261" s="12" t="str">
        <f>IFERROR(__xludf.DUMMYFUNCTION("IFS(
  REGEXMATCH(A1261&amp;B1261, ""(?i)openai|gpt|gemini|anthropic|claude|mistral|cohere|rag|vector|llm|chatbot|ai-powered""), ""AI &amp; LLM"",
  REGEXMATCH(A1261&amp;B1261, ""(?i)twitter|instagram|facebook|linkedin|youtube|tiktok|threads|bluesky|pinterest|social"&amp;" video|reels?|shorts?""), ""Social Media"",
  REGEXMATCH(A1261&amp;B1261, ""(?i)hubspot|pipedrive|stripe|shopify|woocommerce|sales|crm|invoice|order|leads?|recruitment|bamboohr|erpnext""), ""CRM &amp; Sales"",
  REGEXMATCH(A1261&amp;B1261, ""(?i)gmail|outlook|calenda"&amp;"r|slack|discord|telegram|whatsapp|notion|trello|drive|sheets?|meeting|scheduler|appointment|mattermost""), ""Productivity &amp; Communication"",
  REGEXMATCH(A1261&amp;B1261, ""(?i)github|api|webhook|http|mysql|supabase|mongodb|redis|rss|pr|code review|incident|p"&amp;"agerduty|jira""), ""Development &amp; Utilities"",
  TRUE, ""Others""
)"),"Productivity &amp; Communication")</f>
        <v>Productivity &amp; Communication</v>
      </c>
    </row>
    <row r="1262" ht="15.75" customHeight="1">
      <c r="A1262" s="14" t="s">
        <v>2501</v>
      </c>
      <c r="B1262" s="15" t="s">
        <v>2502</v>
      </c>
      <c r="C1262" s="16" t="s">
        <v>7</v>
      </c>
      <c r="D1262" s="12" t="str">
        <f>IFERROR(__xludf.DUMMYFUNCTION("IFS(
  REGEXMATCH(A1262&amp;B1262, ""(?i)openai|gpt|gemini|anthropic|claude|mistral|cohere|rag|vector|llm|chatbot|ai-powered""), ""AI &amp; LLM"",
  REGEXMATCH(A1262&amp;B1262, ""(?i)twitter|instagram|facebook|linkedin|youtube|tiktok|threads|bluesky|pinterest|social"&amp;" video|reels?|shorts?""), ""Social Media"",
  REGEXMATCH(A1262&amp;B1262, ""(?i)hubspot|pipedrive|stripe|shopify|woocommerce|sales|crm|invoice|order|leads?|recruitment|bamboohr|erpnext""), ""CRM &amp; Sales"",
  REGEXMATCH(A1262&amp;B1262, ""(?i)gmail|outlook|calenda"&amp;"r|slack|discord|telegram|whatsapp|notion|trello|drive|sheets?|meeting|scheduler|appointment|mattermost""), ""Productivity &amp; Communication"",
  REGEXMATCH(A1262&amp;B1262, ""(?i)github|api|webhook|http|mysql|supabase|mongodb|redis|rss|pr|code review|incident|p"&amp;"agerduty|jira""), ""Development &amp; Utilities"",
  TRUE, ""Others""
)"),"Productivity &amp; Communication")</f>
        <v>Productivity &amp; Communication</v>
      </c>
    </row>
    <row r="1263" ht="15.75" customHeight="1">
      <c r="A1263" s="14" t="s">
        <v>2503</v>
      </c>
      <c r="B1263" s="15" t="s">
        <v>2504</v>
      </c>
      <c r="C1263" s="16" t="s">
        <v>7</v>
      </c>
      <c r="D1263" s="12" t="str">
        <f>IFERROR(__xludf.DUMMYFUNCTION("IFS(
  REGEXMATCH(A1263&amp;B1263, ""(?i)openai|gpt|gemini|anthropic|claude|mistral|cohere|rag|vector|llm|chatbot|ai-powered""), ""AI &amp; LLM"",
  REGEXMATCH(A1263&amp;B1263, ""(?i)twitter|instagram|facebook|linkedin|youtube|tiktok|threads|bluesky|pinterest|social"&amp;" video|reels?|shorts?""), ""Social Media"",
  REGEXMATCH(A1263&amp;B1263, ""(?i)hubspot|pipedrive|stripe|shopify|woocommerce|sales|crm|invoice|order|leads?|recruitment|bamboohr|erpnext""), ""CRM &amp; Sales"",
  REGEXMATCH(A1263&amp;B1263, ""(?i)gmail|outlook|calenda"&amp;"r|slack|discord|telegram|whatsapp|notion|trello|drive|sheets?|meeting|scheduler|appointment|mattermost""), ""Productivity &amp; Communication"",
  REGEXMATCH(A1263&amp;B1263, ""(?i)github|api|webhook|http|mysql|supabase|mongodb|redis|rss|pr|code review|incident|p"&amp;"agerduty|jira""), ""Development &amp; Utilities"",
  TRUE, ""Others""
)"),"AI &amp; LLM")</f>
        <v>AI &amp; LLM</v>
      </c>
    </row>
    <row r="1264" ht="15.75" customHeight="1">
      <c r="A1264" s="14" t="s">
        <v>2505</v>
      </c>
      <c r="B1264" s="15" t="s">
        <v>2506</v>
      </c>
      <c r="C1264" s="16" t="s">
        <v>7</v>
      </c>
      <c r="D1264" s="12" t="str">
        <f>IFERROR(__xludf.DUMMYFUNCTION("IFS(
  REGEXMATCH(A1264&amp;B1264, ""(?i)openai|gpt|gemini|anthropic|claude|mistral|cohere|rag|vector|llm|chatbot|ai-powered""), ""AI &amp; LLM"",
  REGEXMATCH(A1264&amp;B1264, ""(?i)twitter|instagram|facebook|linkedin|youtube|tiktok|threads|bluesky|pinterest|social"&amp;" video|reels?|shorts?""), ""Social Media"",
  REGEXMATCH(A1264&amp;B1264, ""(?i)hubspot|pipedrive|stripe|shopify|woocommerce|sales|crm|invoice|order|leads?|recruitment|bamboohr|erpnext""), ""CRM &amp; Sales"",
  REGEXMATCH(A1264&amp;B1264, ""(?i)gmail|outlook|calenda"&amp;"r|slack|discord|telegram|whatsapp|notion|trello|drive|sheets?|meeting|scheduler|appointment|mattermost""), ""Productivity &amp; Communication"",
  REGEXMATCH(A1264&amp;B1264, ""(?i)github|api|webhook|http|mysql|supabase|mongodb|redis|rss|pr|code review|incident|p"&amp;"agerduty|jira""), ""Development &amp; Utilities"",
  TRUE, ""Others""
)"),"Productivity &amp; Communication")</f>
        <v>Productivity &amp; Communication</v>
      </c>
    </row>
    <row r="1265" ht="15.75" customHeight="1">
      <c r="A1265" s="14" t="s">
        <v>2507</v>
      </c>
      <c r="B1265" s="15" t="s">
        <v>2508</v>
      </c>
      <c r="C1265" s="16" t="s">
        <v>7</v>
      </c>
      <c r="D1265" s="12" t="str">
        <f>IFERROR(__xludf.DUMMYFUNCTION("IFS(
  REGEXMATCH(A1265&amp;B1265, ""(?i)openai|gpt|gemini|anthropic|claude|mistral|cohere|rag|vector|llm|chatbot|ai-powered""), ""AI &amp; LLM"",
  REGEXMATCH(A1265&amp;B1265, ""(?i)twitter|instagram|facebook|linkedin|youtube|tiktok|threads|bluesky|pinterest|social"&amp;" video|reels?|shorts?""), ""Social Media"",
  REGEXMATCH(A1265&amp;B1265, ""(?i)hubspot|pipedrive|stripe|shopify|woocommerce|sales|crm|invoice|order|leads?|recruitment|bamboohr|erpnext""), ""CRM &amp; Sales"",
  REGEXMATCH(A1265&amp;B1265, ""(?i)gmail|outlook|calenda"&amp;"r|slack|discord|telegram|whatsapp|notion|trello|drive|sheets?|meeting|scheduler|appointment|mattermost""), ""Productivity &amp; Communication"",
  REGEXMATCH(A1265&amp;B1265, ""(?i)github|api|webhook|http|mysql|supabase|mongodb|redis|rss|pr|code review|incident|p"&amp;"agerduty|jira""), ""Development &amp; Utilities"",
  TRUE, ""Others""
)"),"Productivity &amp; Communication")</f>
        <v>Productivity &amp; Communication</v>
      </c>
    </row>
    <row r="1266" ht="15.75" customHeight="1">
      <c r="A1266" s="14" t="s">
        <v>2509</v>
      </c>
      <c r="B1266" s="15" t="s">
        <v>2510</v>
      </c>
      <c r="C1266" s="16" t="s">
        <v>7</v>
      </c>
      <c r="D1266" s="12" t="str">
        <f>IFERROR(__xludf.DUMMYFUNCTION("IFS(
  REGEXMATCH(A1266&amp;B1266, ""(?i)openai|gpt|gemini|anthropic|claude|mistral|cohere|rag|vector|llm|chatbot|ai-powered""), ""AI &amp; LLM"",
  REGEXMATCH(A1266&amp;B1266, ""(?i)twitter|instagram|facebook|linkedin|youtube|tiktok|threads|bluesky|pinterest|social"&amp;" video|reels?|shorts?""), ""Social Media"",
  REGEXMATCH(A1266&amp;B1266, ""(?i)hubspot|pipedrive|stripe|shopify|woocommerce|sales|crm|invoice|order|leads?|recruitment|bamboohr|erpnext""), ""CRM &amp; Sales"",
  REGEXMATCH(A1266&amp;B1266, ""(?i)gmail|outlook|calenda"&amp;"r|slack|discord|telegram|whatsapp|notion|trello|drive|sheets?|meeting|scheduler|appointment|mattermost""), ""Productivity &amp; Communication"",
  REGEXMATCH(A1266&amp;B1266, ""(?i)github|api|webhook|http|mysql|supabase|mongodb|redis|rss|pr|code review|incident|p"&amp;"agerduty|jira""), ""Development &amp; Utilities"",
  TRUE, ""Others""
)"),"AI &amp; LLM")</f>
        <v>AI &amp; LLM</v>
      </c>
    </row>
    <row r="1267" ht="15.75" customHeight="1">
      <c r="A1267" s="14" t="s">
        <v>2511</v>
      </c>
      <c r="B1267" s="15" t="s">
        <v>2512</v>
      </c>
      <c r="C1267" s="16" t="s">
        <v>7</v>
      </c>
      <c r="D1267" s="12" t="str">
        <f>IFERROR(__xludf.DUMMYFUNCTION("IFS(
  REGEXMATCH(A1267&amp;B1267, ""(?i)openai|gpt|gemini|anthropic|claude|mistral|cohere|rag|vector|llm|chatbot|ai-powered""), ""AI &amp; LLM"",
  REGEXMATCH(A1267&amp;B1267, ""(?i)twitter|instagram|facebook|linkedin|youtube|tiktok|threads|bluesky|pinterest|social"&amp;" video|reels?|shorts?""), ""Social Media"",
  REGEXMATCH(A1267&amp;B1267, ""(?i)hubspot|pipedrive|stripe|shopify|woocommerce|sales|crm|invoice|order|leads?|recruitment|bamboohr|erpnext""), ""CRM &amp; Sales"",
  REGEXMATCH(A1267&amp;B1267, ""(?i)gmail|outlook|calenda"&amp;"r|slack|discord|telegram|whatsapp|notion|trello|drive|sheets?|meeting|scheduler|appointment|mattermost""), ""Productivity &amp; Communication"",
  REGEXMATCH(A1267&amp;B1267, ""(?i)github|api|webhook|http|mysql|supabase|mongodb|redis|rss|pr|code review|incident|p"&amp;"agerduty|jira""), ""Development &amp; Utilities"",
  TRUE, ""Others""
)"),"AI &amp; LLM")</f>
        <v>AI &amp; LLM</v>
      </c>
    </row>
    <row r="1268" ht="15.75" customHeight="1">
      <c r="A1268" s="14" t="s">
        <v>2513</v>
      </c>
      <c r="B1268" s="15" t="s">
        <v>2514</v>
      </c>
      <c r="C1268" s="16" t="s">
        <v>7</v>
      </c>
      <c r="D1268" s="12" t="str">
        <f>IFERROR(__xludf.DUMMYFUNCTION("IFS(
  REGEXMATCH(A1268&amp;B1268, ""(?i)openai|gpt|gemini|anthropic|claude|mistral|cohere|rag|vector|llm|chatbot|ai-powered""), ""AI &amp; LLM"",
  REGEXMATCH(A1268&amp;B1268, ""(?i)twitter|instagram|facebook|linkedin|youtube|tiktok|threads|bluesky|pinterest|social"&amp;" video|reels?|shorts?""), ""Social Media"",
  REGEXMATCH(A1268&amp;B1268, ""(?i)hubspot|pipedrive|stripe|shopify|woocommerce|sales|crm|invoice|order|leads?|recruitment|bamboohr|erpnext""), ""CRM &amp; Sales"",
  REGEXMATCH(A1268&amp;B1268, ""(?i)gmail|outlook|calenda"&amp;"r|slack|discord|telegram|whatsapp|notion|trello|drive|sheets?|meeting|scheduler|appointment|mattermost""), ""Productivity &amp; Communication"",
  REGEXMATCH(A1268&amp;B1268, ""(?i)github|api|webhook|http|mysql|supabase|mongodb|redis|rss|pr|code review|incident|p"&amp;"agerduty|jira""), ""Development &amp; Utilities"",
  TRUE, ""Others""
)"),"AI &amp; LLM")</f>
        <v>AI &amp; LLM</v>
      </c>
    </row>
    <row r="1269" ht="15.75" customHeight="1">
      <c r="A1269" s="14" t="s">
        <v>2515</v>
      </c>
      <c r="B1269" s="15" t="s">
        <v>2516</v>
      </c>
      <c r="C1269" s="16" t="s">
        <v>7</v>
      </c>
      <c r="D1269" s="12" t="str">
        <f>IFERROR(__xludf.DUMMYFUNCTION("IFS(
  REGEXMATCH(A1269&amp;B1269, ""(?i)openai|gpt|gemini|anthropic|claude|mistral|cohere|rag|vector|llm|chatbot|ai-powered""), ""AI &amp; LLM"",
  REGEXMATCH(A1269&amp;B1269, ""(?i)twitter|instagram|facebook|linkedin|youtube|tiktok|threads|bluesky|pinterest|social"&amp;" video|reels?|shorts?""), ""Social Media"",
  REGEXMATCH(A1269&amp;B1269, ""(?i)hubspot|pipedrive|stripe|shopify|woocommerce|sales|crm|invoice|order|leads?|recruitment|bamboohr|erpnext""), ""CRM &amp; Sales"",
  REGEXMATCH(A1269&amp;B1269, ""(?i)gmail|outlook|calenda"&amp;"r|slack|discord|telegram|whatsapp|notion|trello|drive|sheets?|meeting|scheduler|appointment|mattermost""), ""Productivity &amp; Communication"",
  REGEXMATCH(A1269&amp;B1269, ""(?i)github|api|webhook|http|mysql|supabase|mongodb|redis|rss|pr|code review|incident|p"&amp;"agerduty|jira""), ""Development &amp; Utilities"",
  TRUE, ""Others""
)"),"AI &amp; LLM")</f>
        <v>AI &amp; LLM</v>
      </c>
    </row>
    <row r="1270" ht="15.75" customHeight="1">
      <c r="A1270" s="14" t="s">
        <v>2517</v>
      </c>
      <c r="B1270" s="15" t="s">
        <v>2518</v>
      </c>
      <c r="C1270" s="16" t="s">
        <v>7</v>
      </c>
      <c r="D1270" s="12" t="str">
        <f>IFERROR(__xludf.DUMMYFUNCTION("IFS(
  REGEXMATCH(A1270&amp;B1270, ""(?i)openai|gpt|gemini|anthropic|claude|mistral|cohere|rag|vector|llm|chatbot|ai-powered""), ""AI &amp; LLM"",
  REGEXMATCH(A1270&amp;B1270, ""(?i)twitter|instagram|facebook|linkedin|youtube|tiktok|threads|bluesky|pinterest|social"&amp;" video|reels?|shorts?""), ""Social Media"",
  REGEXMATCH(A1270&amp;B1270, ""(?i)hubspot|pipedrive|stripe|shopify|woocommerce|sales|crm|invoice|order|leads?|recruitment|bamboohr|erpnext""), ""CRM &amp; Sales"",
  REGEXMATCH(A1270&amp;B1270, ""(?i)gmail|outlook|calenda"&amp;"r|slack|discord|telegram|whatsapp|notion|trello|drive|sheets?|meeting|scheduler|appointment|mattermost""), ""Productivity &amp; Communication"",
  REGEXMATCH(A1270&amp;B1270, ""(?i)github|api|webhook|http|mysql|supabase|mongodb|redis|rss|pr|code review|incident|p"&amp;"agerduty|jira""), ""Development &amp; Utilities"",
  TRUE, ""Others""
)"),"Development &amp; Utilities")</f>
        <v>Development &amp; Utilities</v>
      </c>
    </row>
    <row r="1271" ht="15.75" customHeight="1">
      <c r="A1271" s="14" t="s">
        <v>2519</v>
      </c>
      <c r="B1271" s="15" t="s">
        <v>2520</v>
      </c>
      <c r="C1271" s="16" t="s">
        <v>7</v>
      </c>
      <c r="D1271" s="12" t="str">
        <f>IFERROR(__xludf.DUMMYFUNCTION("IFS(
  REGEXMATCH(A1271&amp;B1271, ""(?i)openai|gpt|gemini|anthropic|claude|mistral|cohere|rag|vector|llm|chatbot|ai-powered""), ""AI &amp; LLM"",
  REGEXMATCH(A1271&amp;B1271, ""(?i)twitter|instagram|facebook|linkedin|youtube|tiktok|threads|bluesky|pinterest|social"&amp;" video|reels?|shorts?""), ""Social Media"",
  REGEXMATCH(A1271&amp;B1271, ""(?i)hubspot|pipedrive|stripe|shopify|woocommerce|sales|crm|invoice|order|leads?|recruitment|bamboohr|erpnext""), ""CRM &amp; Sales"",
  REGEXMATCH(A1271&amp;B1271, ""(?i)gmail|outlook|calenda"&amp;"r|slack|discord|telegram|whatsapp|notion|trello|drive|sheets?|meeting|scheduler|appointment|mattermost""), ""Productivity &amp; Communication"",
  REGEXMATCH(A1271&amp;B1271, ""(?i)github|api|webhook|http|mysql|supabase|mongodb|redis|rss|pr|code review|incident|p"&amp;"agerduty|jira""), ""Development &amp; Utilities"",
  TRUE, ""Others""
)"),"AI &amp; LLM")</f>
        <v>AI &amp; LLM</v>
      </c>
    </row>
    <row r="1272" ht="15.75" customHeight="1">
      <c r="A1272" s="14" t="s">
        <v>2521</v>
      </c>
      <c r="B1272" s="15" t="s">
        <v>2522</v>
      </c>
      <c r="C1272" s="16" t="s">
        <v>7</v>
      </c>
      <c r="D1272" s="12" t="str">
        <f>IFERROR(__xludf.DUMMYFUNCTION("IFS(
  REGEXMATCH(A1272&amp;B1272, ""(?i)openai|gpt|gemini|anthropic|claude|mistral|cohere|rag|vector|llm|chatbot|ai-powered""), ""AI &amp; LLM"",
  REGEXMATCH(A1272&amp;B1272, ""(?i)twitter|instagram|facebook|linkedin|youtube|tiktok|threads|bluesky|pinterest|social"&amp;" video|reels?|shorts?""), ""Social Media"",
  REGEXMATCH(A1272&amp;B1272, ""(?i)hubspot|pipedrive|stripe|shopify|woocommerce|sales|crm|invoice|order|leads?|recruitment|bamboohr|erpnext""), ""CRM &amp; Sales"",
  REGEXMATCH(A1272&amp;B1272, ""(?i)gmail|outlook|calenda"&amp;"r|slack|discord|telegram|whatsapp|notion|trello|drive|sheets?|meeting|scheduler|appointment|mattermost""), ""Productivity &amp; Communication"",
  REGEXMATCH(A1272&amp;B1272, ""(?i)github|api|webhook|http|mysql|supabase|mongodb|redis|rss|pr|code review|incident|p"&amp;"agerduty|jira""), ""Development &amp; Utilities"",
  TRUE, ""Others""
)"),"AI &amp; LLM")</f>
        <v>AI &amp; LLM</v>
      </c>
    </row>
    <row r="1273" ht="15.75" customHeight="1">
      <c r="A1273" s="14" t="s">
        <v>2523</v>
      </c>
      <c r="B1273" s="15" t="s">
        <v>2524</v>
      </c>
      <c r="C1273" s="16" t="s">
        <v>7</v>
      </c>
      <c r="D1273" s="12" t="str">
        <f>IFERROR(__xludf.DUMMYFUNCTION("IFS(
  REGEXMATCH(A1273&amp;B1273, ""(?i)openai|gpt|gemini|anthropic|claude|mistral|cohere|rag|vector|llm|chatbot|ai-powered""), ""AI &amp; LLM"",
  REGEXMATCH(A1273&amp;B1273, ""(?i)twitter|instagram|facebook|linkedin|youtube|tiktok|threads|bluesky|pinterest|social"&amp;" video|reels?|shorts?""), ""Social Media"",
  REGEXMATCH(A1273&amp;B1273, ""(?i)hubspot|pipedrive|stripe|shopify|woocommerce|sales|crm|invoice|order|leads?|recruitment|bamboohr|erpnext""), ""CRM &amp; Sales"",
  REGEXMATCH(A1273&amp;B1273, ""(?i)gmail|outlook|calenda"&amp;"r|slack|discord|telegram|whatsapp|notion|trello|drive|sheets?|meeting|scheduler|appointment|mattermost""), ""Productivity &amp; Communication"",
  REGEXMATCH(A1273&amp;B1273, ""(?i)github|api|webhook|http|mysql|supabase|mongodb|redis|rss|pr|code review|incident|p"&amp;"agerduty|jira""), ""Development &amp; Utilities"",
  TRUE, ""Others""
)"),"CRM &amp; Sales")</f>
        <v>CRM &amp; Sales</v>
      </c>
    </row>
    <row r="1274" ht="15.75" customHeight="1">
      <c r="A1274" s="14" t="s">
        <v>2525</v>
      </c>
      <c r="B1274" s="15" t="s">
        <v>2526</v>
      </c>
      <c r="C1274" s="16" t="s">
        <v>7</v>
      </c>
      <c r="D1274" s="12" t="str">
        <f>IFERROR(__xludf.DUMMYFUNCTION("IFS(
  REGEXMATCH(A1274&amp;B1274, ""(?i)openai|gpt|gemini|anthropic|claude|mistral|cohere|rag|vector|llm|chatbot|ai-powered""), ""AI &amp; LLM"",
  REGEXMATCH(A1274&amp;B1274, ""(?i)twitter|instagram|facebook|linkedin|youtube|tiktok|threads|bluesky|pinterest|social"&amp;" video|reels?|shorts?""), ""Social Media"",
  REGEXMATCH(A1274&amp;B1274, ""(?i)hubspot|pipedrive|stripe|shopify|woocommerce|sales|crm|invoice|order|leads?|recruitment|bamboohr|erpnext""), ""CRM &amp; Sales"",
  REGEXMATCH(A1274&amp;B1274, ""(?i)gmail|outlook|calenda"&amp;"r|slack|discord|telegram|whatsapp|notion|trello|drive|sheets?|meeting|scheduler|appointment|mattermost""), ""Productivity &amp; Communication"",
  REGEXMATCH(A1274&amp;B1274, ""(?i)github|api|webhook|http|mysql|supabase|mongodb|redis|rss|pr|code review|incident|p"&amp;"agerduty|jira""), ""Development &amp; Utilities"",
  TRUE, ""Others""
)"),"Productivity &amp; Communication")</f>
        <v>Productivity &amp; Communication</v>
      </c>
    </row>
    <row r="1275" ht="15.75" customHeight="1">
      <c r="A1275" s="14" t="s">
        <v>2527</v>
      </c>
      <c r="B1275" s="15" t="s">
        <v>2528</v>
      </c>
      <c r="C1275" s="16" t="s">
        <v>7</v>
      </c>
      <c r="D1275" s="12" t="str">
        <f>IFERROR(__xludf.DUMMYFUNCTION("IFS(
  REGEXMATCH(A1275&amp;B1275, ""(?i)openai|gpt|gemini|anthropic|claude|mistral|cohere|rag|vector|llm|chatbot|ai-powered""), ""AI &amp; LLM"",
  REGEXMATCH(A1275&amp;B1275, ""(?i)twitter|instagram|facebook|linkedin|youtube|tiktok|threads|bluesky|pinterest|social"&amp;" video|reels?|shorts?""), ""Social Media"",
  REGEXMATCH(A1275&amp;B1275, ""(?i)hubspot|pipedrive|stripe|shopify|woocommerce|sales|crm|invoice|order|leads?|recruitment|bamboohr|erpnext""), ""CRM &amp; Sales"",
  REGEXMATCH(A1275&amp;B1275, ""(?i)gmail|outlook|calenda"&amp;"r|slack|discord|telegram|whatsapp|notion|trello|drive|sheets?|meeting|scheduler|appointment|mattermost""), ""Productivity &amp; Communication"",
  REGEXMATCH(A1275&amp;B1275, ""(?i)github|api|webhook|http|mysql|supabase|mongodb|redis|rss|pr|code review|incident|p"&amp;"agerduty|jira""), ""Development &amp; Utilities"",
  TRUE, ""Others""
)"),"AI &amp; LLM")</f>
        <v>AI &amp; LLM</v>
      </c>
    </row>
    <row r="1276" ht="15.75" customHeight="1">
      <c r="A1276" s="14" t="s">
        <v>2529</v>
      </c>
      <c r="B1276" s="15" t="s">
        <v>2530</v>
      </c>
      <c r="C1276" s="16" t="s">
        <v>7</v>
      </c>
      <c r="D1276" s="12" t="str">
        <f>IFERROR(__xludf.DUMMYFUNCTION("IFS(
  REGEXMATCH(A1276&amp;B1276, ""(?i)openai|gpt|gemini|anthropic|claude|mistral|cohere|rag|vector|llm|chatbot|ai-powered""), ""AI &amp; LLM"",
  REGEXMATCH(A1276&amp;B1276, ""(?i)twitter|instagram|facebook|linkedin|youtube|tiktok|threads|bluesky|pinterest|social"&amp;" video|reels?|shorts?""), ""Social Media"",
  REGEXMATCH(A1276&amp;B1276, ""(?i)hubspot|pipedrive|stripe|shopify|woocommerce|sales|crm|invoice|order|leads?|recruitment|bamboohr|erpnext""), ""CRM &amp; Sales"",
  REGEXMATCH(A1276&amp;B1276, ""(?i)gmail|outlook|calenda"&amp;"r|slack|discord|telegram|whatsapp|notion|trello|drive|sheets?|meeting|scheduler|appointment|mattermost""), ""Productivity &amp; Communication"",
  REGEXMATCH(A1276&amp;B1276, ""(?i)github|api|webhook|http|mysql|supabase|mongodb|redis|rss|pr|code review|incident|p"&amp;"agerduty|jira""), ""Development &amp; Utilities"",
  TRUE, ""Others""
)"),"AI &amp; LLM")</f>
        <v>AI &amp; LLM</v>
      </c>
    </row>
    <row r="1277" ht="15.75" customHeight="1">
      <c r="A1277" s="14" t="s">
        <v>2531</v>
      </c>
      <c r="B1277" s="15" t="s">
        <v>2532</v>
      </c>
      <c r="C1277" s="16" t="s">
        <v>7</v>
      </c>
      <c r="D1277" s="12" t="str">
        <f>IFERROR(__xludf.DUMMYFUNCTION("IFS(
  REGEXMATCH(A1277&amp;B1277, ""(?i)openai|gpt|gemini|anthropic|claude|mistral|cohere|rag|vector|llm|chatbot|ai-powered""), ""AI &amp; LLM"",
  REGEXMATCH(A1277&amp;B1277, ""(?i)twitter|instagram|facebook|linkedin|youtube|tiktok|threads|bluesky|pinterest|social"&amp;" video|reels?|shorts?""), ""Social Media"",
  REGEXMATCH(A1277&amp;B1277, ""(?i)hubspot|pipedrive|stripe|shopify|woocommerce|sales|crm|invoice|order|leads?|recruitment|bamboohr|erpnext""), ""CRM &amp; Sales"",
  REGEXMATCH(A1277&amp;B1277, ""(?i)gmail|outlook|calenda"&amp;"r|slack|discord|telegram|whatsapp|notion|trello|drive|sheets?|meeting|scheduler|appointment|mattermost""), ""Productivity &amp; Communication"",
  REGEXMATCH(A1277&amp;B1277, ""(?i)github|api|webhook|http|mysql|supabase|mongodb|redis|rss|pr|code review|incident|p"&amp;"agerduty|jira""), ""Development &amp; Utilities"",
  TRUE, ""Others""
)"),"AI &amp; LLM")</f>
        <v>AI &amp; LLM</v>
      </c>
    </row>
    <row r="1278" ht="15.75" customHeight="1">
      <c r="A1278" s="14" t="s">
        <v>2533</v>
      </c>
      <c r="B1278" s="15" t="s">
        <v>2534</v>
      </c>
      <c r="C1278" s="16" t="s">
        <v>7</v>
      </c>
      <c r="D1278" s="12" t="str">
        <f>IFERROR(__xludf.DUMMYFUNCTION("IFS(
  REGEXMATCH(A1278&amp;B1278, ""(?i)openai|gpt|gemini|anthropic|claude|mistral|cohere|rag|vector|llm|chatbot|ai-powered""), ""AI &amp; LLM"",
  REGEXMATCH(A1278&amp;B1278, ""(?i)twitter|instagram|facebook|linkedin|youtube|tiktok|threads|bluesky|pinterest|social"&amp;" video|reels?|shorts?""), ""Social Media"",
  REGEXMATCH(A1278&amp;B1278, ""(?i)hubspot|pipedrive|stripe|shopify|woocommerce|sales|crm|invoice|order|leads?|recruitment|bamboohr|erpnext""), ""CRM &amp; Sales"",
  REGEXMATCH(A1278&amp;B1278, ""(?i)gmail|outlook|calenda"&amp;"r|slack|discord|telegram|whatsapp|notion|trello|drive|sheets?|meeting|scheduler|appointment|mattermost""), ""Productivity &amp; Communication"",
  REGEXMATCH(A1278&amp;B1278, ""(?i)github|api|webhook|http|mysql|supabase|mongodb|redis|rss|pr|code review|incident|p"&amp;"agerduty|jira""), ""Development &amp; Utilities"",
  TRUE, ""Others""
)"),"AI &amp; LLM")</f>
        <v>AI &amp; LLM</v>
      </c>
    </row>
    <row r="1279" ht="15.75" customHeight="1">
      <c r="A1279" s="14" t="s">
        <v>2535</v>
      </c>
      <c r="B1279" s="15" t="s">
        <v>2536</v>
      </c>
      <c r="C1279" s="16" t="s">
        <v>7</v>
      </c>
      <c r="D1279" s="12" t="str">
        <f>IFERROR(__xludf.DUMMYFUNCTION("IFS(
  REGEXMATCH(A1279&amp;B1279, ""(?i)openai|gpt|gemini|anthropic|claude|mistral|cohere|rag|vector|llm|chatbot|ai-powered""), ""AI &amp; LLM"",
  REGEXMATCH(A1279&amp;B1279, ""(?i)twitter|instagram|facebook|linkedin|youtube|tiktok|threads|bluesky|pinterest|social"&amp;" video|reels?|shorts?""), ""Social Media"",
  REGEXMATCH(A1279&amp;B1279, ""(?i)hubspot|pipedrive|stripe|shopify|woocommerce|sales|crm|invoice|order|leads?|recruitment|bamboohr|erpnext""), ""CRM &amp; Sales"",
  REGEXMATCH(A1279&amp;B1279, ""(?i)gmail|outlook|calenda"&amp;"r|slack|discord|telegram|whatsapp|notion|trello|drive|sheets?|meeting|scheduler|appointment|mattermost""), ""Productivity &amp; Communication"",
  REGEXMATCH(A1279&amp;B1279, ""(?i)github|api|webhook|http|mysql|supabase|mongodb|redis|rss|pr|code review|incident|p"&amp;"agerduty|jira""), ""Development &amp; Utilities"",
  TRUE, ""Others""
)"),"Development &amp; Utilities")</f>
        <v>Development &amp; Utilities</v>
      </c>
    </row>
    <row r="1280" ht="15.75" customHeight="1">
      <c r="A1280" s="14" t="s">
        <v>2537</v>
      </c>
      <c r="B1280" s="15" t="s">
        <v>2538</v>
      </c>
      <c r="C1280" s="16" t="s">
        <v>7</v>
      </c>
      <c r="D1280" s="12" t="str">
        <f>IFERROR(__xludf.DUMMYFUNCTION("IFS(
  REGEXMATCH(A1280&amp;B1280, ""(?i)openai|gpt|gemini|anthropic|claude|mistral|cohere|rag|vector|llm|chatbot|ai-powered""), ""AI &amp; LLM"",
  REGEXMATCH(A1280&amp;B1280, ""(?i)twitter|instagram|facebook|linkedin|youtube|tiktok|threads|bluesky|pinterest|social"&amp;" video|reels?|shorts?""), ""Social Media"",
  REGEXMATCH(A1280&amp;B1280, ""(?i)hubspot|pipedrive|stripe|shopify|woocommerce|sales|crm|invoice|order|leads?|recruitment|bamboohr|erpnext""), ""CRM &amp; Sales"",
  REGEXMATCH(A1280&amp;B1280, ""(?i)gmail|outlook|calenda"&amp;"r|slack|discord|telegram|whatsapp|notion|trello|drive|sheets?|meeting|scheduler|appointment|mattermost""), ""Productivity &amp; Communication"",
  REGEXMATCH(A1280&amp;B1280, ""(?i)github|api|webhook|http|mysql|supabase|mongodb|redis|rss|pr|code review|incident|p"&amp;"agerduty|jira""), ""Development &amp; Utilities"",
  TRUE, ""Others""
)"),"AI &amp; LLM")</f>
        <v>AI &amp; LLM</v>
      </c>
    </row>
    <row r="1281" ht="15.75" customHeight="1">
      <c r="A1281" s="14" t="s">
        <v>2539</v>
      </c>
      <c r="B1281" s="15" t="s">
        <v>2540</v>
      </c>
      <c r="C1281" s="16" t="s">
        <v>7</v>
      </c>
      <c r="D1281" s="12" t="str">
        <f>IFERROR(__xludf.DUMMYFUNCTION("IFS(
  REGEXMATCH(A1281&amp;B1281, ""(?i)openai|gpt|gemini|anthropic|claude|mistral|cohere|rag|vector|llm|chatbot|ai-powered""), ""AI &amp; LLM"",
  REGEXMATCH(A1281&amp;B1281, ""(?i)twitter|instagram|facebook|linkedin|youtube|tiktok|threads|bluesky|pinterest|social"&amp;" video|reels?|shorts?""), ""Social Media"",
  REGEXMATCH(A1281&amp;B1281, ""(?i)hubspot|pipedrive|stripe|shopify|woocommerce|sales|crm|invoice|order|leads?|recruitment|bamboohr|erpnext""), ""CRM &amp; Sales"",
  REGEXMATCH(A1281&amp;B1281, ""(?i)gmail|outlook|calenda"&amp;"r|slack|discord|telegram|whatsapp|notion|trello|drive|sheets?|meeting|scheduler|appointment|mattermost""), ""Productivity &amp; Communication"",
  REGEXMATCH(A1281&amp;B1281, ""(?i)github|api|webhook|http|mysql|supabase|mongodb|redis|rss|pr|code review|incident|p"&amp;"agerduty|jira""), ""Development &amp; Utilities"",
  TRUE, ""Others""
)"),"AI &amp; LLM")</f>
        <v>AI &amp; LLM</v>
      </c>
    </row>
    <row r="1282" ht="15.75" customHeight="1">
      <c r="A1282" s="14" t="s">
        <v>2541</v>
      </c>
      <c r="B1282" s="15" t="s">
        <v>2542</v>
      </c>
      <c r="C1282" s="16" t="s">
        <v>7</v>
      </c>
      <c r="D1282" s="12" t="str">
        <f>IFERROR(__xludf.DUMMYFUNCTION("IFS(
  REGEXMATCH(A1282&amp;B1282, ""(?i)openai|gpt|gemini|anthropic|claude|mistral|cohere|rag|vector|llm|chatbot|ai-powered""), ""AI &amp; LLM"",
  REGEXMATCH(A1282&amp;B1282, ""(?i)twitter|instagram|facebook|linkedin|youtube|tiktok|threads|bluesky|pinterest|social"&amp;" video|reels?|shorts?""), ""Social Media"",
  REGEXMATCH(A1282&amp;B1282, ""(?i)hubspot|pipedrive|stripe|shopify|woocommerce|sales|crm|invoice|order|leads?|recruitment|bamboohr|erpnext""), ""CRM &amp; Sales"",
  REGEXMATCH(A1282&amp;B1282, ""(?i)gmail|outlook|calenda"&amp;"r|slack|discord|telegram|whatsapp|notion|trello|drive|sheets?|meeting|scheduler|appointment|mattermost""), ""Productivity &amp; Communication"",
  REGEXMATCH(A1282&amp;B1282, ""(?i)github|api|webhook|http|mysql|supabase|mongodb|redis|rss|pr|code review|incident|p"&amp;"agerduty|jira""), ""Development &amp; Utilities"",
  TRUE, ""Others""
)"),"AI &amp; LLM")</f>
        <v>AI &amp; LLM</v>
      </c>
    </row>
    <row r="1283" ht="15.75" customHeight="1">
      <c r="A1283" s="14" t="s">
        <v>2543</v>
      </c>
      <c r="B1283" s="15" t="s">
        <v>2544</v>
      </c>
      <c r="C1283" s="16" t="s">
        <v>7</v>
      </c>
      <c r="D1283" s="12" t="str">
        <f>IFERROR(__xludf.DUMMYFUNCTION("IFS(
  REGEXMATCH(A1283&amp;B1283, ""(?i)openai|gpt|gemini|anthropic|claude|mistral|cohere|rag|vector|llm|chatbot|ai-powered""), ""AI &amp; LLM"",
  REGEXMATCH(A1283&amp;B1283, ""(?i)twitter|instagram|facebook|linkedin|youtube|tiktok|threads|bluesky|pinterest|social"&amp;" video|reels?|shorts?""), ""Social Media"",
  REGEXMATCH(A1283&amp;B1283, ""(?i)hubspot|pipedrive|stripe|shopify|woocommerce|sales|crm|invoice|order|leads?|recruitment|bamboohr|erpnext""), ""CRM &amp; Sales"",
  REGEXMATCH(A1283&amp;B1283, ""(?i)gmail|outlook|calenda"&amp;"r|slack|discord|telegram|whatsapp|notion|trello|drive|sheets?|meeting|scheduler|appointment|mattermost""), ""Productivity &amp; Communication"",
  REGEXMATCH(A1283&amp;B1283, ""(?i)github|api|webhook|http|mysql|supabase|mongodb|redis|rss|pr|code review|incident|p"&amp;"agerduty|jira""), ""Development &amp; Utilities"",
  TRUE, ""Others""
)"),"AI &amp; LLM")</f>
        <v>AI &amp; LLM</v>
      </c>
    </row>
    <row r="1284" ht="15.75" customHeight="1">
      <c r="A1284" s="14" t="s">
        <v>2545</v>
      </c>
      <c r="B1284" s="15" t="s">
        <v>2546</v>
      </c>
      <c r="C1284" s="16" t="s">
        <v>7</v>
      </c>
      <c r="D1284" s="12" t="str">
        <f>IFERROR(__xludf.DUMMYFUNCTION("IFS(
  REGEXMATCH(A1284&amp;B1284, ""(?i)openai|gpt|gemini|anthropic|claude|mistral|cohere|rag|vector|llm|chatbot|ai-powered""), ""AI &amp; LLM"",
  REGEXMATCH(A1284&amp;B1284, ""(?i)twitter|instagram|facebook|linkedin|youtube|tiktok|threads|bluesky|pinterest|social"&amp;" video|reels?|shorts?""), ""Social Media"",
  REGEXMATCH(A1284&amp;B1284, ""(?i)hubspot|pipedrive|stripe|shopify|woocommerce|sales|crm|invoice|order|leads?|recruitment|bamboohr|erpnext""), ""CRM &amp; Sales"",
  REGEXMATCH(A1284&amp;B1284, ""(?i)gmail|outlook|calenda"&amp;"r|slack|discord|telegram|whatsapp|notion|trello|drive|sheets?|meeting|scheduler|appointment|mattermost""), ""Productivity &amp; Communication"",
  REGEXMATCH(A1284&amp;B1284, ""(?i)github|api|webhook|http|mysql|supabase|mongodb|redis|rss|pr|code review|incident|p"&amp;"agerduty|jira""), ""Development &amp; Utilities"",
  TRUE, ""Others""
)"),"AI &amp; LLM")</f>
        <v>AI &amp; LLM</v>
      </c>
    </row>
    <row r="1285" ht="15.75" customHeight="1">
      <c r="A1285" s="14" t="s">
        <v>2547</v>
      </c>
      <c r="B1285" s="15" t="s">
        <v>2548</v>
      </c>
      <c r="C1285" s="16" t="s">
        <v>7</v>
      </c>
      <c r="D1285" s="12" t="str">
        <f>IFERROR(__xludf.DUMMYFUNCTION("IFS(
  REGEXMATCH(A1285&amp;B1285, ""(?i)openai|gpt|gemini|anthropic|claude|mistral|cohere|rag|vector|llm|chatbot|ai-powered""), ""AI &amp; LLM"",
  REGEXMATCH(A1285&amp;B1285, ""(?i)twitter|instagram|facebook|linkedin|youtube|tiktok|threads|bluesky|pinterest|social"&amp;" video|reels?|shorts?""), ""Social Media"",
  REGEXMATCH(A1285&amp;B1285, ""(?i)hubspot|pipedrive|stripe|shopify|woocommerce|sales|crm|invoice|order|leads?|recruitment|bamboohr|erpnext""), ""CRM &amp; Sales"",
  REGEXMATCH(A1285&amp;B1285, ""(?i)gmail|outlook|calenda"&amp;"r|slack|discord|telegram|whatsapp|notion|trello|drive|sheets?|meeting|scheduler|appointment|mattermost""), ""Productivity &amp; Communication"",
  REGEXMATCH(A1285&amp;B1285, ""(?i)github|api|webhook|http|mysql|supabase|mongodb|redis|rss|pr|code review|incident|p"&amp;"agerduty|jira""), ""Development &amp; Utilities"",
  TRUE, ""Others""
)"),"AI &amp; LLM")</f>
        <v>AI &amp; LLM</v>
      </c>
    </row>
    <row r="1286" ht="15.75" customHeight="1">
      <c r="A1286" s="14" t="s">
        <v>2549</v>
      </c>
      <c r="B1286" s="15" t="s">
        <v>2550</v>
      </c>
      <c r="C1286" s="16" t="s">
        <v>7</v>
      </c>
      <c r="D1286" s="12" t="str">
        <f>IFERROR(__xludf.DUMMYFUNCTION("IFS(
  REGEXMATCH(A1286&amp;B1286, ""(?i)openai|gpt|gemini|anthropic|claude|mistral|cohere|rag|vector|llm|chatbot|ai-powered""), ""AI &amp; LLM"",
  REGEXMATCH(A1286&amp;B1286, ""(?i)twitter|instagram|facebook|linkedin|youtube|tiktok|threads|bluesky|pinterest|social"&amp;" video|reels?|shorts?""), ""Social Media"",
  REGEXMATCH(A1286&amp;B1286, ""(?i)hubspot|pipedrive|stripe|shopify|woocommerce|sales|crm|invoice|order|leads?|recruitment|bamboohr|erpnext""), ""CRM &amp; Sales"",
  REGEXMATCH(A1286&amp;B1286, ""(?i)gmail|outlook|calenda"&amp;"r|slack|discord|telegram|whatsapp|notion|trello|drive|sheets?|meeting|scheduler|appointment|mattermost""), ""Productivity &amp; Communication"",
  REGEXMATCH(A1286&amp;B1286, ""(?i)github|api|webhook|http|mysql|supabase|mongodb|redis|rss|pr|code review|incident|p"&amp;"agerduty|jira""), ""Development &amp; Utilities"",
  TRUE, ""Others""
)"),"Development &amp; Utilities")</f>
        <v>Development &amp; Utilities</v>
      </c>
    </row>
    <row r="1287" ht="15.75" customHeight="1">
      <c r="A1287" s="14" t="s">
        <v>2551</v>
      </c>
      <c r="B1287" s="15" t="s">
        <v>2552</v>
      </c>
      <c r="C1287" s="16" t="s">
        <v>7</v>
      </c>
      <c r="D1287" s="12" t="str">
        <f>IFERROR(__xludf.DUMMYFUNCTION("IFS(
  REGEXMATCH(A1287&amp;B1287, ""(?i)openai|gpt|gemini|anthropic|claude|mistral|cohere|rag|vector|llm|chatbot|ai-powered""), ""AI &amp; LLM"",
  REGEXMATCH(A1287&amp;B1287, ""(?i)twitter|instagram|facebook|linkedin|youtube|tiktok|threads|bluesky|pinterest|social"&amp;" video|reels?|shorts?""), ""Social Media"",
  REGEXMATCH(A1287&amp;B1287, ""(?i)hubspot|pipedrive|stripe|shopify|woocommerce|sales|crm|invoice|order|leads?|recruitment|bamboohr|erpnext""), ""CRM &amp; Sales"",
  REGEXMATCH(A1287&amp;B1287, ""(?i)gmail|outlook|calenda"&amp;"r|slack|discord|telegram|whatsapp|notion|trello|drive|sheets?|meeting|scheduler|appointment|mattermost""), ""Productivity &amp; Communication"",
  REGEXMATCH(A1287&amp;B1287, ""(?i)github|api|webhook|http|mysql|supabase|mongodb|redis|rss|pr|code review|incident|p"&amp;"agerduty|jira""), ""Development &amp; Utilities"",
  TRUE, ""Others""
)"),"AI &amp; LLM")</f>
        <v>AI &amp; LLM</v>
      </c>
    </row>
    <row r="1288" ht="15.75" customHeight="1">
      <c r="A1288" s="14" t="s">
        <v>2553</v>
      </c>
      <c r="B1288" s="15" t="s">
        <v>2554</v>
      </c>
      <c r="C1288" s="16" t="s">
        <v>7</v>
      </c>
      <c r="D1288" s="12" t="str">
        <f>IFERROR(__xludf.DUMMYFUNCTION("IFS(
  REGEXMATCH(A1288&amp;B1288, ""(?i)openai|gpt|gemini|anthropic|claude|mistral|cohere|rag|vector|llm|chatbot|ai-powered""), ""AI &amp; LLM"",
  REGEXMATCH(A1288&amp;B1288, ""(?i)twitter|instagram|facebook|linkedin|youtube|tiktok|threads|bluesky|pinterest|social"&amp;" video|reels?|shorts?""), ""Social Media"",
  REGEXMATCH(A1288&amp;B1288, ""(?i)hubspot|pipedrive|stripe|shopify|woocommerce|sales|crm|invoice|order|leads?|recruitment|bamboohr|erpnext""), ""CRM &amp; Sales"",
  REGEXMATCH(A1288&amp;B1288, ""(?i)gmail|outlook|calenda"&amp;"r|slack|discord|telegram|whatsapp|notion|trello|drive|sheets?|meeting|scheduler|appointment|mattermost""), ""Productivity &amp; Communication"",
  REGEXMATCH(A1288&amp;B1288, ""(?i)github|api|webhook|http|mysql|supabase|mongodb|redis|rss|pr|code review|incident|p"&amp;"agerduty|jira""), ""Development &amp; Utilities"",
  TRUE, ""Others""
)"),"AI &amp; LLM")</f>
        <v>AI &amp; LLM</v>
      </c>
    </row>
    <row r="1289" ht="15.75" customHeight="1">
      <c r="A1289" s="14" t="s">
        <v>2555</v>
      </c>
      <c r="B1289" s="15" t="s">
        <v>2556</v>
      </c>
      <c r="C1289" s="16" t="s">
        <v>7</v>
      </c>
      <c r="D1289" s="12" t="str">
        <f>IFERROR(__xludf.DUMMYFUNCTION("IFS(
  REGEXMATCH(A1289&amp;B1289, ""(?i)openai|gpt|gemini|anthropic|claude|mistral|cohere|rag|vector|llm|chatbot|ai-powered""), ""AI &amp; LLM"",
  REGEXMATCH(A1289&amp;B1289, ""(?i)twitter|instagram|facebook|linkedin|youtube|tiktok|threads|bluesky|pinterest|social"&amp;" video|reels?|shorts?""), ""Social Media"",
  REGEXMATCH(A1289&amp;B1289, ""(?i)hubspot|pipedrive|stripe|shopify|woocommerce|sales|crm|invoice|order|leads?|recruitment|bamboohr|erpnext""), ""CRM &amp; Sales"",
  REGEXMATCH(A1289&amp;B1289, ""(?i)gmail|outlook|calenda"&amp;"r|slack|discord|telegram|whatsapp|notion|trello|drive|sheets?|meeting|scheduler|appointment|mattermost""), ""Productivity &amp; Communication"",
  REGEXMATCH(A1289&amp;B1289, ""(?i)github|api|webhook|http|mysql|supabase|mongodb|redis|rss|pr|code review|incident|p"&amp;"agerduty|jira""), ""Development &amp; Utilities"",
  TRUE, ""Others""
)"),"AI &amp; LLM")</f>
        <v>AI &amp; LLM</v>
      </c>
    </row>
    <row r="1290" ht="15.75" customHeight="1">
      <c r="A1290" s="14" t="s">
        <v>2557</v>
      </c>
      <c r="B1290" s="15" t="s">
        <v>2558</v>
      </c>
      <c r="C1290" s="16" t="s">
        <v>7</v>
      </c>
      <c r="D1290" s="12" t="str">
        <f>IFERROR(__xludf.DUMMYFUNCTION("IFS(
  REGEXMATCH(A1290&amp;B1290, ""(?i)openai|gpt|gemini|anthropic|claude|mistral|cohere|rag|vector|llm|chatbot|ai-powered""), ""AI &amp; LLM"",
  REGEXMATCH(A1290&amp;B1290, ""(?i)twitter|instagram|facebook|linkedin|youtube|tiktok|threads|bluesky|pinterest|social"&amp;" video|reels?|shorts?""), ""Social Media"",
  REGEXMATCH(A1290&amp;B1290, ""(?i)hubspot|pipedrive|stripe|shopify|woocommerce|sales|crm|invoice|order|leads?|recruitment|bamboohr|erpnext""), ""CRM &amp; Sales"",
  REGEXMATCH(A1290&amp;B1290, ""(?i)gmail|outlook|calenda"&amp;"r|slack|discord|telegram|whatsapp|notion|trello|drive|sheets?|meeting|scheduler|appointment|mattermost""), ""Productivity &amp; Communication"",
  REGEXMATCH(A1290&amp;B1290, ""(?i)github|api|webhook|http|mysql|supabase|mongodb|redis|rss|pr|code review|incident|p"&amp;"agerduty|jira""), ""Development &amp; Utilities"",
  TRUE, ""Others""
)"),"Productivity &amp; Communication")</f>
        <v>Productivity &amp; Communication</v>
      </c>
    </row>
    <row r="1291" ht="15.75" customHeight="1">
      <c r="A1291" s="14" t="s">
        <v>2559</v>
      </c>
      <c r="B1291" s="15" t="s">
        <v>2560</v>
      </c>
      <c r="C1291" s="16" t="s">
        <v>7</v>
      </c>
      <c r="D1291" s="12" t="str">
        <f>IFERROR(__xludf.DUMMYFUNCTION("IFS(
  REGEXMATCH(A1291&amp;B1291, ""(?i)openai|gpt|gemini|anthropic|claude|mistral|cohere|rag|vector|llm|chatbot|ai-powered""), ""AI &amp; LLM"",
  REGEXMATCH(A1291&amp;B1291, ""(?i)twitter|instagram|facebook|linkedin|youtube|tiktok|threads|bluesky|pinterest|social"&amp;" video|reels?|shorts?""), ""Social Media"",
  REGEXMATCH(A1291&amp;B1291, ""(?i)hubspot|pipedrive|stripe|shopify|woocommerce|sales|crm|invoice|order|leads?|recruitment|bamboohr|erpnext""), ""CRM &amp; Sales"",
  REGEXMATCH(A1291&amp;B1291, ""(?i)gmail|outlook|calenda"&amp;"r|slack|discord|telegram|whatsapp|notion|trello|drive|sheets?|meeting|scheduler|appointment|mattermost""), ""Productivity &amp; Communication"",
  REGEXMATCH(A1291&amp;B1291, ""(?i)github|api|webhook|http|mysql|supabase|mongodb|redis|rss|pr|code review|incident|p"&amp;"agerduty|jira""), ""Development &amp; Utilities"",
  TRUE, ""Others""
)"),"AI &amp; LLM")</f>
        <v>AI &amp; LLM</v>
      </c>
    </row>
    <row r="1292" ht="15.75" customHeight="1">
      <c r="A1292" s="14" t="s">
        <v>2561</v>
      </c>
      <c r="B1292" s="15" t="s">
        <v>2562</v>
      </c>
      <c r="C1292" s="16" t="s">
        <v>7</v>
      </c>
      <c r="D1292" s="12" t="str">
        <f>IFERROR(__xludf.DUMMYFUNCTION("IFS(
  REGEXMATCH(A1292&amp;B1292, ""(?i)openai|gpt|gemini|anthropic|claude|mistral|cohere|rag|vector|llm|chatbot|ai-powered""), ""AI &amp; LLM"",
  REGEXMATCH(A1292&amp;B1292, ""(?i)twitter|instagram|facebook|linkedin|youtube|tiktok|threads|bluesky|pinterest|social"&amp;" video|reels?|shorts?""), ""Social Media"",
  REGEXMATCH(A1292&amp;B1292, ""(?i)hubspot|pipedrive|stripe|shopify|woocommerce|sales|crm|invoice|order|leads?|recruitment|bamboohr|erpnext""), ""CRM &amp; Sales"",
  REGEXMATCH(A1292&amp;B1292, ""(?i)gmail|outlook|calenda"&amp;"r|slack|discord|telegram|whatsapp|notion|trello|drive|sheets?|meeting|scheduler|appointment|mattermost""), ""Productivity &amp; Communication"",
  REGEXMATCH(A1292&amp;B1292, ""(?i)github|api|webhook|http|mysql|supabase|mongodb|redis|rss|pr|code review|incident|p"&amp;"agerduty|jira""), ""Development &amp; Utilities"",
  TRUE, ""Others""
)"),"Productivity &amp; Communication")</f>
        <v>Productivity &amp; Communication</v>
      </c>
    </row>
    <row r="1293" ht="15.75" customHeight="1">
      <c r="A1293" s="14" t="s">
        <v>2563</v>
      </c>
      <c r="B1293" s="15" t="s">
        <v>2564</v>
      </c>
      <c r="C1293" s="16" t="s">
        <v>7</v>
      </c>
      <c r="D1293" s="12" t="str">
        <f>IFERROR(__xludf.DUMMYFUNCTION("IFS(
  REGEXMATCH(A1293&amp;B1293, ""(?i)openai|gpt|gemini|anthropic|claude|mistral|cohere|rag|vector|llm|chatbot|ai-powered""), ""AI &amp; LLM"",
  REGEXMATCH(A1293&amp;B1293, ""(?i)twitter|instagram|facebook|linkedin|youtube|tiktok|threads|bluesky|pinterest|social"&amp;" video|reels?|shorts?""), ""Social Media"",
  REGEXMATCH(A1293&amp;B1293, ""(?i)hubspot|pipedrive|stripe|shopify|woocommerce|sales|crm|invoice|order|leads?|recruitment|bamboohr|erpnext""), ""CRM &amp; Sales"",
  REGEXMATCH(A1293&amp;B1293, ""(?i)gmail|outlook|calenda"&amp;"r|slack|discord|telegram|whatsapp|notion|trello|drive|sheets?|meeting|scheduler|appointment|mattermost""), ""Productivity &amp; Communication"",
  REGEXMATCH(A1293&amp;B1293, ""(?i)github|api|webhook|http|mysql|supabase|mongodb|redis|rss|pr|code review|incident|p"&amp;"agerduty|jira""), ""Development &amp; Utilities"",
  TRUE, ""Others""
)"),"AI &amp; LLM")</f>
        <v>AI &amp; LLM</v>
      </c>
    </row>
    <row r="1294" ht="15.75" customHeight="1">
      <c r="A1294" s="14" t="s">
        <v>2565</v>
      </c>
      <c r="B1294" s="15" t="s">
        <v>2566</v>
      </c>
      <c r="C1294" s="16" t="s">
        <v>7</v>
      </c>
      <c r="D1294" s="12" t="str">
        <f>IFERROR(__xludf.DUMMYFUNCTION("IFS(
  REGEXMATCH(A1294&amp;B1294, ""(?i)openai|gpt|gemini|anthropic|claude|mistral|cohere|rag|vector|llm|chatbot|ai-powered""), ""AI &amp; LLM"",
  REGEXMATCH(A1294&amp;B1294, ""(?i)twitter|instagram|facebook|linkedin|youtube|tiktok|threads|bluesky|pinterest|social"&amp;" video|reels?|shorts?""), ""Social Media"",
  REGEXMATCH(A1294&amp;B1294, ""(?i)hubspot|pipedrive|stripe|shopify|woocommerce|sales|crm|invoice|order|leads?|recruitment|bamboohr|erpnext""), ""CRM &amp; Sales"",
  REGEXMATCH(A1294&amp;B1294, ""(?i)gmail|outlook|calenda"&amp;"r|slack|discord|telegram|whatsapp|notion|trello|drive|sheets?|meeting|scheduler|appointment|mattermost""), ""Productivity &amp; Communication"",
  REGEXMATCH(A1294&amp;B1294, ""(?i)github|api|webhook|http|mysql|supabase|mongodb|redis|rss|pr|code review|incident|p"&amp;"agerduty|jira""), ""Development &amp; Utilities"",
  TRUE, ""Others""
)"),"Productivity &amp; Communication")</f>
        <v>Productivity &amp; Communication</v>
      </c>
    </row>
    <row r="1295" ht="15.75" customHeight="1">
      <c r="A1295" s="14" t="s">
        <v>2567</v>
      </c>
      <c r="B1295" s="15" t="s">
        <v>2568</v>
      </c>
      <c r="C1295" s="16" t="s">
        <v>7</v>
      </c>
      <c r="D1295" s="12" t="str">
        <f>IFERROR(__xludf.DUMMYFUNCTION("IFS(
  REGEXMATCH(A1295&amp;B1295, ""(?i)openai|gpt|gemini|anthropic|claude|mistral|cohere|rag|vector|llm|chatbot|ai-powered""), ""AI &amp; LLM"",
  REGEXMATCH(A1295&amp;B1295, ""(?i)twitter|instagram|facebook|linkedin|youtube|tiktok|threads|bluesky|pinterest|social"&amp;" video|reels?|shorts?""), ""Social Media"",
  REGEXMATCH(A1295&amp;B1295, ""(?i)hubspot|pipedrive|stripe|shopify|woocommerce|sales|crm|invoice|order|leads?|recruitment|bamboohr|erpnext""), ""CRM &amp; Sales"",
  REGEXMATCH(A1295&amp;B1295, ""(?i)gmail|outlook|calenda"&amp;"r|slack|discord|telegram|whatsapp|notion|trello|drive|sheets?|meeting|scheduler|appointment|mattermost""), ""Productivity &amp; Communication"",
  REGEXMATCH(A1295&amp;B1295, ""(?i)github|api|webhook|http|mysql|supabase|mongodb|redis|rss|pr|code review|incident|p"&amp;"agerduty|jira""), ""Development &amp; Utilities"",
  TRUE, ""Others""
)"),"Productivity &amp; Communication")</f>
        <v>Productivity &amp; Communication</v>
      </c>
    </row>
    <row r="1296" ht="15.75" customHeight="1">
      <c r="A1296" s="14" t="s">
        <v>2569</v>
      </c>
      <c r="B1296" s="15" t="s">
        <v>2570</v>
      </c>
      <c r="C1296" s="16" t="s">
        <v>7</v>
      </c>
      <c r="D1296" s="12" t="str">
        <f>IFERROR(__xludf.DUMMYFUNCTION("IFS(
  REGEXMATCH(A1296&amp;B1296, ""(?i)openai|gpt|gemini|anthropic|claude|mistral|cohere|rag|vector|llm|chatbot|ai-powered""), ""AI &amp; LLM"",
  REGEXMATCH(A1296&amp;B1296, ""(?i)twitter|instagram|facebook|linkedin|youtube|tiktok|threads|bluesky|pinterest|social"&amp;" video|reels?|shorts?""), ""Social Media"",
  REGEXMATCH(A1296&amp;B1296, ""(?i)hubspot|pipedrive|stripe|shopify|woocommerce|sales|crm|invoice|order|leads?|recruitment|bamboohr|erpnext""), ""CRM &amp; Sales"",
  REGEXMATCH(A1296&amp;B1296, ""(?i)gmail|outlook|calenda"&amp;"r|slack|discord|telegram|whatsapp|notion|trello|drive|sheets?|meeting|scheduler|appointment|mattermost""), ""Productivity &amp; Communication"",
  REGEXMATCH(A1296&amp;B1296, ""(?i)github|api|webhook|http|mysql|supabase|mongodb|redis|rss|pr|code review|incident|p"&amp;"agerduty|jira""), ""Development &amp; Utilities"",
  TRUE, ""Others""
)"),"CRM &amp; Sales")</f>
        <v>CRM &amp; Sales</v>
      </c>
    </row>
    <row r="1297" ht="15.75" customHeight="1">
      <c r="A1297" s="14" t="s">
        <v>2571</v>
      </c>
      <c r="B1297" s="15" t="s">
        <v>2572</v>
      </c>
      <c r="C1297" s="16" t="s">
        <v>7</v>
      </c>
      <c r="D1297" s="12" t="str">
        <f>IFERROR(__xludf.DUMMYFUNCTION("IFS(
  REGEXMATCH(A1297&amp;B1297, ""(?i)openai|gpt|gemini|anthropic|claude|mistral|cohere|rag|vector|llm|chatbot|ai-powered""), ""AI &amp; LLM"",
  REGEXMATCH(A1297&amp;B1297, ""(?i)twitter|instagram|facebook|linkedin|youtube|tiktok|threads|bluesky|pinterest|social"&amp;" video|reels?|shorts?""), ""Social Media"",
  REGEXMATCH(A1297&amp;B1297, ""(?i)hubspot|pipedrive|stripe|shopify|woocommerce|sales|crm|invoice|order|leads?|recruitment|bamboohr|erpnext""), ""CRM &amp; Sales"",
  REGEXMATCH(A1297&amp;B1297, ""(?i)gmail|outlook|calenda"&amp;"r|slack|discord|telegram|whatsapp|notion|trello|drive|sheets?|meeting|scheduler|appointment|mattermost""), ""Productivity &amp; Communication"",
  REGEXMATCH(A1297&amp;B1297, ""(?i)github|api|webhook|http|mysql|supabase|mongodb|redis|rss|pr|code review|incident|p"&amp;"agerduty|jira""), ""Development &amp; Utilities"",
  TRUE, ""Others""
)"),"Productivity &amp; Communication")</f>
        <v>Productivity &amp; Communication</v>
      </c>
    </row>
    <row r="1298" ht="15.75" customHeight="1">
      <c r="A1298" s="14" t="s">
        <v>2573</v>
      </c>
      <c r="B1298" s="15" t="s">
        <v>2574</v>
      </c>
      <c r="C1298" s="16" t="s">
        <v>7</v>
      </c>
      <c r="D1298" s="12" t="str">
        <f>IFERROR(__xludf.DUMMYFUNCTION("IFS(
  REGEXMATCH(A1298&amp;B1298, ""(?i)openai|gpt|gemini|anthropic|claude|mistral|cohere|rag|vector|llm|chatbot|ai-powered""), ""AI &amp; LLM"",
  REGEXMATCH(A1298&amp;B1298, ""(?i)twitter|instagram|facebook|linkedin|youtube|tiktok|threads|bluesky|pinterest|social"&amp;" video|reels?|shorts?""), ""Social Media"",
  REGEXMATCH(A1298&amp;B1298, ""(?i)hubspot|pipedrive|stripe|shopify|woocommerce|sales|crm|invoice|order|leads?|recruitment|bamboohr|erpnext""), ""CRM &amp; Sales"",
  REGEXMATCH(A1298&amp;B1298, ""(?i)gmail|outlook|calenda"&amp;"r|slack|discord|telegram|whatsapp|notion|trello|drive|sheets?|meeting|scheduler|appointment|mattermost""), ""Productivity &amp; Communication"",
  REGEXMATCH(A1298&amp;B1298, ""(?i)github|api|webhook|http|mysql|supabase|mongodb|redis|rss|pr|code review|incident|p"&amp;"agerduty|jira""), ""Development &amp; Utilities"",
  TRUE, ""Others""
)"),"Development &amp; Utilities")</f>
        <v>Development &amp; Utilities</v>
      </c>
    </row>
    <row r="1299" ht="15.75" customHeight="1">
      <c r="A1299" s="14" t="s">
        <v>2575</v>
      </c>
      <c r="B1299" s="15" t="s">
        <v>2576</v>
      </c>
      <c r="C1299" s="16" t="s">
        <v>7</v>
      </c>
      <c r="D1299" s="12" t="str">
        <f>IFERROR(__xludf.DUMMYFUNCTION("IFS(
  REGEXMATCH(A1299&amp;B1299, ""(?i)openai|gpt|gemini|anthropic|claude|mistral|cohere|rag|vector|llm|chatbot|ai-powered""), ""AI &amp; LLM"",
  REGEXMATCH(A1299&amp;B1299, ""(?i)twitter|instagram|facebook|linkedin|youtube|tiktok|threads|bluesky|pinterest|social"&amp;" video|reels?|shorts?""), ""Social Media"",
  REGEXMATCH(A1299&amp;B1299, ""(?i)hubspot|pipedrive|stripe|shopify|woocommerce|sales|crm|invoice|order|leads?|recruitment|bamboohr|erpnext""), ""CRM &amp; Sales"",
  REGEXMATCH(A1299&amp;B1299, ""(?i)gmail|outlook|calenda"&amp;"r|slack|discord|telegram|whatsapp|notion|trello|drive|sheets?|meeting|scheduler|appointment|mattermost""), ""Productivity &amp; Communication"",
  REGEXMATCH(A1299&amp;B1299, ""(?i)github|api|webhook|http|mysql|supabase|mongodb|redis|rss|pr|code review|incident|p"&amp;"agerduty|jira""), ""Development &amp; Utilities"",
  TRUE, ""Others""
)"),"AI &amp; LLM")</f>
        <v>AI &amp; LLM</v>
      </c>
    </row>
    <row r="1300" ht="15.75" customHeight="1">
      <c r="A1300" s="14" t="s">
        <v>2495</v>
      </c>
      <c r="B1300" s="15" t="s">
        <v>2577</v>
      </c>
      <c r="C1300" s="16" t="s">
        <v>7</v>
      </c>
      <c r="D1300" s="12" t="str">
        <f>IFERROR(__xludf.DUMMYFUNCTION("IFS(
  REGEXMATCH(A1300&amp;B1300, ""(?i)openai|gpt|gemini|anthropic|claude|mistral|cohere|rag|vector|llm|chatbot|ai-powered""), ""AI &amp; LLM"",
  REGEXMATCH(A1300&amp;B1300, ""(?i)twitter|instagram|facebook|linkedin|youtube|tiktok|threads|bluesky|pinterest|social"&amp;" video|reels?|shorts?""), ""Social Media"",
  REGEXMATCH(A1300&amp;B1300, ""(?i)hubspot|pipedrive|stripe|shopify|woocommerce|sales|crm|invoice|order|leads?|recruitment|bamboohr|erpnext""), ""CRM &amp; Sales"",
  REGEXMATCH(A1300&amp;B1300, ""(?i)gmail|outlook|calenda"&amp;"r|slack|discord|telegram|whatsapp|notion|trello|drive|sheets?|meeting|scheduler|appointment|mattermost""), ""Productivity &amp; Communication"",
  REGEXMATCH(A1300&amp;B1300, ""(?i)github|api|webhook|http|mysql|supabase|mongodb|redis|rss|pr|code review|incident|p"&amp;"agerduty|jira""), ""Development &amp; Utilities"",
  TRUE, ""Others""
)"),"AI &amp; LLM")</f>
        <v>AI &amp; LLM</v>
      </c>
    </row>
    <row r="1301" ht="15.75" customHeight="1">
      <c r="A1301" s="14" t="s">
        <v>224</v>
      </c>
      <c r="B1301" s="15" t="s">
        <v>2578</v>
      </c>
      <c r="C1301" s="16" t="s">
        <v>7</v>
      </c>
      <c r="D1301" s="12" t="str">
        <f>IFERROR(__xludf.DUMMYFUNCTION("IFS(
  REGEXMATCH(A1301&amp;B1301, ""(?i)openai|gpt|gemini|anthropic|claude|mistral|cohere|rag|vector|llm|chatbot|ai-powered""), ""AI &amp; LLM"",
  REGEXMATCH(A1301&amp;B1301, ""(?i)twitter|instagram|facebook|linkedin|youtube|tiktok|threads|bluesky|pinterest|social"&amp;" video|reels?|shorts?""), ""Social Media"",
  REGEXMATCH(A1301&amp;B1301, ""(?i)hubspot|pipedrive|stripe|shopify|woocommerce|sales|crm|invoice|order|leads?|recruitment|bamboohr|erpnext""), ""CRM &amp; Sales"",
  REGEXMATCH(A1301&amp;B1301, ""(?i)gmail|outlook|calenda"&amp;"r|slack|discord|telegram|whatsapp|notion|trello|drive|sheets?|meeting|scheduler|appointment|mattermost""), ""Productivity &amp; Communication"",
  REGEXMATCH(A1301&amp;B1301, ""(?i)github|api|webhook|http|mysql|supabase|mongodb|redis|rss|pr|code review|incident|p"&amp;"agerduty|jira""), ""Development &amp; Utilities"",
  TRUE, ""Others""
)"),"Development &amp; Utilities")</f>
        <v>Development &amp; Utilities</v>
      </c>
    </row>
    <row r="1302" ht="15.75" customHeight="1">
      <c r="A1302" s="14" t="s">
        <v>2579</v>
      </c>
      <c r="B1302" s="15" t="s">
        <v>2580</v>
      </c>
      <c r="C1302" s="16" t="s">
        <v>7</v>
      </c>
      <c r="D1302" s="12" t="str">
        <f>IFERROR(__xludf.DUMMYFUNCTION("IFS(
  REGEXMATCH(A1302&amp;B1302, ""(?i)openai|gpt|gemini|anthropic|claude|mistral|cohere|rag|vector|llm|chatbot|ai-powered""), ""AI &amp; LLM"",
  REGEXMATCH(A1302&amp;B1302, ""(?i)twitter|instagram|facebook|linkedin|youtube|tiktok|threads|bluesky|pinterest|social"&amp;" video|reels?|shorts?""), ""Social Media"",
  REGEXMATCH(A1302&amp;B1302, ""(?i)hubspot|pipedrive|stripe|shopify|woocommerce|sales|crm|invoice|order|leads?|recruitment|bamboohr|erpnext""), ""CRM &amp; Sales"",
  REGEXMATCH(A1302&amp;B1302, ""(?i)gmail|outlook|calenda"&amp;"r|slack|discord|telegram|whatsapp|notion|trello|drive|sheets?|meeting|scheduler|appointment|mattermost""), ""Productivity &amp; Communication"",
  REGEXMATCH(A1302&amp;B1302, ""(?i)github|api|webhook|http|mysql|supabase|mongodb|redis|rss|pr|code review|incident|p"&amp;"agerduty|jira""), ""Development &amp; Utilities"",
  TRUE, ""Others""
)"),"AI &amp; LLM")</f>
        <v>AI &amp; LLM</v>
      </c>
    </row>
    <row r="1303" ht="15.75" customHeight="1">
      <c r="A1303" s="14" t="s">
        <v>2581</v>
      </c>
      <c r="B1303" s="15" t="s">
        <v>2582</v>
      </c>
      <c r="C1303" s="16" t="s">
        <v>7</v>
      </c>
      <c r="D1303" s="12" t="str">
        <f>IFERROR(__xludf.DUMMYFUNCTION("IFS(
  REGEXMATCH(A1303&amp;B1303, ""(?i)openai|gpt|gemini|anthropic|claude|mistral|cohere|rag|vector|llm|chatbot|ai-powered""), ""AI &amp; LLM"",
  REGEXMATCH(A1303&amp;B1303, ""(?i)twitter|instagram|facebook|linkedin|youtube|tiktok|threads|bluesky|pinterest|social"&amp;" video|reels?|shorts?""), ""Social Media"",
  REGEXMATCH(A1303&amp;B1303, ""(?i)hubspot|pipedrive|stripe|shopify|woocommerce|sales|crm|invoice|order|leads?|recruitment|bamboohr|erpnext""), ""CRM &amp; Sales"",
  REGEXMATCH(A1303&amp;B1303, ""(?i)gmail|outlook|calenda"&amp;"r|slack|discord|telegram|whatsapp|notion|trello|drive|sheets?|meeting|scheduler|appointment|mattermost""), ""Productivity &amp; Communication"",
  REGEXMATCH(A1303&amp;B1303, ""(?i)github|api|webhook|http|mysql|supabase|mongodb|redis|rss|pr|code review|incident|p"&amp;"agerduty|jira""), ""Development &amp; Utilities"",
  TRUE, ""Others""
)"),"Productivity &amp; Communication")</f>
        <v>Productivity &amp; Communication</v>
      </c>
    </row>
    <row r="1304" ht="15.75" customHeight="1">
      <c r="A1304" s="14" t="s">
        <v>2583</v>
      </c>
      <c r="B1304" s="15" t="s">
        <v>2584</v>
      </c>
      <c r="C1304" s="16" t="s">
        <v>7</v>
      </c>
      <c r="D1304" s="12" t="str">
        <f>IFERROR(__xludf.DUMMYFUNCTION("IFS(
  REGEXMATCH(A1304&amp;B1304, ""(?i)openai|gpt|gemini|anthropic|claude|mistral|cohere|rag|vector|llm|chatbot|ai-powered""), ""AI &amp; LLM"",
  REGEXMATCH(A1304&amp;B1304, ""(?i)twitter|instagram|facebook|linkedin|youtube|tiktok|threads|bluesky|pinterest|social"&amp;" video|reels?|shorts?""), ""Social Media"",
  REGEXMATCH(A1304&amp;B1304, ""(?i)hubspot|pipedrive|stripe|shopify|woocommerce|sales|crm|invoice|order|leads?|recruitment|bamboohr|erpnext""), ""CRM &amp; Sales"",
  REGEXMATCH(A1304&amp;B1304, ""(?i)gmail|outlook|calenda"&amp;"r|slack|discord|telegram|whatsapp|notion|trello|drive|sheets?|meeting|scheduler|appointment|mattermost""), ""Productivity &amp; Communication"",
  REGEXMATCH(A1304&amp;B1304, ""(?i)github|api|webhook|http|mysql|supabase|mongodb|redis|rss|pr|code review|incident|p"&amp;"agerduty|jira""), ""Development &amp; Utilities"",
  TRUE, ""Others""
)"),"Productivity &amp; Communication")</f>
        <v>Productivity &amp; Communication</v>
      </c>
    </row>
    <row r="1305" ht="15.75" customHeight="1">
      <c r="A1305" s="14" t="s">
        <v>2585</v>
      </c>
      <c r="B1305" s="15" t="s">
        <v>2586</v>
      </c>
      <c r="C1305" s="16" t="s">
        <v>7</v>
      </c>
      <c r="D1305" s="12" t="str">
        <f>IFERROR(__xludf.DUMMYFUNCTION("IFS(
  REGEXMATCH(A1305&amp;B1305, ""(?i)openai|gpt|gemini|anthropic|claude|mistral|cohere|rag|vector|llm|chatbot|ai-powered""), ""AI &amp; LLM"",
  REGEXMATCH(A1305&amp;B1305, ""(?i)twitter|instagram|facebook|linkedin|youtube|tiktok|threads|bluesky|pinterest|social"&amp;" video|reels?|shorts?""), ""Social Media"",
  REGEXMATCH(A1305&amp;B1305, ""(?i)hubspot|pipedrive|stripe|shopify|woocommerce|sales|crm|invoice|order|leads?|recruitment|bamboohr|erpnext""), ""CRM &amp; Sales"",
  REGEXMATCH(A1305&amp;B1305, ""(?i)gmail|outlook|calenda"&amp;"r|slack|discord|telegram|whatsapp|notion|trello|drive|sheets?|meeting|scheduler|appointment|mattermost""), ""Productivity &amp; Communication"",
  REGEXMATCH(A1305&amp;B1305, ""(?i)github|api|webhook|http|mysql|supabase|mongodb|redis|rss|pr|code review|incident|p"&amp;"agerduty|jira""), ""Development &amp; Utilities"",
  TRUE, ""Others""
)"),"AI &amp; LLM")</f>
        <v>AI &amp; LLM</v>
      </c>
    </row>
    <row r="1306" ht="15.75" customHeight="1">
      <c r="A1306" s="14" t="s">
        <v>2587</v>
      </c>
      <c r="B1306" s="15" t="s">
        <v>2588</v>
      </c>
      <c r="C1306" s="16" t="s">
        <v>7</v>
      </c>
      <c r="D1306" s="12" t="str">
        <f>IFERROR(__xludf.DUMMYFUNCTION("IFS(
  REGEXMATCH(A1306&amp;B1306, ""(?i)openai|gpt|gemini|anthropic|claude|mistral|cohere|rag|vector|llm|chatbot|ai-powered""), ""AI &amp; LLM"",
  REGEXMATCH(A1306&amp;B1306, ""(?i)twitter|instagram|facebook|linkedin|youtube|tiktok|threads|bluesky|pinterest|social"&amp;" video|reels?|shorts?""), ""Social Media"",
  REGEXMATCH(A1306&amp;B1306, ""(?i)hubspot|pipedrive|stripe|shopify|woocommerce|sales|crm|invoice|order|leads?|recruitment|bamboohr|erpnext""), ""CRM &amp; Sales"",
  REGEXMATCH(A1306&amp;B1306, ""(?i)gmail|outlook|calenda"&amp;"r|slack|discord|telegram|whatsapp|notion|trello|drive|sheets?|meeting|scheduler|appointment|mattermost""), ""Productivity &amp; Communication"",
  REGEXMATCH(A1306&amp;B1306, ""(?i)github|api|webhook|http|mysql|supabase|mongodb|redis|rss|pr|code review|incident|p"&amp;"agerduty|jira""), ""Development &amp; Utilities"",
  TRUE, ""Others""
)"),"Development &amp; Utilities")</f>
        <v>Development &amp; Utilities</v>
      </c>
    </row>
    <row r="1307" ht="15.75" customHeight="1">
      <c r="A1307" s="14" t="s">
        <v>2589</v>
      </c>
      <c r="B1307" s="15" t="s">
        <v>2590</v>
      </c>
      <c r="C1307" s="16" t="s">
        <v>7</v>
      </c>
      <c r="D1307" s="12" t="str">
        <f>IFERROR(__xludf.DUMMYFUNCTION("IFS(
  REGEXMATCH(A1307&amp;B1307, ""(?i)openai|gpt|gemini|anthropic|claude|mistral|cohere|rag|vector|llm|chatbot|ai-powered""), ""AI &amp; LLM"",
  REGEXMATCH(A1307&amp;B1307, ""(?i)twitter|instagram|facebook|linkedin|youtube|tiktok|threads|bluesky|pinterest|social"&amp;" video|reels?|shorts?""), ""Social Media"",
  REGEXMATCH(A1307&amp;B1307, ""(?i)hubspot|pipedrive|stripe|shopify|woocommerce|sales|crm|invoice|order|leads?|recruitment|bamboohr|erpnext""), ""CRM &amp; Sales"",
  REGEXMATCH(A1307&amp;B1307, ""(?i)gmail|outlook|calenda"&amp;"r|slack|discord|telegram|whatsapp|notion|trello|drive|sheets?|meeting|scheduler|appointment|mattermost""), ""Productivity &amp; Communication"",
  REGEXMATCH(A1307&amp;B1307, ""(?i)github|api|webhook|http|mysql|supabase|mongodb|redis|rss|pr|code review|incident|p"&amp;"agerduty|jira""), ""Development &amp; Utilities"",
  TRUE, ""Others""
)"),"CRM &amp; Sales")</f>
        <v>CRM &amp; Sales</v>
      </c>
    </row>
    <row r="1308" ht="15.75" customHeight="1">
      <c r="A1308" s="14" t="s">
        <v>2591</v>
      </c>
      <c r="B1308" s="15" t="s">
        <v>2592</v>
      </c>
      <c r="C1308" s="16" t="s">
        <v>7</v>
      </c>
      <c r="D1308" s="12" t="str">
        <f>IFERROR(__xludf.DUMMYFUNCTION("IFS(
  REGEXMATCH(A1308&amp;B1308, ""(?i)openai|gpt|gemini|anthropic|claude|mistral|cohere|rag|vector|llm|chatbot|ai-powered""), ""AI &amp; LLM"",
  REGEXMATCH(A1308&amp;B1308, ""(?i)twitter|instagram|facebook|linkedin|youtube|tiktok|threads|bluesky|pinterest|social"&amp;" video|reels?|shorts?""), ""Social Media"",
  REGEXMATCH(A1308&amp;B1308, ""(?i)hubspot|pipedrive|stripe|shopify|woocommerce|sales|crm|invoice|order|leads?|recruitment|bamboohr|erpnext""), ""CRM &amp; Sales"",
  REGEXMATCH(A1308&amp;B1308, ""(?i)gmail|outlook|calenda"&amp;"r|slack|discord|telegram|whatsapp|notion|trello|drive|sheets?|meeting|scheduler|appointment|mattermost""), ""Productivity &amp; Communication"",
  REGEXMATCH(A1308&amp;B1308, ""(?i)github|api|webhook|http|mysql|supabase|mongodb|redis|rss|pr|code review|incident|p"&amp;"agerduty|jira""), ""Development &amp; Utilities"",
  TRUE, ""Others""
)"),"Productivity &amp; Communication")</f>
        <v>Productivity &amp; Communication</v>
      </c>
    </row>
    <row r="1309" ht="15.75" customHeight="1">
      <c r="A1309" s="14" t="s">
        <v>2593</v>
      </c>
      <c r="B1309" s="15" t="s">
        <v>2594</v>
      </c>
      <c r="C1309" s="16" t="s">
        <v>7</v>
      </c>
      <c r="D1309" s="12" t="str">
        <f>IFERROR(__xludf.DUMMYFUNCTION("IFS(
  REGEXMATCH(A1309&amp;B1309, ""(?i)openai|gpt|gemini|anthropic|claude|mistral|cohere|rag|vector|llm|chatbot|ai-powered""), ""AI &amp; LLM"",
  REGEXMATCH(A1309&amp;B1309, ""(?i)twitter|instagram|facebook|linkedin|youtube|tiktok|threads|bluesky|pinterest|social"&amp;" video|reels?|shorts?""), ""Social Media"",
  REGEXMATCH(A1309&amp;B1309, ""(?i)hubspot|pipedrive|stripe|shopify|woocommerce|sales|crm|invoice|order|leads?|recruitment|bamboohr|erpnext""), ""CRM &amp; Sales"",
  REGEXMATCH(A1309&amp;B1309, ""(?i)gmail|outlook|calenda"&amp;"r|slack|discord|telegram|whatsapp|notion|trello|drive|sheets?|meeting|scheduler|appointment|mattermost""), ""Productivity &amp; Communication"",
  REGEXMATCH(A1309&amp;B1309, ""(?i)github|api|webhook|http|mysql|supabase|mongodb|redis|rss|pr|code review|incident|p"&amp;"agerduty|jira""), ""Development &amp; Utilities"",
  TRUE, ""Others""
)"),"AI &amp; LLM")</f>
        <v>AI &amp; LLM</v>
      </c>
    </row>
    <row r="1310" ht="15.75" customHeight="1">
      <c r="A1310" s="14" t="s">
        <v>2595</v>
      </c>
      <c r="B1310" s="15" t="s">
        <v>2596</v>
      </c>
      <c r="C1310" s="16" t="s">
        <v>7</v>
      </c>
      <c r="D1310" s="12" t="str">
        <f>IFERROR(__xludf.DUMMYFUNCTION("IFS(
  REGEXMATCH(A1310&amp;B1310, ""(?i)openai|gpt|gemini|anthropic|claude|mistral|cohere|rag|vector|llm|chatbot|ai-powered""), ""AI &amp; LLM"",
  REGEXMATCH(A1310&amp;B1310, ""(?i)twitter|instagram|facebook|linkedin|youtube|tiktok|threads|bluesky|pinterest|social"&amp;" video|reels?|shorts?""), ""Social Media"",
  REGEXMATCH(A1310&amp;B1310, ""(?i)hubspot|pipedrive|stripe|shopify|woocommerce|sales|crm|invoice|order|leads?|recruitment|bamboohr|erpnext""), ""CRM &amp; Sales"",
  REGEXMATCH(A1310&amp;B1310, ""(?i)gmail|outlook|calenda"&amp;"r|slack|discord|telegram|whatsapp|notion|trello|drive|sheets?|meeting|scheduler|appointment|mattermost""), ""Productivity &amp; Communication"",
  REGEXMATCH(A1310&amp;B1310, ""(?i)github|api|webhook|http|mysql|supabase|mongodb|redis|rss|pr|code review|incident|p"&amp;"agerduty|jira""), ""Development &amp; Utilities"",
  TRUE, ""Others""
)"),"AI &amp; LLM")</f>
        <v>AI &amp; LLM</v>
      </c>
    </row>
    <row r="1311" ht="15.75" customHeight="1">
      <c r="A1311" s="14" t="s">
        <v>2597</v>
      </c>
      <c r="B1311" s="15" t="s">
        <v>2598</v>
      </c>
      <c r="C1311" s="16" t="s">
        <v>7</v>
      </c>
      <c r="D1311" s="12" t="str">
        <f>IFERROR(__xludf.DUMMYFUNCTION("IFS(
  REGEXMATCH(A1311&amp;B1311, ""(?i)openai|gpt|gemini|anthropic|claude|mistral|cohere|rag|vector|llm|chatbot|ai-powered""), ""AI &amp; LLM"",
  REGEXMATCH(A1311&amp;B1311, ""(?i)twitter|instagram|facebook|linkedin|youtube|tiktok|threads|bluesky|pinterest|social"&amp;" video|reels?|shorts?""), ""Social Media"",
  REGEXMATCH(A1311&amp;B1311, ""(?i)hubspot|pipedrive|stripe|shopify|woocommerce|sales|crm|invoice|order|leads?|recruitment|bamboohr|erpnext""), ""CRM &amp; Sales"",
  REGEXMATCH(A1311&amp;B1311, ""(?i)gmail|outlook|calenda"&amp;"r|slack|discord|telegram|whatsapp|notion|trello|drive|sheets?|meeting|scheduler|appointment|mattermost""), ""Productivity &amp; Communication"",
  REGEXMATCH(A1311&amp;B1311, ""(?i)github|api|webhook|http|mysql|supabase|mongodb|redis|rss|pr|code review|incident|p"&amp;"agerduty|jira""), ""Development &amp; Utilities"",
  TRUE, ""Others""
)"),"Social Media")</f>
        <v>Social Media</v>
      </c>
    </row>
    <row r="1312" ht="15.75" customHeight="1">
      <c r="A1312" s="14" t="s">
        <v>2599</v>
      </c>
      <c r="B1312" s="15" t="s">
        <v>2600</v>
      </c>
      <c r="C1312" s="16" t="s">
        <v>7</v>
      </c>
      <c r="D1312" s="12" t="str">
        <f>IFERROR(__xludf.DUMMYFUNCTION("IFS(
  REGEXMATCH(A1312&amp;B1312, ""(?i)openai|gpt|gemini|anthropic|claude|mistral|cohere|rag|vector|llm|chatbot|ai-powered""), ""AI &amp; LLM"",
  REGEXMATCH(A1312&amp;B1312, ""(?i)twitter|instagram|facebook|linkedin|youtube|tiktok|threads|bluesky|pinterest|social"&amp;" video|reels?|shorts?""), ""Social Media"",
  REGEXMATCH(A1312&amp;B1312, ""(?i)hubspot|pipedrive|stripe|shopify|woocommerce|sales|crm|invoice|order|leads?|recruitment|bamboohr|erpnext""), ""CRM &amp; Sales"",
  REGEXMATCH(A1312&amp;B1312, ""(?i)gmail|outlook|calenda"&amp;"r|slack|discord|telegram|whatsapp|notion|trello|drive|sheets?|meeting|scheduler|appointment|mattermost""), ""Productivity &amp; Communication"",
  REGEXMATCH(A1312&amp;B1312, ""(?i)github|api|webhook|http|mysql|supabase|mongodb|redis|rss|pr|code review|incident|p"&amp;"agerduty|jira""), ""Development &amp; Utilities"",
  TRUE, ""Others""
)"),"Productivity &amp; Communication")</f>
        <v>Productivity &amp; Communication</v>
      </c>
    </row>
    <row r="1313" ht="15.75" customHeight="1">
      <c r="A1313" s="14" t="s">
        <v>2601</v>
      </c>
      <c r="B1313" s="15" t="s">
        <v>2602</v>
      </c>
      <c r="C1313" s="16" t="s">
        <v>7</v>
      </c>
      <c r="D1313" s="12" t="str">
        <f>IFERROR(__xludf.DUMMYFUNCTION("IFS(
  REGEXMATCH(A1313&amp;B1313, ""(?i)openai|gpt|gemini|anthropic|claude|mistral|cohere|rag|vector|llm|chatbot|ai-powered""), ""AI &amp; LLM"",
  REGEXMATCH(A1313&amp;B1313, ""(?i)twitter|instagram|facebook|linkedin|youtube|tiktok|threads|bluesky|pinterest|social"&amp;" video|reels?|shorts?""), ""Social Media"",
  REGEXMATCH(A1313&amp;B1313, ""(?i)hubspot|pipedrive|stripe|shopify|woocommerce|sales|crm|invoice|order|leads?|recruitment|bamboohr|erpnext""), ""CRM &amp; Sales"",
  REGEXMATCH(A1313&amp;B1313, ""(?i)gmail|outlook|calenda"&amp;"r|slack|discord|telegram|whatsapp|notion|trello|drive|sheets?|meeting|scheduler|appointment|mattermost""), ""Productivity &amp; Communication"",
  REGEXMATCH(A1313&amp;B1313, ""(?i)github|api|webhook|http|mysql|supabase|mongodb|redis|rss|pr|code review|incident|p"&amp;"agerduty|jira""), ""Development &amp; Utilities"",
  TRUE, ""Others""
)"),"AI &amp; LLM")</f>
        <v>AI &amp; LLM</v>
      </c>
    </row>
    <row r="1314" ht="15.75" customHeight="1">
      <c r="A1314" s="14" t="s">
        <v>2603</v>
      </c>
      <c r="B1314" s="15" t="s">
        <v>2604</v>
      </c>
      <c r="C1314" s="16" t="s">
        <v>7</v>
      </c>
      <c r="D1314" s="12" t="str">
        <f>IFERROR(__xludf.DUMMYFUNCTION("IFS(
  REGEXMATCH(A1314&amp;B1314, ""(?i)openai|gpt|gemini|anthropic|claude|mistral|cohere|rag|vector|llm|chatbot|ai-powered""), ""AI &amp; LLM"",
  REGEXMATCH(A1314&amp;B1314, ""(?i)twitter|instagram|facebook|linkedin|youtube|tiktok|threads|bluesky|pinterest|social"&amp;" video|reels?|shorts?""), ""Social Media"",
  REGEXMATCH(A1314&amp;B1314, ""(?i)hubspot|pipedrive|stripe|shopify|woocommerce|sales|crm|invoice|order|leads?|recruitment|bamboohr|erpnext""), ""CRM &amp; Sales"",
  REGEXMATCH(A1314&amp;B1314, ""(?i)gmail|outlook|calenda"&amp;"r|slack|discord|telegram|whatsapp|notion|trello|drive|sheets?|meeting|scheduler|appointment|mattermost""), ""Productivity &amp; Communication"",
  REGEXMATCH(A1314&amp;B1314, ""(?i)github|api|webhook|http|mysql|supabase|mongodb|redis|rss|pr|code review|incident|p"&amp;"agerduty|jira""), ""Development &amp; Utilities"",
  TRUE, ""Others""
)"),"CRM &amp; Sales")</f>
        <v>CRM &amp; Sales</v>
      </c>
    </row>
    <row r="1315" ht="15.75" customHeight="1">
      <c r="A1315" s="14" t="s">
        <v>2605</v>
      </c>
      <c r="B1315" s="15" t="s">
        <v>2606</v>
      </c>
      <c r="C1315" s="16" t="s">
        <v>7</v>
      </c>
      <c r="D1315" s="12" t="str">
        <f>IFERROR(__xludf.DUMMYFUNCTION("IFS(
  REGEXMATCH(A1315&amp;B1315, ""(?i)openai|gpt|gemini|anthropic|claude|mistral|cohere|rag|vector|llm|chatbot|ai-powered""), ""AI &amp; LLM"",
  REGEXMATCH(A1315&amp;B1315, ""(?i)twitter|instagram|facebook|linkedin|youtube|tiktok|threads|bluesky|pinterest|social"&amp;" video|reels?|shorts?""), ""Social Media"",
  REGEXMATCH(A1315&amp;B1315, ""(?i)hubspot|pipedrive|stripe|shopify|woocommerce|sales|crm|invoice|order|leads?|recruitment|bamboohr|erpnext""), ""CRM &amp; Sales"",
  REGEXMATCH(A1315&amp;B1315, ""(?i)gmail|outlook|calenda"&amp;"r|slack|discord|telegram|whatsapp|notion|trello|drive|sheets?|meeting|scheduler|appointment|mattermost""), ""Productivity &amp; Communication"",
  REGEXMATCH(A1315&amp;B1315, ""(?i)github|api|webhook|http|mysql|supabase|mongodb|redis|rss|pr|code review|incident|p"&amp;"agerduty|jira""), ""Development &amp; Utilities"",
  TRUE, ""Others""
)"),"AI &amp; LLM")</f>
        <v>AI &amp; LLM</v>
      </c>
    </row>
    <row r="1316" ht="15.75" customHeight="1">
      <c r="A1316" s="14" t="s">
        <v>2607</v>
      </c>
      <c r="B1316" s="15" t="s">
        <v>2608</v>
      </c>
      <c r="C1316" s="16" t="s">
        <v>7</v>
      </c>
      <c r="D1316" s="12" t="str">
        <f>IFERROR(__xludf.DUMMYFUNCTION("IFS(
  REGEXMATCH(A1316&amp;B1316, ""(?i)openai|gpt|gemini|anthropic|claude|mistral|cohere|rag|vector|llm|chatbot|ai-powered""), ""AI &amp; LLM"",
  REGEXMATCH(A1316&amp;B1316, ""(?i)twitter|instagram|facebook|linkedin|youtube|tiktok|threads|bluesky|pinterest|social"&amp;" video|reels?|shorts?""), ""Social Media"",
  REGEXMATCH(A1316&amp;B1316, ""(?i)hubspot|pipedrive|stripe|shopify|woocommerce|sales|crm|invoice|order|leads?|recruitment|bamboohr|erpnext""), ""CRM &amp; Sales"",
  REGEXMATCH(A1316&amp;B1316, ""(?i)gmail|outlook|calenda"&amp;"r|slack|discord|telegram|whatsapp|notion|trello|drive|sheets?|meeting|scheduler|appointment|mattermost""), ""Productivity &amp; Communication"",
  REGEXMATCH(A1316&amp;B1316, ""(?i)github|api|webhook|http|mysql|supabase|mongodb|redis|rss|pr|code review|incident|p"&amp;"agerduty|jira""), ""Development &amp; Utilities"",
  TRUE, ""Others""
)"),"CRM &amp; Sales")</f>
        <v>CRM &amp; Sales</v>
      </c>
    </row>
    <row r="1317" ht="15.75" customHeight="1">
      <c r="A1317" s="14" t="s">
        <v>2609</v>
      </c>
      <c r="B1317" s="15" t="s">
        <v>2610</v>
      </c>
      <c r="C1317" s="16" t="s">
        <v>7</v>
      </c>
      <c r="D1317" s="12" t="str">
        <f>IFERROR(__xludf.DUMMYFUNCTION("IFS(
  REGEXMATCH(A1317&amp;B1317, ""(?i)openai|gpt|gemini|anthropic|claude|mistral|cohere|rag|vector|llm|chatbot|ai-powered""), ""AI &amp; LLM"",
  REGEXMATCH(A1317&amp;B1317, ""(?i)twitter|instagram|facebook|linkedin|youtube|tiktok|threads|bluesky|pinterest|social"&amp;" video|reels?|shorts?""), ""Social Media"",
  REGEXMATCH(A1317&amp;B1317, ""(?i)hubspot|pipedrive|stripe|shopify|woocommerce|sales|crm|invoice|order|leads?|recruitment|bamboohr|erpnext""), ""CRM &amp; Sales"",
  REGEXMATCH(A1317&amp;B1317, ""(?i)gmail|outlook|calenda"&amp;"r|slack|discord|telegram|whatsapp|notion|trello|drive|sheets?|meeting|scheduler|appointment|mattermost""), ""Productivity &amp; Communication"",
  REGEXMATCH(A1317&amp;B1317, ""(?i)github|api|webhook|http|mysql|supabase|mongodb|redis|rss|pr|code review|incident|p"&amp;"agerduty|jira""), ""Development &amp; Utilities"",
  TRUE, ""Others""
)"),"CRM &amp; Sales")</f>
        <v>CRM &amp; Sales</v>
      </c>
    </row>
    <row r="1318" ht="15.75" customHeight="1">
      <c r="A1318" s="14" t="s">
        <v>2611</v>
      </c>
      <c r="B1318" s="15" t="s">
        <v>2612</v>
      </c>
      <c r="C1318" s="16" t="s">
        <v>7</v>
      </c>
      <c r="D1318" s="12" t="str">
        <f>IFERROR(__xludf.DUMMYFUNCTION("IFS(
  REGEXMATCH(A1318&amp;B1318, ""(?i)openai|gpt|gemini|anthropic|claude|mistral|cohere|rag|vector|llm|chatbot|ai-powered""), ""AI &amp; LLM"",
  REGEXMATCH(A1318&amp;B1318, ""(?i)twitter|instagram|facebook|linkedin|youtube|tiktok|threads|bluesky|pinterest|social"&amp;" video|reels?|shorts?""), ""Social Media"",
  REGEXMATCH(A1318&amp;B1318, ""(?i)hubspot|pipedrive|stripe|shopify|woocommerce|sales|crm|invoice|order|leads?|recruitment|bamboohr|erpnext""), ""CRM &amp; Sales"",
  REGEXMATCH(A1318&amp;B1318, ""(?i)gmail|outlook|calenda"&amp;"r|slack|discord|telegram|whatsapp|notion|trello|drive|sheets?|meeting|scheduler|appointment|mattermost""), ""Productivity &amp; Communication"",
  REGEXMATCH(A1318&amp;B1318, ""(?i)github|api|webhook|http|mysql|supabase|mongodb|redis|rss|pr|code review|incident|p"&amp;"agerduty|jira""), ""Development &amp; Utilities"",
  TRUE, ""Others""
)"),"CRM &amp; Sales")</f>
        <v>CRM &amp; Sales</v>
      </c>
    </row>
    <row r="1319" ht="15.75" customHeight="1">
      <c r="A1319" s="14" t="s">
        <v>2613</v>
      </c>
      <c r="B1319" s="15" t="s">
        <v>2614</v>
      </c>
      <c r="C1319" s="16" t="s">
        <v>7</v>
      </c>
      <c r="D1319" s="12" t="str">
        <f>IFERROR(__xludf.DUMMYFUNCTION("IFS(
  REGEXMATCH(A1319&amp;B1319, ""(?i)openai|gpt|gemini|anthropic|claude|mistral|cohere|rag|vector|llm|chatbot|ai-powered""), ""AI &amp; LLM"",
  REGEXMATCH(A1319&amp;B1319, ""(?i)twitter|instagram|facebook|linkedin|youtube|tiktok|threads|bluesky|pinterest|social"&amp;" video|reels?|shorts?""), ""Social Media"",
  REGEXMATCH(A1319&amp;B1319, ""(?i)hubspot|pipedrive|stripe|shopify|woocommerce|sales|crm|invoice|order|leads?|recruitment|bamboohr|erpnext""), ""CRM &amp; Sales"",
  REGEXMATCH(A1319&amp;B1319, ""(?i)gmail|outlook|calenda"&amp;"r|slack|discord|telegram|whatsapp|notion|trello|drive|sheets?|meeting|scheduler|appointment|mattermost""), ""Productivity &amp; Communication"",
  REGEXMATCH(A1319&amp;B1319, ""(?i)github|api|webhook|http|mysql|supabase|mongodb|redis|rss|pr|code review|incident|p"&amp;"agerduty|jira""), ""Development &amp; Utilities"",
  TRUE, ""Others""
)"),"CRM &amp; Sales")</f>
        <v>CRM &amp; Sales</v>
      </c>
    </row>
    <row r="1320" ht="15.75" customHeight="1">
      <c r="A1320" s="14" t="s">
        <v>2615</v>
      </c>
      <c r="B1320" s="15" t="s">
        <v>2616</v>
      </c>
      <c r="C1320" s="16" t="s">
        <v>7</v>
      </c>
      <c r="D1320" s="12" t="str">
        <f>IFERROR(__xludf.DUMMYFUNCTION("IFS(
  REGEXMATCH(A1320&amp;B1320, ""(?i)openai|gpt|gemini|anthropic|claude|mistral|cohere|rag|vector|llm|chatbot|ai-powered""), ""AI &amp; LLM"",
  REGEXMATCH(A1320&amp;B1320, ""(?i)twitter|instagram|facebook|linkedin|youtube|tiktok|threads|bluesky|pinterest|social"&amp;" video|reels?|shorts?""), ""Social Media"",
  REGEXMATCH(A1320&amp;B1320, ""(?i)hubspot|pipedrive|stripe|shopify|woocommerce|sales|crm|invoice|order|leads?|recruitment|bamboohr|erpnext""), ""CRM &amp; Sales"",
  REGEXMATCH(A1320&amp;B1320, ""(?i)gmail|outlook|calenda"&amp;"r|slack|discord|telegram|whatsapp|notion|trello|drive|sheets?|meeting|scheduler|appointment|mattermost""), ""Productivity &amp; Communication"",
  REGEXMATCH(A1320&amp;B1320, ""(?i)github|api|webhook|http|mysql|supabase|mongodb|redis|rss|pr|code review|incident|p"&amp;"agerduty|jira""), ""Development &amp; Utilities"",
  TRUE, ""Others""
)"),"AI &amp; LLM")</f>
        <v>AI &amp; LLM</v>
      </c>
    </row>
    <row r="1321" ht="15.75" customHeight="1">
      <c r="A1321" s="14" t="s">
        <v>2617</v>
      </c>
      <c r="B1321" s="15" t="s">
        <v>2618</v>
      </c>
      <c r="C1321" s="16" t="s">
        <v>7</v>
      </c>
      <c r="D1321" s="12" t="str">
        <f>IFERROR(__xludf.DUMMYFUNCTION("IFS(
  REGEXMATCH(A1321&amp;B1321, ""(?i)openai|gpt|gemini|anthropic|claude|mistral|cohere|rag|vector|llm|chatbot|ai-powered""), ""AI &amp; LLM"",
  REGEXMATCH(A1321&amp;B1321, ""(?i)twitter|instagram|facebook|linkedin|youtube|tiktok|threads|bluesky|pinterest|social"&amp;" video|reels?|shorts?""), ""Social Media"",
  REGEXMATCH(A1321&amp;B1321, ""(?i)hubspot|pipedrive|stripe|shopify|woocommerce|sales|crm|invoice|order|leads?|recruitment|bamboohr|erpnext""), ""CRM &amp; Sales"",
  REGEXMATCH(A1321&amp;B1321, ""(?i)gmail|outlook|calenda"&amp;"r|slack|discord|telegram|whatsapp|notion|trello|drive|sheets?|meeting|scheduler|appointment|mattermost""), ""Productivity &amp; Communication"",
  REGEXMATCH(A1321&amp;B1321, ""(?i)github|api|webhook|http|mysql|supabase|mongodb|redis|rss|pr|code review|incident|p"&amp;"agerduty|jira""), ""Development &amp; Utilities"",
  TRUE, ""Others""
)"),"AI &amp; LLM")</f>
        <v>AI &amp; LLM</v>
      </c>
    </row>
    <row r="1322" ht="15.75" customHeight="1">
      <c r="A1322" s="14" t="s">
        <v>2619</v>
      </c>
      <c r="B1322" s="15" t="s">
        <v>2620</v>
      </c>
      <c r="C1322" s="16" t="s">
        <v>7</v>
      </c>
      <c r="D1322" s="12" t="str">
        <f>IFERROR(__xludf.DUMMYFUNCTION("IFS(
  REGEXMATCH(A1322&amp;B1322, ""(?i)openai|gpt|gemini|anthropic|claude|mistral|cohere|rag|vector|llm|chatbot|ai-powered""), ""AI &amp; LLM"",
  REGEXMATCH(A1322&amp;B1322, ""(?i)twitter|instagram|facebook|linkedin|youtube|tiktok|threads|bluesky|pinterest|social"&amp;" video|reels?|shorts?""), ""Social Media"",
  REGEXMATCH(A1322&amp;B1322, ""(?i)hubspot|pipedrive|stripe|shopify|woocommerce|sales|crm|invoice|order|leads?|recruitment|bamboohr|erpnext""), ""CRM &amp; Sales"",
  REGEXMATCH(A1322&amp;B1322, ""(?i)gmail|outlook|calenda"&amp;"r|slack|discord|telegram|whatsapp|notion|trello|drive|sheets?|meeting|scheduler|appointment|mattermost""), ""Productivity &amp; Communication"",
  REGEXMATCH(A1322&amp;B1322, ""(?i)github|api|webhook|http|mysql|supabase|mongodb|redis|rss|pr|code review|incident|p"&amp;"agerduty|jira""), ""Development &amp; Utilities"",
  TRUE, ""Others""
)"),"AI &amp; LLM")</f>
        <v>AI &amp; LLM</v>
      </c>
    </row>
    <row r="1323" ht="15.75" customHeight="1">
      <c r="A1323" s="14" t="s">
        <v>2621</v>
      </c>
      <c r="B1323" s="15" t="s">
        <v>2622</v>
      </c>
      <c r="C1323" s="16" t="s">
        <v>7</v>
      </c>
      <c r="D1323" s="12" t="str">
        <f>IFERROR(__xludf.DUMMYFUNCTION("IFS(
  REGEXMATCH(A1323&amp;B1323, ""(?i)openai|gpt|gemini|anthropic|claude|mistral|cohere|rag|vector|llm|chatbot|ai-powered""), ""AI &amp; LLM"",
  REGEXMATCH(A1323&amp;B1323, ""(?i)twitter|instagram|facebook|linkedin|youtube|tiktok|threads|bluesky|pinterest|social"&amp;" video|reels?|shorts?""), ""Social Media"",
  REGEXMATCH(A1323&amp;B1323, ""(?i)hubspot|pipedrive|stripe|shopify|woocommerce|sales|crm|invoice|order|leads?|recruitment|bamboohr|erpnext""), ""CRM &amp; Sales"",
  REGEXMATCH(A1323&amp;B1323, ""(?i)gmail|outlook|calenda"&amp;"r|slack|discord|telegram|whatsapp|notion|trello|drive|sheets?|meeting|scheduler|appointment|mattermost""), ""Productivity &amp; Communication"",
  REGEXMATCH(A1323&amp;B1323, ""(?i)github|api|webhook|http|mysql|supabase|mongodb|redis|rss|pr|code review|incident|p"&amp;"agerduty|jira""), ""Development &amp; Utilities"",
  TRUE, ""Others""
)"),"Development &amp; Utilities")</f>
        <v>Development &amp; Utilities</v>
      </c>
    </row>
    <row r="1324" ht="15.75" customHeight="1">
      <c r="A1324" s="14" t="s">
        <v>2623</v>
      </c>
      <c r="B1324" s="15" t="s">
        <v>2624</v>
      </c>
      <c r="C1324" s="16" t="s">
        <v>7</v>
      </c>
      <c r="D1324" s="12" t="str">
        <f>IFERROR(__xludf.DUMMYFUNCTION("IFS(
  REGEXMATCH(A1324&amp;B1324, ""(?i)openai|gpt|gemini|anthropic|claude|mistral|cohere|rag|vector|llm|chatbot|ai-powered""), ""AI &amp; LLM"",
  REGEXMATCH(A1324&amp;B1324, ""(?i)twitter|instagram|facebook|linkedin|youtube|tiktok|threads|bluesky|pinterest|social"&amp;" video|reels?|shorts?""), ""Social Media"",
  REGEXMATCH(A1324&amp;B1324, ""(?i)hubspot|pipedrive|stripe|shopify|woocommerce|sales|crm|invoice|order|leads?|recruitment|bamboohr|erpnext""), ""CRM &amp; Sales"",
  REGEXMATCH(A1324&amp;B1324, ""(?i)gmail|outlook|calenda"&amp;"r|slack|discord|telegram|whatsapp|notion|trello|drive|sheets?|meeting|scheduler|appointment|mattermost""), ""Productivity &amp; Communication"",
  REGEXMATCH(A1324&amp;B1324, ""(?i)github|api|webhook|http|mysql|supabase|mongodb|redis|rss|pr|code review|incident|p"&amp;"agerduty|jira""), ""Development &amp; Utilities"",
  TRUE, ""Others""
)"),"AI &amp; LLM")</f>
        <v>AI &amp; LLM</v>
      </c>
    </row>
    <row r="1325" ht="15.75" customHeight="1">
      <c r="A1325" s="14" t="s">
        <v>2625</v>
      </c>
      <c r="B1325" s="15" t="s">
        <v>2626</v>
      </c>
      <c r="C1325" s="16" t="s">
        <v>7</v>
      </c>
      <c r="D1325" s="12" t="str">
        <f>IFERROR(__xludf.DUMMYFUNCTION("IFS(
  REGEXMATCH(A1325&amp;B1325, ""(?i)openai|gpt|gemini|anthropic|claude|mistral|cohere|rag|vector|llm|chatbot|ai-powered""), ""AI &amp; LLM"",
  REGEXMATCH(A1325&amp;B1325, ""(?i)twitter|instagram|facebook|linkedin|youtube|tiktok|threads|bluesky|pinterest|social"&amp;" video|reels?|shorts?""), ""Social Media"",
  REGEXMATCH(A1325&amp;B1325, ""(?i)hubspot|pipedrive|stripe|shopify|woocommerce|sales|crm|invoice|order|leads?|recruitment|bamboohr|erpnext""), ""CRM &amp; Sales"",
  REGEXMATCH(A1325&amp;B1325, ""(?i)gmail|outlook|calenda"&amp;"r|slack|discord|telegram|whatsapp|notion|trello|drive|sheets?|meeting|scheduler|appointment|mattermost""), ""Productivity &amp; Communication"",
  REGEXMATCH(A1325&amp;B1325, ""(?i)github|api|webhook|http|mysql|supabase|mongodb|redis|rss|pr|code review|incident|p"&amp;"agerduty|jira""), ""Development &amp; Utilities"",
  TRUE, ""Others""
)"),"Development &amp; Utilities")</f>
        <v>Development &amp; Utilities</v>
      </c>
    </row>
    <row r="1326" ht="15.75" customHeight="1">
      <c r="A1326" s="14" t="s">
        <v>2627</v>
      </c>
      <c r="B1326" s="15" t="s">
        <v>2628</v>
      </c>
      <c r="C1326" s="16" t="s">
        <v>7</v>
      </c>
      <c r="D1326" s="12" t="str">
        <f>IFERROR(__xludf.DUMMYFUNCTION("IFS(
  REGEXMATCH(A1326&amp;B1326, ""(?i)openai|gpt|gemini|anthropic|claude|mistral|cohere|rag|vector|llm|chatbot|ai-powered""), ""AI &amp; LLM"",
  REGEXMATCH(A1326&amp;B1326, ""(?i)twitter|instagram|facebook|linkedin|youtube|tiktok|threads|bluesky|pinterest|social"&amp;" video|reels?|shorts?""), ""Social Media"",
  REGEXMATCH(A1326&amp;B1326, ""(?i)hubspot|pipedrive|stripe|shopify|woocommerce|sales|crm|invoice|order|leads?|recruitment|bamboohr|erpnext""), ""CRM &amp; Sales"",
  REGEXMATCH(A1326&amp;B1326, ""(?i)gmail|outlook|calenda"&amp;"r|slack|discord|telegram|whatsapp|notion|trello|drive|sheets?|meeting|scheduler|appointment|mattermost""), ""Productivity &amp; Communication"",
  REGEXMATCH(A1326&amp;B1326, ""(?i)github|api|webhook|http|mysql|supabase|mongodb|redis|rss|pr|code review|incident|p"&amp;"agerduty|jira""), ""Development &amp; Utilities"",
  TRUE, ""Others""
)"),"AI &amp; LLM")</f>
        <v>AI &amp; LLM</v>
      </c>
    </row>
    <row r="1327" ht="15.75" customHeight="1">
      <c r="A1327" s="14" t="s">
        <v>2629</v>
      </c>
      <c r="B1327" s="15" t="s">
        <v>2630</v>
      </c>
      <c r="C1327" s="16" t="s">
        <v>7</v>
      </c>
      <c r="D1327" s="12" t="str">
        <f>IFERROR(__xludf.DUMMYFUNCTION("IFS(
  REGEXMATCH(A1327&amp;B1327, ""(?i)openai|gpt|gemini|anthropic|claude|mistral|cohere|rag|vector|llm|chatbot|ai-powered""), ""AI &amp; LLM"",
  REGEXMATCH(A1327&amp;B1327, ""(?i)twitter|instagram|facebook|linkedin|youtube|tiktok|threads|bluesky|pinterest|social"&amp;" video|reels?|shorts?""), ""Social Media"",
  REGEXMATCH(A1327&amp;B1327, ""(?i)hubspot|pipedrive|stripe|shopify|woocommerce|sales|crm|invoice|order|leads?|recruitment|bamboohr|erpnext""), ""CRM &amp; Sales"",
  REGEXMATCH(A1327&amp;B1327, ""(?i)gmail|outlook|calenda"&amp;"r|slack|discord|telegram|whatsapp|notion|trello|drive|sheets?|meeting|scheduler|appointment|mattermost""), ""Productivity &amp; Communication"",
  REGEXMATCH(A1327&amp;B1327, ""(?i)github|api|webhook|http|mysql|supabase|mongodb|redis|rss|pr|code review|incident|p"&amp;"agerduty|jira""), ""Development &amp; Utilities"",
  TRUE, ""Others""
)"),"CRM &amp; Sales")</f>
        <v>CRM &amp; Sales</v>
      </c>
    </row>
    <row r="1328" ht="15.75" customHeight="1">
      <c r="A1328" s="14" t="s">
        <v>2631</v>
      </c>
      <c r="B1328" s="15" t="s">
        <v>2632</v>
      </c>
      <c r="C1328" s="16" t="s">
        <v>7</v>
      </c>
      <c r="D1328" s="12" t="str">
        <f>IFERROR(__xludf.DUMMYFUNCTION("IFS(
  REGEXMATCH(A1328&amp;B1328, ""(?i)openai|gpt|gemini|anthropic|claude|mistral|cohere|rag|vector|llm|chatbot|ai-powered""), ""AI &amp; LLM"",
  REGEXMATCH(A1328&amp;B1328, ""(?i)twitter|instagram|facebook|linkedin|youtube|tiktok|threads|bluesky|pinterest|social"&amp;" video|reels?|shorts?""), ""Social Media"",
  REGEXMATCH(A1328&amp;B1328, ""(?i)hubspot|pipedrive|stripe|shopify|woocommerce|sales|crm|invoice|order|leads?|recruitment|bamboohr|erpnext""), ""CRM &amp; Sales"",
  REGEXMATCH(A1328&amp;B1328, ""(?i)gmail|outlook|calenda"&amp;"r|slack|discord|telegram|whatsapp|notion|trello|drive|sheets?|meeting|scheduler|appointment|mattermost""), ""Productivity &amp; Communication"",
  REGEXMATCH(A1328&amp;B1328, ""(?i)github|api|webhook|http|mysql|supabase|mongodb|redis|rss|pr|code review|incident|p"&amp;"agerduty|jira""), ""Development &amp; Utilities"",
  TRUE, ""Others""
)"),"Development &amp; Utilities")</f>
        <v>Development &amp; Utilities</v>
      </c>
    </row>
    <row r="1329" ht="15.75" customHeight="1">
      <c r="A1329" s="14" t="s">
        <v>2633</v>
      </c>
      <c r="B1329" s="15" t="s">
        <v>2634</v>
      </c>
      <c r="C1329" s="16" t="s">
        <v>7</v>
      </c>
      <c r="D1329" s="12" t="str">
        <f>IFERROR(__xludf.DUMMYFUNCTION("IFS(
  REGEXMATCH(A1329&amp;B1329, ""(?i)openai|gpt|gemini|anthropic|claude|mistral|cohere|rag|vector|llm|chatbot|ai-powered""), ""AI &amp; LLM"",
  REGEXMATCH(A1329&amp;B1329, ""(?i)twitter|instagram|facebook|linkedin|youtube|tiktok|threads|bluesky|pinterest|social"&amp;" video|reels?|shorts?""), ""Social Media"",
  REGEXMATCH(A1329&amp;B1329, ""(?i)hubspot|pipedrive|stripe|shopify|woocommerce|sales|crm|invoice|order|leads?|recruitment|bamboohr|erpnext""), ""CRM &amp; Sales"",
  REGEXMATCH(A1329&amp;B1329, ""(?i)gmail|outlook|calenda"&amp;"r|slack|discord|telegram|whatsapp|notion|trello|drive|sheets?|meeting|scheduler|appointment|mattermost""), ""Productivity &amp; Communication"",
  REGEXMATCH(A1329&amp;B1329, ""(?i)github|api|webhook|http|mysql|supabase|mongodb|redis|rss|pr|code review|incident|p"&amp;"agerduty|jira""), ""Development &amp; Utilities"",
  TRUE, ""Others""
)"),"Productivity &amp; Communication")</f>
        <v>Productivity &amp; Communication</v>
      </c>
    </row>
    <row r="1330" ht="15.75" customHeight="1">
      <c r="A1330" s="14" t="s">
        <v>2635</v>
      </c>
      <c r="B1330" s="15" t="s">
        <v>2636</v>
      </c>
      <c r="C1330" s="16" t="s">
        <v>7</v>
      </c>
      <c r="D1330" s="12" t="str">
        <f>IFERROR(__xludf.DUMMYFUNCTION("IFS(
  REGEXMATCH(A1330&amp;B1330, ""(?i)openai|gpt|gemini|anthropic|claude|mistral|cohere|rag|vector|llm|chatbot|ai-powered""), ""AI &amp; LLM"",
  REGEXMATCH(A1330&amp;B1330, ""(?i)twitter|instagram|facebook|linkedin|youtube|tiktok|threads|bluesky|pinterest|social"&amp;" video|reels?|shorts?""), ""Social Media"",
  REGEXMATCH(A1330&amp;B1330, ""(?i)hubspot|pipedrive|stripe|shopify|woocommerce|sales|crm|invoice|order|leads?|recruitment|bamboohr|erpnext""), ""CRM &amp; Sales"",
  REGEXMATCH(A1330&amp;B1330, ""(?i)gmail|outlook|calenda"&amp;"r|slack|discord|telegram|whatsapp|notion|trello|drive|sheets?|meeting|scheduler|appointment|mattermost""), ""Productivity &amp; Communication"",
  REGEXMATCH(A1330&amp;B1330, ""(?i)github|api|webhook|http|mysql|supabase|mongodb|redis|rss|pr|code review|incident|p"&amp;"agerduty|jira""), ""Development &amp; Utilities"",
  TRUE, ""Others""
)"),"AI &amp; LLM")</f>
        <v>AI &amp; LLM</v>
      </c>
    </row>
    <row r="1331" ht="15.75" customHeight="1">
      <c r="A1331" s="14" t="s">
        <v>2637</v>
      </c>
      <c r="B1331" s="15" t="s">
        <v>2638</v>
      </c>
      <c r="C1331" s="16" t="s">
        <v>7</v>
      </c>
      <c r="D1331" s="12" t="str">
        <f>IFERROR(__xludf.DUMMYFUNCTION("IFS(
  REGEXMATCH(A1331&amp;B1331, ""(?i)openai|gpt|gemini|anthropic|claude|mistral|cohere|rag|vector|llm|chatbot|ai-powered""), ""AI &amp; LLM"",
  REGEXMATCH(A1331&amp;B1331, ""(?i)twitter|instagram|facebook|linkedin|youtube|tiktok|threads|bluesky|pinterest|social"&amp;" video|reels?|shorts?""), ""Social Media"",
  REGEXMATCH(A1331&amp;B1331, ""(?i)hubspot|pipedrive|stripe|shopify|woocommerce|sales|crm|invoice|order|leads?|recruitment|bamboohr|erpnext""), ""CRM &amp; Sales"",
  REGEXMATCH(A1331&amp;B1331, ""(?i)gmail|outlook|calenda"&amp;"r|slack|discord|telegram|whatsapp|notion|trello|drive|sheets?|meeting|scheduler|appointment|mattermost""), ""Productivity &amp; Communication"",
  REGEXMATCH(A1331&amp;B1331, ""(?i)github|api|webhook|http|mysql|supabase|mongodb|redis|rss|pr|code review|incident|p"&amp;"agerduty|jira""), ""Development &amp; Utilities"",
  TRUE, ""Others""
)"),"AI &amp; LLM")</f>
        <v>AI &amp; LLM</v>
      </c>
    </row>
    <row r="1332" ht="15.75" customHeight="1">
      <c r="A1332" s="14" t="s">
        <v>2639</v>
      </c>
      <c r="B1332" s="15" t="s">
        <v>2640</v>
      </c>
      <c r="C1332" s="16" t="s">
        <v>7</v>
      </c>
      <c r="D1332" s="12" t="str">
        <f>IFERROR(__xludf.DUMMYFUNCTION("IFS(
  REGEXMATCH(A1332&amp;B1332, ""(?i)openai|gpt|gemini|anthropic|claude|mistral|cohere|rag|vector|llm|chatbot|ai-powered""), ""AI &amp; LLM"",
  REGEXMATCH(A1332&amp;B1332, ""(?i)twitter|instagram|facebook|linkedin|youtube|tiktok|threads|bluesky|pinterest|social"&amp;" video|reels?|shorts?""), ""Social Media"",
  REGEXMATCH(A1332&amp;B1332, ""(?i)hubspot|pipedrive|stripe|shopify|woocommerce|sales|crm|invoice|order|leads?|recruitment|bamboohr|erpnext""), ""CRM &amp; Sales"",
  REGEXMATCH(A1332&amp;B1332, ""(?i)gmail|outlook|calenda"&amp;"r|slack|discord|telegram|whatsapp|notion|trello|drive|sheets?|meeting|scheduler|appointment|mattermost""), ""Productivity &amp; Communication"",
  REGEXMATCH(A1332&amp;B1332, ""(?i)github|api|webhook|http|mysql|supabase|mongodb|redis|rss|pr|code review|incident|p"&amp;"agerduty|jira""), ""Development &amp; Utilities"",
  TRUE, ""Others""
)"),"AI &amp; LLM")</f>
        <v>AI &amp; LLM</v>
      </c>
    </row>
    <row r="1333" ht="15.75" customHeight="1">
      <c r="A1333" s="14" t="s">
        <v>2641</v>
      </c>
      <c r="B1333" s="15" t="s">
        <v>2642</v>
      </c>
      <c r="C1333" s="16" t="s">
        <v>7</v>
      </c>
      <c r="D1333" s="12" t="str">
        <f>IFERROR(__xludf.DUMMYFUNCTION("IFS(
  REGEXMATCH(A1333&amp;B1333, ""(?i)openai|gpt|gemini|anthropic|claude|mistral|cohere|rag|vector|llm|chatbot|ai-powered""), ""AI &amp; LLM"",
  REGEXMATCH(A1333&amp;B1333, ""(?i)twitter|instagram|facebook|linkedin|youtube|tiktok|threads|bluesky|pinterest|social"&amp;" video|reels?|shorts?""), ""Social Media"",
  REGEXMATCH(A1333&amp;B1333, ""(?i)hubspot|pipedrive|stripe|shopify|woocommerce|sales|crm|invoice|order|leads?|recruitment|bamboohr|erpnext""), ""CRM &amp; Sales"",
  REGEXMATCH(A1333&amp;B1333, ""(?i)gmail|outlook|calenda"&amp;"r|slack|discord|telegram|whatsapp|notion|trello|drive|sheets?|meeting|scheduler|appointment|mattermost""), ""Productivity &amp; Communication"",
  REGEXMATCH(A1333&amp;B1333, ""(?i)github|api|webhook|http|mysql|supabase|mongodb|redis|rss|pr|code review|incident|p"&amp;"agerduty|jira""), ""Development &amp; Utilities"",
  TRUE, ""Others""
)"),"Development &amp; Utilities")</f>
        <v>Development &amp; Utilities</v>
      </c>
    </row>
    <row r="1334" ht="15.75" customHeight="1">
      <c r="A1334" s="14" t="s">
        <v>2643</v>
      </c>
      <c r="B1334" s="15" t="s">
        <v>2644</v>
      </c>
      <c r="C1334" s="16" t="s">
        <v>7</v>
      </c>
      <c r="D1334" s="12" t="str">
        <f>IFERROR(__xludf.DUMMYFUNCTION("IFS(
  REGEXMATCH(A1334&amp;B1334, ""(?i)openai|gpt|gemini|anthropic|claude|mistral|cohere|rag|vector|llm|chatbot|ai-powered""), ""AI &amp; LLM"",
  REGEXMATCH(A1334&amp;B1334, ""(?i)twitter|instagram|facebook|linkedin|youtube|tiktok|threads|bluesky|pinterest|social"&amp;" video|reels?|shorts?""), ""Social Media"",
  REGEXMATCH(A1334&amp;B1334, ""(?i)hubspot|pipedrive|stripe|shopify|woocommerce|sales|crm|invoice|order|leads?|recruitment|bamboohr|erpnext""), ""CRM &amp; Sales"",
  REGEXMATCH(A1334&amp;B1334, ""(?i)gmail|outlook|calenda"&amp;"r|slack|discord|telegram|whatsapp|notion|trello|drive|sheets?|meeting|scheduler|appointment|mattermost""), ""Productivity &amp; Communication"",
  REGEXMATCH(A1334&amp;B1334, ""(?i)github|api|webhook|http|mysql|supabase|mongodb|redis|rss|pr|code review|incident|p"&amp;"agerduty|jira""), ""Development &amp; Utilities"",
  TRUE, ""Others""
)"),"AI &amp; LLM")</f>
        <v>AI &amp; LLM</v>
      </c>
    </row>
    <row r="1335" ht="15.75" customHeight="1">
      <c r="A1335" s="14" t="s">
        <v>1312</v>
      </c>
      <c r="B1335" s="15" t="s">
        <v>2645</v>
      </c>
      <c r="C1335" s="16" t="s">
        <v>7</v>
      </c>
      <c r="D1335" s="12" t="str">
        <f>IFERROR(__xludf.DUMMYFUNCTION("IFS(
  REGEXMATCH(A1335&amp;B1335, ""(?i)openai|gpt|gemini|anthropic|claude|mistral|cohere|rag|vector|llm|chatbot|ai-powered""), ""AI &amp; LLM"",
  REGEXMATCH(A1335&amp;B1335, ""(?i)twitter|instagram|facebook|linkedin|youtube|tiktok|threads|bluesky|pinterest|social"&amp;" video|reels?|shorts?""), ""Social Media"",
  REGEXMATCH(A1335&amp;B1335, ""(?i)hubspot|pipedrive|stripe|shopify|woocommerce|sales|crm|invoice|order|leads?|recruitment|bamboohr|erpnext""), ""CRM &amp; Sales"",
  REGEXMATCH(A1335&amp;B1335, ""(?i)gmail|outlook|calenda"&amp;"r|slack|discord|telegram|whatsapp|notion|trello|drive|sheets?|meeting|scheduler|appointment|mattermost""), ""Productivity &amp; Communication"",
  REGEXMATCH(A1335&amp;B1335, ""(?i)github|api|webhook|http|mysql|supabase|mongodb|redis|rss|pr|code review|incident|p"&amp;"agerduty|jira""), ""Development &amp; Utilities"",
  TRUE, ""Others""
)"),"AI &amp; LLM")</f>
        <v>AI &amp; LLM</v>
      </c>
    </row>
    <row r="1336" ht="15.75" customHeight="1">
      <c r="A1336" s="14" t="s">
        <v>2646</v>
      </c>
      <c r="B1336" s="15" t="s">
        <v>2647</v>
      </c>
      <c r="C1336" s="16" t="s">
        <v>7</v>
      </c>
      <c r="D1336" s="12" t="str">
        <f>IFERROR(__xludf.DUMMYFUNCTION("IFS(
  REGEXMATCH(A1336&amp;B1336, ""(?i)openai|gpt|gemini|anthropic|claude|mistral|cohere|rag|vector|llm|chatbot|ai-powered""), ""AI &amp; LLM"",
  REGEXMATCH(A1336&amp;B1336, ""(?i)twitter|instagram|facebook|linkedin|youtube|tiktok|threads|bluesky|pinterest|social"&amp;" video|reels?|shorts?""), ""Social Media"",
  REGEXMATCH(A1336&amp;B1336, ""(?i)hubspot|pipedrive|stripe|shopify|woocommerce|sales|crm|invoice|order|leads?|recruitment|bamboohr|erpnext""), ""CRM &amp; Sales"",
  REGEXMATCH(A1336&amp;B1336, ""(?i)gmail|outlook|calenda"&amp;"r|slack|discord|telegram|whatsapp|notion|trello|drive|sheets?|meeting|scheduler|appointment|mattermost""), ""Productivity &amp; Communication"",
  REGEXMATCH(A1336&amp;B1336, ""(?i)github|api|webhook|http|mysql|supabase|mongodb|redis|rss|pr|code review|incident|p"&amp;"agerduty|jira""), ""Development &amp; Utilities"",
  TRUE, ""Others""
)"),"AI &amp; LLM")</f>
        <v>AI &amp; LLM</v>
      </c>
    </row>
    <row r="1337" ht="15.75" customHeight="1">
      <c r="A1337" s="14" t="s">
        <v>2648</v>
      </c>
      <c r="B1337" s="15" t="s">
        <v>2649</v>
      </c>
      <c r="C1337" s="16" t="s">
        <v>7</v>
      </c>
      <c r="D1337" s="12" t="str">
        <f>IFERROR(__xludf.DUMMYFUNCTION("IFS(
  REGEXMATCH(A1337&amp;B1337, ""(?i)openai|gpt|gemini|anthropic|claude|mistral|cohere|rag|vector|llm|chatbot|ai-powered""), ""AI &amp; LLM"",
  REGEXMATCH(A1337&amp;B1337, ""(?i)twitter|instagram|facebook|linkedin|youtube|tiktok|threads|bluesky|pinterest|social"&amp;" video|reels?|shorts?""), ""Social Media"",
  REGEXMATCH(A1337&amp;B1337, ""(?i)hubspot|pipedrive|stripe|shopify|woocommerce|sales|crm|invoice|order|leads?|recruitment|bamboohr|erpnext""), ""CRM &amp; Sales"",
  REGEXMATCH(A1337&amp;B1337, ""(?i)gmail|outlook|calenda"&amp;"r|slack|discord|telegram|whatsapp|notion|trello|drive|sheets?|meeting|scheduler|appointment|mattermost""), ""Productivity &amp; Communication"",
  REGEXMATCH(A1337&amp;B1337, ""(?i)github|api|webhook|http|mysql|supabase|mongodb|redis|rss|pr|code review|incident|p"&amp;"agerduty|jira""), ""Development &amp; Utilities"",
  TRUE, ""Others""
)"),"AI &amp; LLM")</f>
        <v>AI &amp; LLM</v>
      </c>
    </row>
    <row r="1338" ht="15.75" customHeight="1">
      <c r="A1338" s="14" t="s">
        <v>2650</v>
      </c>
      <c r="B1338" s="15" t="s">
        <v>2651</v>
      </c>
      <c r="C1338" s="16" t="s">
        <v>7</v>
      </c>
      <c r="D1338" s="12" t="str">
        <f>IFERROR(__xludf.DUMMYFUNCTION("IFS(
  REGEXMATCH(A1338&amp;B1338, ""(?i)openai|gpt|gemini|anthropic|claude|mistral|cohere|rag|vector|llm|chatbot|ai-powered""), ""AI &amp; LLM"",
  REGEXMATCH(A1338&amp;B1338, ""(?i)twitter|instagram|facebook|linkedin|youtube|tiktok|threads|bluesky|pinterest|social"&amp;" video|reels?|shorts?""), ""Social Media"",
  REGEXMATCH(A1338&amp;B1338, ""(?i)hubspot|pipedrive|stripe|shopify|woocommerce|sales|crm|invoice|order|leads?|recruitment|bamboohr|erpnext""), ""CRM &amp; Sales"",
  REGEXMATCH(A1338&amp;B1338, ""(?i)gmail|outlook|calenda"&amp;"r|slack|discord|telegram|whatsapp|notion|trello|drive|sheets?|meeting|scheduler|appointment|mattermost""), ""Productivity &amp; Communication"",
  REGEXMATCH(A1338&amp;B1338, ""(?i)github|api|webhook|http|mysql|supabase|mongodb|redis|rss|pr|code review|incident|p"&amp;"agerduty|jira""), ""Development &amp; Utilities"",
  TRUE, ""Others""
)"),"Productivity &amp; Communication")</f>
        <v>Productivity &amp; Communication</v>
      </c>
    </row>
    <row r="1339" ht="15.75" customHeight="1">
      <c r="A1339" s="14" t="s">
        <v>2652</v>
      </c>
      <c r="B1339" s="15" t="s">
        <v>2653</v>
      </c>
      <c r="C1339" s="16" t="s">
        <v>7</v>
      </c>
      <c r="D1339" s="12" t="str">
        <f>IFERROR(__xludf.DUMMYFUNCTION("IFS(
  REGEXMATCH(A1339&amp;B1339, ""(?i)openai|gpt|gemini|anthropic|claude|mistral|cohere|rag|vector|llm|chatbot|ai-powered""), ""AI &amp; LLM"",
  REGEXMATCH(A1339&amp;B1339, ""(?i)twitter|instagram|facebook|linkedin|youtube|tiktok|threads|bluesky|pinterest|social"&amp;" video|reels?|shorts?""), ""Social Media"",
  REGEXMATCH(A1339&amp;B1339, ""(?i)hubspot|pipedrive|stripe|shopify|woocommerce|sales|crm|invoice|order|leads?|recruitment|bamboohr|erpnext""), ""CRM &amp; Sales"",
  REGEXMATCH(A1339&amp;B1339, ""(?i)gmail|outlook|calenda"&amp;"r|slack|discord|telegram|whatsapp|notion|trello|drive|sheets?|meeting|scheduler|appointment|mattermost""), ""Productivity &amp; Communication"",
  REGEXMATCH(A1339&amp;B1339, ""(?i)github|api|webhook|http|mysql|supabase|mongodb|redis|rss|pr|code review|incident|p"&amp;"agerduty|jira""), ""Development &amp; Utilities"",
  TRUE, ""Others""
)"),"AI &amp; LLM")</f>
        <v>AI &amp; LLM</v>
      </c>
    </row>
    <row r="1340" ht="15.75" customHeight="1">
      <c r="A1340" s="14" t="s">
        <v>2654</v>
      </c>
      <c r="B1340" s="15" t="s">
        <v>2655</v>
      </c>
      <c r="C1340" s="16" t="s">
        <v>7</v>
      </c>
      <c r="D1340" s="12" t="str">
        <f>IFERROR(__xludf.DUMMYFUNCTION("IFS(
  REGEXMATCH(A1340&amp;B1340, ""(?i)openai|gpt|gemini|anthropic|claude|mistral|cohere|rag|vector|llm|chatbot|ai-powered""), ""AI &amp; LLM"",
  REGEXMATCH(A1340&amp;B1340, ""(?i)twitter|instagram|facebook|linkedin|youtube|tiktok|threads|bluesky|pinterest|social"&amp;" video|reels?|shorts?""), ""Social Media"",
  REGEXMATCH(A1340&amp;B1340, ""(?i)hubspot|pipedrive|stripe|shopify|woocommerce|sales|crm|invoice|order|leads?|recruitment|bamboohr|erpnext""), ""CRM &amp; Sales"",
  REGEXMATCH(A1340&amp;B1340, ""(?i)gmail|outlook|calenda"&amp;"r|slack|discord|telegram|whatsapp|notion|trello|drive|sheets?|meeting|scheduler|appointment|mattermost""), ""Productivity &amp; Communication"",
  REGEXMATCH(A1340&amp;B1340, ""(?i)github|api|webhook|http|mysql|supabase|mongodb|redis|rss|pr|code review|incident|p"&amp;"agerduty|jira""), ""Development &amp; Utilities"",
  TRUE, ""Others""
)"),"AI &amp; LLM")</f>
        <v>AI &amp; LLM</v>
      </c>
    </row>
    <row r="1341" ht="15.75" customHeight="1">
      <c r="A1341" s="14" t="s">
        <v>2656</v>
      </c>
      <c r="B1341" s="15" t="s">
        <v>2657</v>
      </c>
      <c r="C1341" s="16" t="s">
        <v>7</v>
      </c>
      <c r="D1341" s="12" t="str">
        <f>IFERROR(__xludf.DUMMYFUNCTION("IFS(
  REGEXMATCH(A1341&amp;B1341, ""(?i)openai|gpt|gemini|anthropic|claude|mistral|cohere|rag|vector|llm|chatbot|ai-powered""), ""AI &amp; LLM"",
  REGEXMATCH(A1341&amp;B1341, ""(?i)twitter|instagram|facebook|linkedin|youtube|tiktok|threads|bluesky|pinterest|social"&amp;" video|reels?|shorts?""), ""Social Media"",
  REGEXMATCH(A1341&amp;B1341, ""(?i)hubspot|pipedrive|stripe|shopify|woocommerce|sales|crm|invoice|order|leads?|recruitment|bamboohr|erpnext""), ""CRM &amp; Sales"",
  REGEXMATCH(A1341&amp;B1341, ""(?i)gmail|outlook|calenda"&amp;"r|slack|discord|telegram|whatsapp|notion|trello|drive|sheets?|meeting|scheduler|appointment|mattermost""), ""Productivity &amp; Communication"",
  REGEXMATCH(A1341&amp;B1341, ""(?i)github|api|webhook|http|mysql|supabase|mongodb|redis|rss|pr|code review|incident|p"&amp;"agerduty|jira""), ""Development &amp; Utilities"",
  TRUE, ""Others""
)"),"AI &amp; LLM")</f>
        <v>AI &amp; LLM</v>
      </c>
    </row>
    <row r="1342" ht="15.75" customHeight="1">
      <c r="A1342" s="14" t="s">
        <v>2658</v>
      </c>
      <c r="B1342" s="15" t="s">
        <v>2659</v>
      </c>
      <c r="C1342" s="16" t="s">
        <v>7</v>
      </c>
      <c r="D1342" s="12" t="str">
        <f>IFERROR(__xludf.DUMMYFUNCTION("IFS(
  REGEXMATCH(A1342&amp;B1342, ""(?i)openai|gpt|gemini|anthropic|claude|mistral|cohere|rag|vector|llm|chatbot|ai-powered""), ""AI &amp; LLM"",
  REGEXMATCH(A1342&amp;B1342, ""(?i)twitter|instagram|facebook|linkedin|youtube|tiktok|threads|bluesky|pinterest|social"&amp;" video|reels?|shorts?""), ""Social Media"",
  REGEXMATCH(A1342&amp;B1342, ""(?i)hubspot|pipedrive|stripe|shopify|woocommerce|sales|crm|invoice|order|leads?|recruitment|bamboohr|erpnext""), ""CRM &amp; Sales"",
  REGEXMATCH(A1342&amp;B1342, ""(?i)gmail|outlook|calenda"&amp;"r|slack|discord|telegram|whatsapp|notion|trello|drive|sheets?|meeting|scheduler|appointment|mattermost""), ""Productivity &amp; Communication"",
  REGEXMATCH(A1342&amp;B1342, ""(?i)github|api|webhook|http|mysql|supabase|mongodb|redis|rss|pr|code review|incident|p"&amp;"agerduty|jira""), ""Development &amp; Utilities"",
  TRUE, ""Others""
)"),"AI &amp; LLM")</f>
        <v>AI &amp; LLM</v>
      </c>
    </row>
    <row r="1343" ht="15.75" customHeight="1">
      <c r="A1343" s="14" t="s">
        <v>2660</v>
      </c>
      <c r="B1343" s="15" t="s">
        <v>2661</v>
      </c>
      <c r="C1343" s="16" t="s">
        <v>7</v>
      </c>
      <c r="D1343" s="12" t="str">
        <f>IFERROR(__xludf.DUMMYFUNCTION("IFS(
  REGEXMATCH(A1343&amp;B1343, ""(?i)openai|gpt|gemini|anthropic|claude|mistral|cohere|rag|vector|llm|chatbot|ai-powered""), ""AI &amp; LLM"",
  REGEXMATCH(A1343&amp;B1343, ""(?i)twitter|instagram|facebook|linkedin|youtube|tiktok|threads|bluesky|pinterest|social"&amp;" video|reels?|shorts?""), ""Social Media"",
  REGEXMATCH(A1343&amp;B1343, ""(?i)hubspot|pipedrive|stripe|shopify|woocommerce|sales|crm|invoice|order|leads?|recruitment|bamboohr|erpnext""), ""CRM &amp; Sales"",
  REGEXMATCH(A1343&amp;B1343, ""(?i)gmail|outlook|calenda"&amp;"r|slack|discord|telegram|whatsapp|notion|trello|drive|sheets?|meeting|scheduler|appointment|mattermost""), ""Productivity &amp; Communication"",
  REGEXMATCH(A1343&amp;B1343, ""(?i)github|api|webhook|http|mysql|supabase|mongodb|redis|rss|pr|code review|incident|p"&amp;"agerduty|jira""), ""Development &amp; Utilities"",
  TRUE, ""Others""
)"),"AI &amp; LLM")</f>
        <v>AI &amp; LLM</v>
      </c>
    </row>
    <row r="1344" ht="15.75" customHeight="1">
      <c r="A1344" s="14" t="s">
        <v>2662</v>
      </c>
      <c r="B1344" s="15" t="s">
        <v>2663</v>
      </c>
      <c r="C1344" s="16" t="s">
        <v>7</v>
      </c>
      <c r="D1344" s="12" t="str">
        <f>IFERROR(__xludf.DUMMYFUNCTION("IFS(
  REGEXMATCH(A1344&amp;B1344, ""(?i)openai|gpt|gemini|anthropic|claude|mistral|cohere|rag|vector|llm|chatbot|ai-powered""), ""AI &amp; LLM"",
  REGEXMATCH(A1344&amp;B1344, ""(?i)twitter|instagram|facebook|linkedin|youtube|tiktok|threads|bluesky|pinterest|social"&amp;" video|reels?|shorts?""), ""Social Media"",
  REGEXMATCH(A1344&amp;B1344, ""(?i)hubspot|pipedrive|stripe|shopify|woocommerce|sales|crm|invoice|order|leads?|recruitment|bamboohr|erpnext""), ""CRM &amp; Sales"",
  REGEXMATCH(A1344&amp;B1344, ""(?i)gmail|outlook|calenda"&amp;"r|slack|discord|telegram|whatsapp|notion|trello|drive|sheets?|meeting|scheduler|appointment|mattermost""), ""Productivity &amp; Communication"",
  REGEXMATCH(A1344&amp;B1344, ""(?i)github|api|webhook|http|mysql|supabase|mongodb|redis|rss|pr|code review|incident|p"&amp;"agerduty|jira""), ""Development &amp; Utilities"",
  TRUE, ""Others""
)"),"Productivity &amp; Communication")</f>
        <v>Productivity &amp; Communication</v>
      </c>
    </row>
    <row r="1345" ht="15.75" customHeight="1">
      <c r="A1345" s="14" t="s">
        <v>2664</v>
      </c>
      <c r="B1345" s="15" t="s">
        <v>2665</v>
      </c>
      <c r="C1345" s="16" t="s">
        <v>7</v>
      </c>
      <c r="D1345" s="12" t="str">
        <f>IFERROR(__xludf.DUMMYFUNCTION("IFS(
  REGEXMATCH(A1345&amp;B1345, ""(?i)openai|gpt|gemini|anthropic|claude|mistral|cohere|rag|vector|llm|chatbot|ai-powered""), ""AI &amp; LLM"",
  REGEXMATCH(A1345&amp;B1345, ""(?i)twitter|instagram|facebook|linkedin|youtube|tiktok|threads|bluesky|pinterest|social"&amp;" video|reels?|shorts?""), ""Social Media"",
  REGEXMATCH(A1345&amp;B1345, ""(?i)hubspot|pipedrive|stripe|shopify|woocommerce|sales|crm|invoice|order|leads?|recruitment|bamboohr|erpnext""), ""CRM &amp; Sales"",
  REGEXMATCH(A1345&amp;B1345, ""(?i)gmail|outlook|calenda"&amp;"r|slack|discord|telegram|whatsapp|notion|trello|drive|sheets?|meeting|scheduler|appointment|mattermost""), ""Productivity &amp; Communication"",
  REGEXMATCH(A1345&amp;B1345, ""(?i)github|api|webhook|http|mysql|supabase|mongodb|redis|rss|pr|code review|incident|p"&amp;"agerduty|jira""), ""Development &amp; Utilities"",
  TRUE, ""Others""
)"),"AI &amp; LLM")</f>
        <v>AI &amp; LLM</v>
      </c>
    </row>
    <row r="1346" ht="15.75" customHeight="1">
      <c r="A1346" s="14" t="s">
        <v>2666</v>
      </c>
      <c r="B1346" s="15" t="s">
        <v>2667</v>
      </c>
      <c r="C1346" s="16" t="s">
        <v>7</v>
      </c>
      <c r="D1346" s="12" t="str">
        <f>IFERROR(__xludf.DUMMYFUNCTION("IFS(
  REGEXMATCH(A1346&amp;B1346, ""(?i)openai|gpt|gemini|anthropic|claude|mistral|cohere|rag|vector|llm|chatbot|ai-powered""), ""AI &amp; LLM"",
  REGEXMATCH(A1346&amp;B1346, ""(?i)twitter|instagram|facebook|linkedin|youtube|tiktok|threads|bluesky|pinterest|social"&amp;" video|reels?|shorts?""), ""Social Media"",
  REGEXMATCH(A1346&amp;B1346, ""(?i)hubspot|pipedrive|stripe|shopify|woocommerce|sales|crm|invoice|order|leads?|recruitment|bamboohr|erpnext""), ""CRM &amp; Sales"",
  REGEXMATCH(A1346&amp;B1346, ""(?i)gmail|outlook|calenda"&amp;"r|slack|discord|telegram|whatsapp|notion|trello|drive|sheets?|meeting|scheduler|appointment|mattermost""), ""Productivity &amp; Communication"",
  REGEXMATCH(A1346&amp;B1346, ""(?i)github|api|webhook|http|mysql|supabase|mongodb|redis|rss|pr|code review|incident|p"&amp;"agerduty|jira""), ""Development &amp; Utilities"",
  TRUE, ""Others""
)"),"AI &amp; LLM")</f>
        <v>AI &amp; LLM</v>
      </c>
    </row>
    <row r="1347" ht="15.75" customHeight="1">
      <c r="A1347" s="14" t="s">
        <v>2668</v>
      </c>
      <c r="B1347" s="15" t="s">
        <v>2669</v>
      </c>
      <c r="C1347" s="16" t="s">
        <v>7</v>
      </c>
      <c r="D1347" s="12" t="str">
        <f>IFERROR(__xludf.DUMMYFUNCTION("IFS(
  REGEXMATCH(A1347&amp;B1347, ""(?i)openai|gpt|gemini|anthropic|claude|mistral|cohere|rag|vector|llm|chatbot|ai-powered""), ""AI &amp; LLM"",
  REGEXMATCH(A1347&amp;B1347, ""(?i)twitter|instagram|facebook|linkedin|youtube|tiktok|threads|bluesky|pinterest|social"&amp;" video|reels?|shorts?""), ""Social Media"",
  REGEXMATCH(A1347&amp;B1347, ""(?i)hubspot|pipedrive|stripe|shopify|woocommerce|sales|crm|invoice|order|leads?|recruitment|bamboohr|erpnext""), ""CRM &amp; Sales"",
  REGEXMATCH(A1347&amp;B1347, ""(?i)gmail|outlook|calenda"&amp;"r|slack|discord|telegram|whatsapp|notion|trello|drive|sheets?|meeting|scheduler|appointment|mattermost""), ""Productivity &amp; Communication"",
  REGEXMATCH(A1347&amp;B1347, ""(?i)github|api|webhook|http|mysql|supabase|mongodb|redis|rss|pr|code review|incident|p"&amp;"agerduty|jira""), ""Development &amp; Utilities"",
  TRUE, ""Others""
)"),"AI &amp; LLM")</f>
        <v>AI &amp; LLM</v>
      </c>
    </row>
    <row r="1348" ht="15.75" customHeight="1">
      <c r="A1348" s="14" t="s">
        <v>2670</v>
      </c>
      <c r="B1348" s="15" t="s">
        <v>2671</v>
      </c>
      <c r="C1348" s="16" t="s">
        <v>7</v>
      </c>
      <c r="D1348" s="12" t="str">
        <f>IFERROR(__xludf.DUMMYFUNCTION("IFS(
  REGEXMATCH(A1348&amp;B1348, ""(?i)openai|gpt|gemini|anthropic|claude|mistral|cohere|rag|vector|llm|chatbot|ai-powered""), ""AI &amp; LLM"",
  REGEXMATCH(A1348&amp;B1348, ""(?i)twitter|instagram|facebook|linkedin|youtube|tiktok|threads|bluesky|pinterest|social"&amp;" video|reels?|shorts?""), ""Social Media"",
  REGEXMATCH(A1348&amp;B1348, ""(?i)hubspot|pipedrive|stripe|shopify|woocommerce|sales|crm|invoice|order|leads?|recruitment|bamboohr|erpnext""), ""CRM &amp; Sales"",
  REGEXMATCH(A1348&amp;B1348, ""(?i)gmail|outlook|calenda"&amp;"r|slack|discord|telegram|whatsapp|notion|trello|drive|sheets?|meeting|scheduler|appointment|mattermost""), ""Productivity &amp; Communication"",
  REGEXMATCH(A1348&amp;B1348, ""(?i)github|api|webhook|http|mysql|supabase|mongodb|redis|rss|pr|code review|incident|p"&amp;"agerduty|jira""), ""Development &amp; Utilities"",
  TRUE, ""Others""
)"),"AI &amp; LLM")</f>
        <v>AI &amp; LLM</v>
      </c>
    </row>
    <row r="1349" ht="15.75" customHeight="1">
      <c r="A1349" s="14" t="s">
        <v>2533</v>
      </c>
      <c r="B1349" s="15" t="s">
        <v>2672</v>
      </c>
      <c r="C1349" s="16" t="s">
        <v>7</v>
      </c>
      <c r="D1349" s="12" t="str">
        <f>IFERROR(__xludf.DUMMYFUNCTION("IFS(
  REGEXMATCH(A1349&amp;B1349, ""(?i)openai|gpt|gemini|anthropic|claude|mistral|cohere|rag|vector|llm|chatbot|ai-powered""), ""AI &amp; LLM"",
  REGEXMATCH(A1349&amp;B1349, ""(?i)twitter|instagram|facebook|linkedin|youtube|tiktok|threads|bluesky|pinterest|social"&amp;" video|reels?|shorts?""), ""Social Media"",
  REGEXMATCH(A1349&amp;B1349, ""(?i)hubspot|pipedrive|stripe|shopify|woocommerce|sales|crm|invoice|order|leads?|recruitment|bamboohr|erpnext""), ""CRM &amp; Sales"",
  REGEXMATCH(A1349&amp;B1349, ""(?i)gmail|outlook|calenda"&amp;"r|slack|discord|telegram|whatsapp|notion|trello|drive|sheets?|meeting|scheduler|appointment|mattermost""), ""Productivity &amp; Communication"",
  REGEXMATCH(A1349&amp;B1349, ""(?i)github|api|webhook|http|mysql|supabase|mongodb|redis|rss|pr|code review|incident|p"&amp;"agerduty|jira""), ""Development &amp; Utilities"",
  TRUE, ""Others""
)"),"AI &amp; LLM")</f>
        <v>AI &amp; LLM</v>
      </c>
    </row>
    <row r="1350" ht="15.75" customHeight="1">
      <c r="A1350" s="14" t="s">
        <v>2673</v>
      </c>
      <c r="B1350" s="15" t="s">
        <v>2674</v>
      </c>
      <c r="C1350" s="16" t="s">
        <v>7</v>
      </c>
      <c r="D1350" s="12" t="str">
        <f>IFERROR(__xludf.DUMMYFUNCTION("IFS(
  REGEXMATCH(A1350&amp;B1350, ""(?i)openai|gpt|gemini|anthropic|claude|mistral|cohere|rag|vector|llm|chatbot|ai-powered""), ""AI &amp; LLM"",
  REGEXMATCH(A1350&amp;B1350, ""(?i)twitter|instagram|facebook|linkedin|youtube|tiktok|threads|bluesky|pinterest|social"&amp;" video|reels?|shorts?""), ""Social Media"",
  REGEXMATCH(A1350&amp;B1350, ""(?i)hubspot|pipedrive|stripe|shopify|woocommerce|sales|crm|invoice|order|leads?|recruitment|bamboohr|erpnext""), ""CRM &amp; Sales"",
  REGEXMATCH(A1350&amp;B1350, ""(?i)gmail|outlook|calenda"&amp;"r|slack|discord|telegram|whatsapp|notion|trello|drive|sheets?|meeting|scheduler|appointment|mattermost""), ""Productivity &amp; Communication"",
  REGEXMATCH(A1350&amp;B1350, ""(?i)github|api|webhook|http|mysql|supabase|mongodb|redis|rss|pr|code review|incident|p"&amp;"agerduty|jira""), ""Development &amp; Utilities"",
  TRUE, ""Others""
)"),"Development &amp; Utilities")</f>
        <v>Development &amp; Utilities</v>
      </c>
    </row>
    <row r="1351" ht="15.75" customHeight="1">
      <c r="A1351" s="14" t="s">
        <v>2675</v>
      </c>
      <c r="B1351" s="15" t="s">
        <v>2676</v>
      </c>
      <c r="C1351" s="16" t="s">
        <v>7</v>
      </c>
      <c r="D1351" s="12" t="str">
        <f>IFERROR(__xludf.DUMMYFUNCTION("IFS(
  REGEXMATCH(A1351&amp;B1351, ""(?i)openai|gpt|gemini|anthropic|claude|mistral|cohere|rag|vector|llm|chatbot|ai-powered""), ""AI &amp; LLM"",
  REGEXMATCH(A1351&amp;B1351, ""(?i)twitter|instagram|facebook|linkedin|youtube|tiktok|threads|bluesky|pinterest|social"&amp;" video|reels?|shorts?""), ""Social Media"",
  REGEXMATCH(A1351&amp;B1351, ""(?i)hubspot|pipedrive|stripe|shopify|woocommerce|sales|crm|invoice|order|leads?|recruitment|bamboohr|erpnext""), ""CRM &amp; Sales"",
  REGEXMATCH(A1351&amp;B1351, ""(?i)gmail|outlook|calenda"&amp;"r|slack|discord|telegram|whatsapp|notion|trello|drive|sheets?|meeting|scheduler|appointment|mattermost""), ""Productivity &amp; Communication"",
  REGEXMATCH(A1351&amp;B1351, ""(?i)github|api|webhook|http|mysql|supabase|mongodb|redis|rss|pr|code review|incident|p"&amp;"agerduty|jira""), ""Development &amp; Utilities"",
  TRUE, ""Others""
)"),"Development &amp; Utilities")</f>
        <v>Development &amp; Utilities</v>
      </c>
    </row>
    <row r="1352" ht="15.75" customHeight="1">
      <c r="A1352" s="14" t="s">
        <v>2677</v>
      </c>
      <c r="B1352" s="15" t="s">
        <v>2678</v>
      </c>
      <c r="C1352" s="16" t="s">
        <v>7</v>
      </c>
      <c r="D1352" s="12" t="str">
        <f>IFERROR(__xludf.DUMMYFUNCTION("IFS(
  REGEXMATCH(A1352&amp;B1352, ""(?i)openai|gpt|gemini|anthropic|claude|mistral|cohere|rag|vector|llm|chatbot|ai-powered""), ""AI &amp; LLM"",
  REGEXMATCH(A1352&amp;B1352, ""(?i)twitter|instagram|facebook|linkedin|youtube|tiktok|threads|bluesky|pinterest|social"&amp;" video|reels?|shorts?""), ""Social Media"",
  REGEXMATCH(A1352&amp;B1352, ""(?i)hubspot|pipedrive|stripe|shopify|woocommerce|sales|crm|invoice|order|leads?|recruitment|bamboohr|erpnext""), ""CRM &amp; Sales"",
  REGEXMATCH(A1352&amp;B1352, ""(?i)gmail|outlook|calenda"&amp;"r|slack|discord|telegram|whatsapp|notion|trello|drive|sheets?|meeting|scheduler|appointment|mattermost""), ""Productivity &amp; Communication"",
  REGEXMATCH(A1352&amp;B1352, ""(?i)github|api|webhook|http|mysql|supabase|mongodb|redis|rss|pr|code review|incident|p"&amp;"agerduty|jira""), ""Development &amp; Utilities"",
  TRUE, ""Others""
)"),"Social Media")</f>
        <v>Social Media</v>
      </c>
    </row>
    <row r="1353" ht="15.75" customHeight="1">
      <c r="A1353" s="14" t="s">
        <v>2679</v>
      </c>
      <c r="B1353" s="15" t="s">
        <v>2680</v>
      </c>
      <c r="C1353" s="16" t="s">
        <v>7</v>
      </c>
      <c r="D1353" s="12" t="str">
        <f>IFERROR(__xludf.DUMMYFUNCTION("IFS(
  REGEXMATCH(A1353&amp;B1353, ""(?i)openai|gpt|gemini|anthropic|claude|mistral|cohere|rag|vector|llm|chatbot|ai-powered""), ""AI &amp; LLM"",
  REGEXMATCH(A1353&amp;B1353, ""(?i)twitter|instagram|facebook|linkedin|youtube|tiktok|threads|bluesky|pinterest|social"&amp;" video|reels?|shorts?""), ""Social Media"",
  REGEXMATCH(A1353&amp;B1353, ""(?i)hubspot|pipedrive|stripe|shopify|woocommerce|sales|crm|invoice|order|leads?|recruitment|bamboohr|erpnext""), ""CRM &amp; Sales"",
  REGEXMATCH(A1353&amp;B1353, ""(?i)gmail|outlook|calenda"&amp;"r|slack|discord|telegram|whatsapp|notion|trello|drive|sheets?|meeting|scheduler|appointment|mattermost""), ""Productivity &amp; Communication"",
  REGEXMATCH(A1353&amp;B1353, ""(?i)github|api|webhook|http|mysql|supabase|mongodb|redis|rss|pr|code review|incident|p"&amp;"agerduty|jira""), ""Development &amp; Utilities"",
  TRUE, ""Others""
)"),"Development &amp; Utilities")</f>
        <v>Development &amp; Utilities</v>
      </c>
    </row>
    <row r="1354" ht="15.75" customHeight="1">
      <c r="A1354" s="14" t="s">
        <v>2681</v>
      </c>
      <c r="B1354" s="15" t="s">
        <v>2682</v>
      </c>
      <c r="C1354" s="16" t="s">
        <v>7</v>
      </c>
      <c r="D1354" s="12" t="str">
        <f>IFERROR(__xludf.DUMMYFUNCTION("IFS(
  REGEXMATCH(A1354&amp;B1354, ""(?i)openai|gpt|gemini|anthropic|claude|mistral|cohere|rag|vector|llm|chatbot|ai-powered""), ""AI &amp; LLM"",
  REGEXMATCH(A1354&amp;B1354, ""(?i)twitter|instagram|facebook|linkedin|youtube|tiktok|threads|bluesky|pinterest|social"&amp;" video|reels?|shorts?""), ""Social Media"",
  REGEXMATCH(A1354&amp;B1354, ""(?i)hubspot|pipedrive|stripe|shopify|woocommerce|sales|crm|invoice|order|leads?|recruitment|bamboohr|erpnext""), ""CRM &amp; Sales"",
  REGEXMATCH(A1354&amp;B1354, ""(?i)gmail|outlook|calenda"&amp;"r|slack|discord|telegram|whatsapp|notion|trello|drive|sheets?|meeting|scheduler|appointment|mattermost""), ""Productivity &amp; Communication"",
  REGEXMATCH(A1354&amp;B1354, ""(?i)github|api|webhook|http|mysql|supabase|mongodb|redis|rss|pr|code review|incident|p"&amp;"agerduty|jira""), ""Development &amp; Utilities"",
  TRUE, ""Others""
)"),"AI &amp; LLM")</f>
        <v>AI &amp; LLM</v>
      </c>
    </row>
    <row r="1355" ht="15.75" customHeight="1">
      <c r="A1355" s="14" t="s">
        <v>2683</v>
      </c>
      <c r="B1355" s="15" t="s">
        <v>2684</v>
      </c>
      <c r="C1355" s="16" t="s">
        <v>7</v>
      </c>
      <c r="D1355" s="12" t="str">
        <f>IFERROR(__xludf.DUMMYFUNCTION("IFS(
  REGEXMATCH(A1355&amp;B1355, ""(?i)openai|gpt|gemini|anthropic|claude|mistral|cohere|rag|vector|llm|chatbot|ai-powered""), ""AI &amp; LLM"",
  REGEXMATCH(A1355&amp;B1355, ""(?i)twitter|instagram|facebook|linkedin|youtube|tiktok|threads|bluesky|pinterest|social"&amp;" video|reels?|shorts?""), ""Social Media"",
  REGEXMATCH(A1355&amp;B1355, ""(?i)hubspot|pipedrive|stripe|shopify|woocommerce|sales|crm|invoice|order|leads?|recruitment|bamboohr|erpnext""), ""CRM &amp; Sales"",
  REGEXMATCH(A1355&amp;B1355, ""(?i)gmail|outlook|calenda"&amp;"r|slack|discord|telegram|whatsapp|notion|trello|drive|sheets?|meeting|scheduler|appointment|mattermost""), ""Productivity &amp; Communication"",
  REGEXMATCH(A1355&amp;B1355, ""(?i)github|api|webhook|http|mysql|supabase|mongodb|redis|rss|pr|code review|incident|p"&amp;"agerduty|jira""), ""Development &amp; Utilities"",
  TRUE, ""Others""
)"),"CRM &amp; Sales")</f>
        <v>CRM &amp; Sales</v>
      </c>
    </row>
    <row r="1356" ht="15.75" customHeight="1">
      <c r="A1356" s="14" t="s">
        <v>2685</v>
      </c>
      <c r="B1356" s="15" t="s">
        <v>2686</v>
      </c>
      <c r="C1356" s="16" t="s">
        <v>7</v>
      </c>
      <c r="D1356" s="12" t="str">
        <f>IFERROR(__xludf.DUMMYFUNCTION("IFS(
  REGEXMATCH(A1356&amp;B1356, ""(?i)openai|gpt|gemini|anthropic|claude|mistral|cohere|rag|vector|llm|chatbot|ai-powered""), ""AI &amp; LLM"",
  REGEXMATCH(A1356&amp;B1356, ""(?i)twitter|instagram|facebook|linkedin|youtube|tiktok|threads|bluesky|pinterest|social"&amp;" video|reels?|shorts?""), ""Social Media"",
  REGEXMATCH(A1356&amp;B1356, ""(?i)hubspot|pipedrive|stripe|shopify|woocommerce|sales|crm|invoice|order|leads?|recruitment|bamboohr|erpnext""), ""CRM &amp; Sales"",
  REGEXMATCH(A1356&amp;B1356, ""(?i)gmail|outlook|calenda"&amp;"r|slack|discord|telegram|whatsapp|notion|trello|drive|sheets?|meeting|scheduler|appointment|mattermost""), ""Productivity &amp; Communication"",
  REGEXMATCH(A1356&amp;B1356, ""(?i)github|api|webhook|http|mysql|supabase|mongodb|redis|rss|pr|code review|incident|p"&amp;"agerduty|jira""), ""Development &amp; Utilities"",
  TRUE, ""Others""
)"),"Development &amp; Utilities")</f>
        <v>Development &amp; Utilities</v>
      </c>
    </row>
    <row r="1357" ht="15.75" customHeight="1">
      <c r="A1357" s="14" t="s">
        <v>2687</v>
      </c>
      <c r="B1357" s="15" t="s">
        <v>2688</v>
      </c>
      <c r="C1357" s="16" t="s">
        <v>7</v>
      </c>
      <c r="D1357" s="12" t="str">
        <f>IFERROR(__xludf.DUMMYFUNCTION("IFS(
  REGEXMATCH(A1357&amp;B1357, ""(?i)openai|gpt|gemini|anthropic|claude|mistral|cohere|rag|vector|llm|chatbot|ai-powered""), ""AI &amp; LLM"",
  REGEXMATCH(A1357&amp;B1357, ""(?i)twitter|instagram|facebook|linkedin|youtube|tiktok|threads|bluesky|pinterest|social"&amp;" video|reels?|shorts?""), ""Social Media"",
  REGEXMATCH(A1357&amp;B1357, ""(?i)hubspot|pipedrive|stripe|shopify|woocommerce|sales|crm|invoice|order|leads?|recruitment|bamboohr|erpnext""), ""CRM &amp; Sales"",
  REGEXMATCH(A1357&amp;B1357, ""(?i)gmail|outlook|calenda"&amp;"r|slack|discord|telegram|whatsapp|notion|trello|drive|sheets?|meeting|scheduler|appointment|mattermost""), ""Productivity &amp; Communication"",
  REGEXMATCH(A1357&amp;B1357, ""(?i)github|api|webhook|http|mysql|supabase|mongodb|redis|rss|pr|code review|incident|p"&amp;"agerduty|jira""), ""Development &amp; Utilities"",
  TRUE, ""Others""
)"),"Development &amp; Utilities")</f>
        <v>Development &amp; Utilities</v>
      </c>
    </row>
    <row r="1358" ht="15.75" customHeight="1">
      <c r="A1358" s="14" t="s">
        <v>2689</v>
      </c>
      <c r="B1358" s="15" t="s">
        <v>2690</v>
      </c>
      <c r="C1358" s="16" t="s">
        <v>7</v>
      </c>
      <c r="D1358" s="12" t="str">
        <f>IFERROR(__xludf.DUMMYFUNCTION("IFS(
  REGEXMATCH(A1358&amp;B1358, ""(?i)openai|gpt|gemini|anthropic|claude|mistral|cohere|rag|vector|llm|chatbot|ai-powered""), ""AI &amp; LLM"",
  REGEXMATCH(A1358&amp;B1358, ""(?i)twitter|instagram|facebook|linkedin|youtube|tiktok|threads|bluesky|pinterest|social"&amp;" video|reels?|shorts?""), ""Social Media"",
  REGEXMATCH(A1358&amp;B1358, ""(?i)hubspot|pipedrive|stripe|shopify|woocommerce|sales|crm|invoice|order|leads?|recruitment|bamboohr|erpnext""), ""CRM &amp; Sales"",
  REGEXMATCH(A1358&amp;B1358, ""(?i)gmail|outlook|calenda"&amp;"r|slack|discord|telegram|whatsapp|notion|trello|drive|sheets?|meeting|scheduler|appointment|mattermost""), ""Productivity &amp; Communication"",
  REGEXMATCH(A1358&amp;B1358, ""(?i)github|api|webhook|http|mysql|supabase|mongodb|redis|rss|pr|code review|incident|p"&amp;"agerduty|jira""), ""Development &amp; Utilities"",
  TRUE, ""Others""
)"),"Development &amp; Utilities")</f>
        <v>Development &amp; Utilities</v>
      </c>
    </row>
    <row r="1359" ht="15.75" customHeight="1">
      <c r="A1359" s="14" t="s">
        <v>2691</v>
      </c>
      <c r="B1359" s="15" t="s">
        <v>2692</v>
      </c>
      <c r="C1359" s="16" t="s">
        <v>7</v>
      </c>
      <c r="D1359" s="12" t="str">
        <f>IFERROR(__xludf.DUMMYFUNCTION("IFS(
  REGEXMATCH(A1359&amp;B1359, ""(?i)openai|gpt|gemini|anthropic|claude|mistral|cohere|rag|vector|llm|chatbot|ai-powered""), ""AI &amp; LLM"",
  REGEXMATCH(A1359&amp;B1359, ""(?i)twitter|instagram|facebook|linkedin|youtube|tiktok|threads|bluesky|pinterest|social"&amp;" video|reels?|shorts?""), ""Social Media"",
  REGEXMATCH(A1359&amp;B1359, ""(?i)hubspot|pipedrive|stripe|shopify|woocommerce|sales|crm|invoice|order|leads?|recruitment|bamboohr|erpnext""), ""CRM &amp; Sales"",
  REGEXMATCH(A1359&amp;B1359, ""(?i)gmail|outlook|calenda"&amp;"r|slack|discord|telegram|whatsapp|notion|trello|drive|sheets?|meeting|scheduler|appointment|mattermost""), ""Productivity &amp; Communication"",
  REGEXMATCH(A1359&amp;B1359, ""(?i)github|api|webhook|http|mysql|supabase|mongodb|redis|rss|pr|code review|incident|p"&amp;"agerduty|jira""), ""Development &amp; Utilities"",
  TRUE, ""Others""
)"),"Development &amp; Utilities")</f>
        <v>Development &amp; Utilities</v>
      </c>
    </row>
    <row r="1360" ht="15.75" customHeight="1">
      <c r="A1360" s="14" t="s">
        <v>2693</v>
      </c>
      <c r="B1360" s="15" t="s">
        <v>2694</v>
      </c>
      <c r="C1360" s="16" t="s">
        <v>7</v>
      </c>
      <c r="D1360" s="12" t="str">
        <f>IFERROR(__xludf.DUMMYFUNCTION("IFS(
  REGEXMATCH(A1360&amp;B1360, ""(?i)openai|gpt|gemini|anthropic|claude|mistral|cohere|rag|vector|llm|chatbot|ai-powered""), ""AI &amp; LLM"",
  REGEXMATCH(A1360&amp;B1360, ""(?i)twitter|instagram|facebook|linkedin|youtube|tiktok|threads|bluesky|pinterest|social"&amp;" video|reels?|shorts?""), ""Social Media"",
  REGEXMATCH(A1360&amp;B1360, ""(?i)hubspot|pipedrive|stripe|shopify|woocommerce|sales|crm|invoice|order|leads?|recruitment|bamboohr|erpnext""), ""CRM &amp; Sales"",
  REGEXMATCH(A1360&amp;B1360, ""(?i)gmail|outlook|calenda"&amp;"r|slack|discord|telegram|whatsapp|notion|trello|drive|sheets?|meeting|scheduler|appointment|mattermost""), ""Productivity &amp; Communication"",
  REGEXMATCH(A1360&amp;B1360, ""(?i)github|api|webhook|http|mysql|supabase|mongodb|redis|rss|pr|code review|incident|p"&amp;"agerduty|jira""), ""Development &amp; Utilities"",
  TRUE, ""Others""
)"),"Development &amp; Utilities")</f>
        <v>Development &amp; Utilities</v>
      </c>
    </row>
    <row r="1361" ht="15.75" customHeight="1">
      <c r="A1361" s="14" t="s">
        <v>2695</v>
      </c>
      <c r="B1361" s="15" t="s">
        <v>2696</v>
      </c>
      <c r="C1361" s="16" t="s">
        <v>7</v>
      </c>
      <c r="D1361" s="12" t="str">
        <f>IFERROR(__xludf.DUMMYFUNCTION("IFS(
  REGEXMATCH(A1361&amp;B1361, ""(?i)openai|gpt|gemini|anthropic|claude|mistral|cohere|rag|vector|llm|chatbot|ai-powered""), ""AI &amp; LLM"",
  REGEXMATCH(A1361&amp;B1361, ""(?i)twitter|instagram|facebook|linkedin|youtube|tiktok|threads|bluesky|pinterest|social"&amp;" video|reels?|shorts?""), ""Social Media"",
  REGEXMATCH(A1361&amp;B1361, ""(?i)hubspot|pipedrive|stripe|shopify|woocommerce|sales|crm|invoice|order|leads?|recruitment|bamboohr|erpnext""), ""CRM &amp; Sales"",
  REGEXMATCH(A1361&amp;B1361, ""(?i)gmail|outlook|calenda"&amp;"r|slack|discord|telegram|whatsapp|notion|trello|drive|sheets?|meeting|scheduler|appointment|mattermost""), ""Productivity &amp; Communication"",
  REGEXMATCH(A1361&amp;B1361, ""(?i)github|api|webhook|http|mysql|supabase|mongodb|redis|rss|pr|code review|incident|p"&amp;"agerduty|jira""), ""Development &amp; Utilities"",
  TRUE, ""Others""
)"),"Development &amp; Utilities")</f>
        <v>Development &amp; Utilities</v>
      </c>
    </row>
    <row r="1362" ht="15.75" customHeight="1">
      <c r="A1362" s="14" t="s">
        <v>2697</v>
      </c>
      <c r="B1362" s="15" t="s">
        <v>2698</v>
      </c>
      <c r="C1362" s="16" t="s">
        <v>7</v>
      </c>
      <c r="D1362" s="12" t="str">
        <f>IFERROR(__xludf.DUMMYFUNCTION("IFS(
  REGEXMATCH(A1362&amp;B1362, ""(?i)openai|gpt|gemini|anthropic|claude|mistral|cohere|rag|vector|llm|chatbot|ai-powered""), ""AI &amp; LLM"",
  REGEXMATCH(A1362&amp;B1362, ""(?i)twitter|instagram|facebook|linkedin|youtube|tiktok|threads|bluesky|pinterest|social"&amp;" video|reels?|shorts?""), ""Social Media"",
  REGEXMATCH(A1362&amp;B1362, ""(?i)hubspot|pipedrive|stripe|shopify|woocommerce|sales|crm|invoice|order|leads?|recruitment|bamboohr|erpnext""), ""CRM &amp; Sales"",
  REGEXMATCH(A1362&amp;B1362, ""(?i)gmail|outlook|calenda"&amp;"r|slack|discord|telegram|whatsapp|notion|trello|drive|sheets?|meeting|scheduler|appointment|mattermost""), ""Productivity &amp; Communication"",
  REGEXMATCH(A1362&amp;B1362, ""(?i)github|api|webhook|http|mysql|supabase|mongodb|redis|rss|pr|code review|incident|p"&amp;"agerduty|jira""), ""Development &amp; Utilities"",
  TRUE, ""Others""
)"),"Development &amp; Utilities")</f>
        <v>Development &amp; Utilities</v>
      </c>
    </row>
    <row r="1363" ht="15.75" customHeight="1">
      <c r="A1363" s="14" t="s">
        <v>2699</v>
      </c>
      <c r="B1363" s="15" t="s">
        <v>2700</v>
      </c>
      <c r="C1363" s="16" t="s">
        <v>7</v>
      </c>
      <c r="D1363" s="12" t="str">
        <f>IFERROR(__xludf.DUMMYFUNCTION("IFS(
  REGEXMATCH(A1363&amp;B1363, ""(?i)openai|gpt|gemini|anthropic|claude|mistral|cohere|rag|vector|llm|chatbot|ai-powered""), ""AI &amp; LLM"",
  REGEXMATCH(A1363&amp;B1363, ""(?i)twitter|instagram|facebook|linkedin|youtube|tiktok|threads|bluesky|pinterest|social"&amp;" video|reels?|shorts?""), ""Social Media"",
  REGEXMATCH(A1363&amp;B1363, ""(?i)hubspot|pipedrive|stripe|shopify|woocommerce|sales|crm|invoice|order|leads?|recruitment|bamboohr|erpnext""), ""CRM &amp; Sales"",
  REGEXMATCH(A1363&amp;B1363, ""(?i)gmail|outlook|calenda"&amp;"r|slack|discord|telegram|whatsapp|notion|trello|drive|sheets?|meeting|scheduler|appointment|mattermost""), ""Productivity &amp; Communication"",
  REGEXMATCH(A1363&amp;B1363, ""(?i)github|api|webhook|http|mysql|supabase|mongodb|redis|rss|pr|code review|incident|p"&amp;"agerduty|jira""), ""Development &amp; Utilities"",
  TRUE, ""Others""
)"),"Development &amp; Utilities")</f>
        <v>Development &amp; Utilities</v>
      </c>
    </row>
    <row r="1364" ht="15.75" customHeight="1">
      <c r="A1364" s="14" t="s">
        <v>2701</v>
      </c>
      <c r="B1364" s="15" t="s">
        <v>2702</v>
      </c>
      <c r="C1364" s="16" t="s">
        <v>7</v>
      </c>
      <c r="D1364" s="12" t="str">
        <f>IFERROR(__xludf.DUMMYFUNCTION("IFS(
  REGEXMATCH(A1364&amp;B1364, ""(?i)openai|gpt|gemini|anthropic|claude|mistral|cohere|rag|vector|llm|chatbot|ai-powered""), ""AI &amp; LLM"",
  REGEXMATCH(A1364&amp;B1364, ""(?i)twitter|instagram|facebook|linkedin|youtube|tiktok|threads|bluesky|pinterest|social"&amp;" video|reels?|shorts?""), ""Social Media"",
  REGEXMATCH(A1364&amp;B1364, ""(?i)hubspot|pipedrive|stripe|shopify|woocommerce|sales|crm|invoice|order|leads?|recruitment|bamboohr|erpnext""), ""CRM &amp; Sales"",
  REGEXMATCH(A1364&amp;B1364, ""(?i)gmail|outlook|calenda"&amp;"r|slack|discord|telegram|whatsapp|notion|trello|drive|sheets?|meeting|scheduler|appointment|mattermost""), ""Productivity &amp; Communication"",
  REGEXMATCH(A1364&amp;B1364, ""(?i)github|api|webhook|http|mysql|supabase|mongodb|redis|rss|pr|code review|incident|p"&amp;"agerduty|jira""), ""Development &amp; Utilities"",
  TRUE, ""Others""
)"),"Productivity &amp; Communication")</f>
        <v>Productivity &amp; Communication</v>
      </c>
    </row>
    <row r="1365" ht="15.75" customHeight="1">
      <c r="A1365" s="14" t="s">
        <v>2703</v>
      </c>
      <c r="B1365" s="15" t="s">
        <v>2704</v>
      </c>
      <c r="C1365" s="16" t="s">
        <v>7</v>
      </c>
      <c r="D1365" s="12" t="str">
        <f>IFERROR(__xludf.DUMMYFUNCTION("IFS(
  REGEXMATCH(A1365&amp;B1365, ""(?i)openai|gpt|gemini|anthropic|claude|mistral|cohere|rag|vector|llm|chatbot|ai-powered""), ""AI &amp; LLM"",
  REGEXMATCH(A1365&amp;B1365, ""(?i)twitter|instagram|facebook|linkedin|youtube|tiktok|threads|bluesky|pinterest|social"&amp;" video|reels?|shorts?""), ""Social Media"",
  REGEXMATCH(A1365&amp;B1365, ""(?i)hubspot|pipedrive|stripe|shopify|woocommerce|sales|crm|invoice|order|leads?|recruitment|bamboohr|erpnext""), ""CRM &amp; Sales"",
  REGEXMATCH(A1365&amp;B1365, ""(?i)gmail|outlook|calenda"&amp;"r|slack|discord|telegram|whatsapp|notion|trello|drive|sheets?|meeting|scheduler|appointment|mattermost""), ""Productivity &amp; Communication"",
  REGEXMATCH(A1365&amp;B1365, ""(?i)github|api|webhook|http|mysql|supabase|mongodb|redis|rss|pr|code review|incident|p"&amp;"agerduty|jira""), ""Development &amp; Utilities"",
  TRUE, ""Others""
)"),"Development &amp; Utilities")</f>
        <v>Development &amp; Utilities</v>
      </c>
    </row>
    <row r="1366" ht="15.75" customHeight="1">
      <c r="A1366" s="14" t="s">
        <v>2705</v>
      </c>
      <c r="B1366" s="15" t="s">
        <v>2706</v>
      </c>
      <c r="C1366" s="16" t="s">
        <v>7</v>
      </c>
      <c r="D1366" s="12" t="str">
        <f>IFERROR(__xludf.DUMMYFUNCTION("IFS(
  REGEXMATCH(A1366&amp;B1366, ""(?i)openai|gpt|gemini|anthropic|claude|mistral|cohere|rag|vector|llm|chatbot|ai-powered""), ""AI &amp; LLM"",
  REGEXMATCH(A1366&amp;B1366, ""(?i)twitter|instagram|facebook|linkedin|youtube|tiktok|threads|bluesky|pinterest|social"&amp;" video|reels?|shorts?""), ""Social Media"",
  REGEXMATCH(A1366&amp;B1366, ""(?i)hubspot|pipedrive|stripe|shopify|woocommerce|sales|crm|invoice|order|leads?|recruitment|bamboohr|erpnext""), ""CRM &amp; Sales"",
  REGEXMATCH(A1366&amp;B1366, ""(?i)gmail|outlook|calenda"&amp;"r|slack|discord|telegram|whatsapp|notion|trello|drive|sheets?|meeting|scheduler|appointment|mattermost""), ""Productivity &amp; Communication"",
  REGEXMATCH(A1366&amp;B1366, ""(?i)github|api|webhook|http|mysql|supabase|mongodb|redis|rss|pr|code review|incident|p"&amp;"agerduty|jira""), ""Development &amp; Utilities"",
  TRUE, ""Others""
)"),"Productivity &amp; Communication")</f>
        <v>Productivity &amp; Communication</v>
      </c>
    </row>
    <row r="1367" ht="15.75" customHeight="1">
      <c r="A1367" s="14" t="s">
        <v>2707</v>
      </c>
      <c r="B1367" s="15" t="s">
        <v>2708</v>
      </c>
      <c r="C1367" s="16" t="s">
        <v>7</v>
      </c>
      <c r="D1367" s="12" t="str">
        <f>IFERROR(__xludf.DUMMYFUNCTION("IFS(
  REGEXMATCH(A1367&amp;B1367, ""(?i)openai|gpt|gemini|anthropic|claude|mistral|cohere|rag|vector|llm|chatbot|ai-powered""), ""AI &amp; LLM"",
  REGEXMATCH(A1367&amp;B1367, ""(?i)twitter|instagram|facebook|linkedin|youtube|tiktok|threads|bluesky|pinterest|social"&amp;" video|reels?|shorts?""), ""Social Media"",
  REGEXMATCH(A1367&amp;B1367, ""(?i)hubspot|pipedrive|stripe|shopify|woocommerce|sales|crm|invoice|order|leads?|recruitment|bamboohr|erpnext""), ""CRM &amp; Sales"",
  REGEXMATCH(A1367&amp;B1367, ""(?i)gmail|outlook|calenda"&amp;"r|slack|discord|telegram|whatsapp|notion|trello|drive|sheets?|meeting|scheduler|appointment|mattermost""), ""Productivity &amp; Communication"",
  REGEXMATCH(A1367&amp;B1367, ""(?i)github|api|webhook|http|mysql|supabase|mongodb|redis|rss|pr|code review|incident|p"&amp;"agerduty|jira""), ""Development &amp; Utilities"",
  TRUE, ""Others""
)"),"Productivity &amp; Communication")</f>
        <v>Productivity &amp; Communication</v>
      </c>
    </row>
    <row r="1368" ht="15.75" customHeight="1">
      <c r="A1368" s="14" t="s">
        <v>2709</v>
      </c>
      <c r="B1368" s="15" t="s">
        <v>2710</v>
      </c>
      <c r="C1368" s="16" t="s">
        <v>7</v>
      </c>
      <c r="D1368" s="12" t="str">
        <f>IFERROR(__xludf.DUMMYFUNCTION("IFS(
  REGEXMATCH(A1368&amp;B1368, ""(?i)openai|gpt|gemini|anthropic|claude|mistral|cohere|rag|vector|llm|chatbot|ai-powered""), ""AI &amp; LLM"",
  REGEXMATCH(A1368&amp;B1368, ""(?i)twitter|instagram|facebook|linkedin|youtube|tiktok|threads|bluesky|pinterest|social"&amp;" video|reels?|shorts?""), ""Social Media"",
  REGEXMATCH(A1368&amp;B1368, ""(?i)hubspot|pipedrive|stripe|shopify|woocommerce|sales|crm|invoice|order|leads?|recruitment|bamboohr|erpnext""), ""CRM &amp; Sales"",
  REGEXMATCH(A1368&amp;B1368, ""(?i)gmail|outlook|calenda"&amp;"r|slack|discord|telegram|whatsapp|notion|trello|drive|sheets?|meeting|scheduler|appointment|mattermost""), ""Productivity &amp; Communication"",
  REGEXMATCH(A1368&amp;B1368, ""(?i)github|api|webhook|http|mysql|supabase|mongodb|redis|rss|pr|code review|incident|p"&amp;"agerduty|jira""), ""Development &amp; Utilities"",
  TRUE, ""Others""
)"),"Development &amp; Utilities")</f>
        <v>Development &amp; Utilities</v>
      </c>
    </row>
    <row r="1369" ht="15.75" customHeight="1">
      <c r="A1369" s="14" t="s">
        <v>2711</v>
      </c>
      <c r="B1369" s="15" t="s">
        <v>2712</v>
      </c>
      <c r="C1369" s="16" t="s">
        <v>7</v>
      </c>
      <c r="D1369" s="12" t="str">
        <f>IFERROR(__xludf.DUMMYFUNCTION("IFS(
  REGEXMATCH(A1369&amp;B1369, ""(?i)openai|gpt|gemini|anthropic|claude|mistral|cohere|rag|vector|llm|chatbot|ai-powered""), ""AI &amp; LLM"",
  REGEXMATCH(A1369&amp;B1369, ""(?i)twitter|instagram|facebook|linkedin|youtube|tiktok|threads|bluesky|pinterest|social"&amp;" video|reels?|shorts?""), ""Social Media"",
  REGEXMATCH(A1369&amp;B1369, ""(?i)hubspot|pipedrive|stripe|shopify|woocommerce|sales|crm|invoice|order|leads?|recruitment|bamboohr|erpnext""), ""CRM &amp; Sales"",
  REGEXMATCH(A1369&amp;B1369, ""(?i)gmail|outlook|calenda"&amp;"r|slack|discord|telegram|whatsapp|notion|trello|drive|sheets?|meeting|scheduler|appointment|mattermost""), ""Productivity &amp; Communication"",
  REGEXMATCH(A1369&amp;B1369, ""(?i)github|api|webhook|http|mysql|supabase|mongodb|redis|rss|pr|code review|incident|p"&amp;"agerduty|jira""), ""Development &amp; Utilities"",
  TRUE, ""Others""
)"),"Productivity &amp; Communication")</f>
        <v>Productivity &amp; Communication</v>
      </c>
    </row>
    <row r="1370" ht="15.75" customHeight="1">
      <c r="A1370" s="14" t="s">
        <v>2713</v>
      </c>
      <c r="B1370" s="15" t="s">
        <v>2714</v>
      </c>
      <c r="C1370" s="16" t="s">
        <v>7</v>
      </c>
      <c r="D1370" s="12" t="str">
        <f>IFERROR(__xludf.DUMMYFUNCTION("IFS(
  REGEXMATCH(A1370&amp;B1370, ""(?i)openai|gpt|gemini|anthropic|claude|mistral|cohere|rag|vector|llm|chatbot|ai-powered""), ""AI &amp; LLM"",
  REGEXMATCH(A1370&amp;B1370, ""(?i)twitter|instagram|facebook|linkedin|youtube|tiktok|threads|bluesky|pinterest|social"&amp;" video|reels?|shorts?""), ""Social Media"",
  REGEXMATCH(A1370&amp;B1370, ""(?i)hubspot|pipedrive|stripe|shopify|woocommerce|sales|crm|invoice|order|leads?|recruitment|bamboohr|erpnext""), ""CRM &amp; Sales"",
  REGEXMATCH(A1370&amp;B1370, ""(?i)gmail|outlook|calenda"&amp;"r|slack|discord|telegram|whatsapp|notion|trello|drive|sheets?|meeting|scheduler|appointment|mattermost""), ""Productivity &amp; Communication"",
  REGEXMATCH(A1370&amp;B1370, ""(?i)github|api|webhook|http|mysql|supabase|mongodb|redis|rss|pr|code review|incident|p"&amp;"agerduty|jira""), ""Development &amp; Utilities"",
  TRUE, ""Others""
)"),"Productivity &amp; Communication")</f>
        <v>Productivity &amp; Communication</v>
      </c>
    </row>
    <row r="1371" ht="15.75" customHeight="1">
      <c r="A1371" s="14" t="s">
        <v>2715</v>
      </c>
      <c r="B1371" s="15" t="s">
        <v>2716</v>
      </c>
      <c r="C1371" s="16" t="s">
        <v>7</v>
      </c>
      <c r="D1371" s="12" t="str">
        <f>IFERROR(__xludf.DUMMYFUNCTION("IFS(
  REGEXMATCH(A1371&amp;B1371, ""(?i)openai|gpt|gemini|anthropic|claude|mistral|cohere|rag|vector|llm|chatbot|ai-powered""), ""AI &amp; LLM"",
  REGEXMATCH(A1371&amp;B1371, ""(?i)twitter|instagram|facebook|linkedin|youtube|tiktok|threads|bluesky|pinterest|social"&amp;" video|reels?|shorts?""), ""Social Media"",
  REGEXMATCH(A1371&amp;B1371, ""(?i)hubspot|pipedrive|stripe|shopify|woocommerce|sales|crm|invoice|order|leads?|recruitment|bamboohr|erpnext""), ""CRM &amp; Sales"",
  REGEXMATCH(A1371&amp;B1371, ""(?i)gmail|outlook|calenda"&amp;"r|slack|discord|telegram|whatsapp|notion|trello|drive|sheets?|meeting|scheduler|appointment|mattermost""), ""Productivity &amp; Communication"",
  REGEXMATCH(A1371&amp;B1371, ""(?i)github|api|webhook|http|mysql|supabase|mongodb|redis|rss|pr|code review|incident|p"&amp;"agerduty|jira""), ""Development &amp; Utilities"",
  TRUE, ""Others""
)"),"Development &amp; Utilities")</f>
        <v>Development &amp; Utilities</v>
      </c>
    </row>
    <row r="1372" ht="15.75" customHeight="1">
      <c r="A1372" s="14" t="s">
        <v>2717</v>
      </c>
      <c r="B1372" s="15" t="s">
        <v>2718</v>
      </c>
      <c r="C1372" s="16" t="s">
        <v>7</v>
      </c>
      <c r="D1372" s="12" t="str">
        <f>IFERROR(__xludf.DUMMYFUNCTION("IFS(
  REGEXMATCH(A1372&amp;B1372, ""(?i)openai|gpt|gemini|anthropic|claude|mistral|cohere|rag|vector|llm|chatbot|ai-powered""), ""AI &amp; LLM"",
  REGEXMATCH(A1372&amp;B1372, ""(?i)twitter|instagram|facebook|linkedin|youtube|tiktok|threads|bluesky|pinterest|social"&amp;" video|reels?|shorts?""), ""Social Media"",
  REGEXMATCH(A1372&amp;B1372, ""(?i)hubspot|pipedrive|stripe|shopify|woocommerce|sales|crm|invoice|order|leads?|recruitment|bamboohr|erpnext""), ""CRM &amp; Sales"",
  REGEXMATCH(A1372&amp;B1372, ""(?i)gmail|outlook|calenda"&amp;"r|slack|discord|telegram|whatsapp|notion|trello|drive|sheets?|meeting|scheduler|appointment|mattermost""), ""Productivity &amp; Communication"",
  REGEXMATCH(A1372&amp;B1372, ""(?i)github|api|webhook|http|mysql|supabase|mongodb|redis|rss|pr|code review|incident|p"&amp;"agerduty|jira""), ""Development &amp; Utilities"",
  TRUE, ""Others""
)"),"Productivity &amp; Communication")</f>
        <v>Productivity &amp; Communication</v>
      </c>
    </row>
    <row r="1373" ht="15.75" customHeight="1">
      <c r="A1373" s="14" t="s">
        <v>2719</v>
      </c>
      <c r="B1373" s="15" t="s">
        <v>2720</v>
      </c>
      <c r="C1373" s="16" t="s">
        <v>7</v>
      </c>
      <c r="D1373" s="12" t="str">
        <f>IFERROR(__xludf.DUMMYFUNCTION("IFS(
  REGEXMATCH(A1373&amp;B1373, ""(?i)openai|gpt|gemini|anthropic|claude|mistral|cohere|rag|vector|llm|chatbot|ai-powered""), ""AI &amp; LLM"",
  REGEXMATCH(A1373&amp;B1373, ""(?i)twitter|instagram|facebook|linkedin|youtube|tiktok|threads|bluesky|pinterest|social"&amp;" video|reels?|shorts?""), ""Social Media"",
  REGEXMATCH(A1373&amp;B1373, ""(?i)hubspot|pipedrive|stripe|shopify|woocommerce|sales|crm|invoice|order|leads?|recruitment|bamboohr|erpnext""), ""CRM &amp; Sales"",
  REGEXMATCH(A1373&amp;B1373, ""(?i)gmail|outlook|calenda"&amp;"r|slack|discord|telegram|whatsapp|notion|trello|drive|sheets?|meeting|scheduler|appointment|mattermost""), ""Productivity &amp; Communication"",
  REGEXMATCH(A1373&amp;B1373, ""(?i)github|api|webhook|http|mysql|supabase|mongodb|redis|rss|pr|code review|incident|p"&amp;"agerduty|jira""), ""Development &amp; Utilities"",
  TRUE, ""Others""
)"),"Development &amp; Utilities")</f>
        <v>Development &amp; Utilities</v>
      </c>
    </row>
    <row r="1374" ht="15.75" customHeight="1">
      <c r="A1374" s="14" t="s">
        <v>2721</v>
      </c>
      <c r="B1374" s="15" t="s">
        <v>2722</v>
      </c>
      <c r="C1374" s="16" t="s">
        <v>7</v>
      </c>
      <c r="D1374" s="12" t="str">
        <f>IFERROR(__xludf.DUMMYFUNCTION("IFS(
  REGEXMATCH(A1374&amp;B1374, ""(?i)openai|gpt|gemini|anthropic|claude|mistral|cohere|rag|vector|llm|chatbot|ai-powered""), ""AI &amp; LLM"",
  REGEXMATCH(A1374&amp;B1374, ""(?i)twitter|instagram|facebook|linkedin|youtube|tiktok|threads|bluesky|pinterest|social"&amp;" video|reels?|shorts?""), ""Social Media"",
  REGEXMATCH(A1374&amp;B1374, ""(?i)hubspot|pipedrive|stripe|shopify|woocommerce|sales|crm|invoice|order|leads?|recruitment|bamboohr|erpnext""), ""CRM &amp; Sales"",
  REGEXMATCH(A1374&amp;B1374, ""(?i)gmail|outlook|calenda"&amp;"r|slack|discord|telegram|whatsapp|notion|trello|drive|sheets?|meeting|scheduler|appointment|mattermost""), ""Productivity &amp; Communication"",
  REGEXMATCH(A1374&amp;B1374, ""(?i)github|api|webhook|http|mysql|supabase|mongodb|redis|rss|pr|code review|incident|p"&amp;"agerduty|jira""), ""Development &amp; Utilities"",
  TRUE, ""Others""
)"),"Development &amp; Utilities")</f>
        <v>Development &amp; Utilities</v>
      </c>
    </row>
    <row r="1375" ht="15.75" customHeight="1">
      <c r="A1375" s="14" t="s">
        <v>2723</v>
      </c>
      <c r="B1375" s="15" t="s">
        <v>2724</v>
      </c>
      <c r="C1375" s="16" t="s">
        <v>7</v>
      </c>
      <c r="D1375" s="12" t="str">
        <f>IFERROR(__xludf.DUMMYFUNCTION("IFS(
  REGEXMATCH(A1375&amp;B1375, ""(?i)openai|gpt|gemini|anthropic|claude|mistral|cohere|rag|vector|llm|chatbot|ai-powered""), ""AI &amp; LLM"",
  REGEXMATCH(A1375&amp;B1375, ""(?i)twitter|instagram|facebook|linkedin|youtube|tiktok|threads|bluesky|pinterest|social"&amp;" video|reels?|shorts?""), ""Social Media"",
  REGEXMATCH(A1375&amp;B1375, ""(?i)hubspot|pipedrive|stripe|shopify|woocommerce|sales|crm|invoice|order|leads?|recruitment|bamboohr|erpnext""), ""CRM &amp; Sales"",
  REGEXMATCH(A1375&amp;B1375, ""(?i)gmail|outlook|calenda"&amp;"r|slack|discord|telegram|whatsapp|notion|trello|drive|sheets?|meeting|scheduler|appointment|mattermost""), ""Productivity &amp; Communication"",
  REGEXMATCH(A1375&amp;B1375, ""(?i)github|api|webhook|http|mysql|supabase|mongodb|redis|rss|pr|code review|incident|p"&amp;"agerduty|jira""), ""Development &amp; Utilities"",
  TRUE, ""Others""
)"),"Development &amp; Utilities")</f>
        <v>Development &amp; Utilities</v>
      </c>
    </row>
    <row r="1376" ht="15.75" customHeight="1">
      <c r="A1376" s="14" t="s">
        <v>2725</v>
      </c>
      <c r="B1376" s="15" t="s">
        <v>2726</v>
      </c>
      <c r="C1376" s="16" t="s">
        <v>7</v>
      </c>
      <c r="D1376" s="12" t="str">
        <f>IFERROR(__xludf.DUMMYFUNCTION("IFS(
  REGEXMATCH(A1376&amp;B1376, ""(?i)openai|gpt|gemini|anthropic|claude|mistral|cohere|rag|vector|llm|chatbot|ai-powered""), ""AI &amp; LLM"",
  REGEXMATCH(A1376&amp;B1376, ""(?i)twitter|instagram|facebook|linkedin|youtube|tiktok|threads|bluesky|pinterest|social"&amp;" video|reels?|shorts?""), ""Social Media"",
  REGEXMATCH(A1376&amp;B1376, ""(?i)hubspot|pipedrive|stripe|shopify|woocommerce|sales|crm|invoice|order|leads?|recruitment|bamboohr|erpnext""), ""CRM &amp; Sales"",
  REGEXMATCH(A1376&amp;B1376, ""(?i)gmail|outlook|calenda"&amp;"r|slack|discord|telegram|whatsapp|notion|trello|drive|sheets?|meeting|scheduler|appointment|mattermost""), ""Productivity &amp; Communication"",
  REGEXMATCH(A1376&amp;B1376, ""(?i)github|api|webhook|http|mysql|supabase|mongodb|redis|rss|pr|code review|incident|p"&amp;"agerduty|jira""), ""Development &amp; Utilities"",
  TRUE, ""Others""
)"),"Development &amp; Utilities")</f>
        <v>Development &amp; Utilities</v>
      </c>
    </row>
    <row r="1377" ht="15.75" customHeight="1">
      <c r="A1377" s="14" t="s">
        <v>2727</v>
      </c>
      <c r="B1377" s="15" t="s">
        <v>2728</v>
      </c>
      <c r="C1377" s="16" t="s">
        <v>7</v>
      </c>
      <c r="D1377" s="12" t="str">
        <f>IFERROR(__xludf.DUMMYFUNCTION("IFS(
  REGEXMATCH(A1377&amp;B1377, ""(?i)openai|gpt|gemini|anthropic|claude|mistral|cohere|rag|vector|llm|chatbot|ai-powered""), ""AI &amp; LLM"",
  REGEXMATCH(A1377&amp;B1377, ""(?i)twitter|instagram|facebook|linkedin|youtube|tiktok|threads|bluesky|pinterest|social"&amp;" video|reels?|shorts?""), ""Social Media"",
  REGEXMATCH(A1377&amp;B1377, ""(?i)hubspot|pipedrive|stripe|shopify|woocommerce|sales|crm|invoice|order|leads?|recruitment|bamboohr|erpnext""), ""CRM &amp; Sales"",
  REGEXMATCH(A1377&amp;B1377, ""(?i)gmail|outlook|calenda"&amp;"r|slack|discord|telegram|whatsapp|notion|trello|drive|sheets?|meeting|scheduler|appointment|mattermost""), ""Productivity &amp; Communication"",
  REGEXMATCH(A1377&amp;B1377, ""(?i)github|api|webhook|http|mysql|supabase|mongodb|redis|rss|pr|code review|incident|p"&amp;"agerduty|jira""), ""Development &amp; Utilities"",
  TRUE, ""Others""
)"),"Social Media")</f>
        <v>Social Media</v>
      </c>
    </row>
    <row r="1378" ht="15.75" customHeight="1">
      <c r="A1378" s="14" t="s">
        <v>2729</v>
      </c>
      <c r="B1378" s="15" t="s">
        <v>2730</v>
      </c>
      <c r="C1378" s="16" t="s">
        <v>7</v>
      </c>
      <c r="D1378" s="12" t="str">
        <f>IFERROR(__xludf.DUMMYFUNCTION("IFS(
  REGEXMATCH(A1378&amp;B1378, ""(?i)openai|gpt|gemini|anthropic|claude|mistral|cohere|rag|vector|llm|chatbot|ai-powered""), ""AI &amp; LLM"",
  REGEXMATCH(A1378&amp;B1378, ""(?i)twitter|instagram|facebook|linkedin|youtube|tiktok|threads|bluesky|pinterest|social"&amp;" video|reels?|shorts?""), ""Social Media"",
  REGEXMATCH(A1378&amp;B1378, ""(?i)hubspot|pipedrive|stripe|shopify|woocommerce|sales|crm|invoice|order|leads?|recruitment|bamboohr|erpnext""), ""CRM &amp; Sales"",
  REGEXMATCH(A1378&amp;B1378, ""(?i)gmail|outlook|calenda"&amp;"r|slack|discord|telegram|whatsapp|notion|trello|drive|sheets?|meeting|scheduler|appointment|mattermost""), ""Productivity &amp; Communication"",
  REGEXMATCH(A1378&amp;B1378, ""(?i)github|api|webhook|http|mysql|supabase|mongodb|redis|rss|pr|code review|incident|p"&amp;"agerduty|jira""), ""Development &amp; Utilities"",
  TRUE, ""Others""
)"),"Productivity &amp; Communication")</f>
        <v>Productivity &amp; Communication</v>
      </c>
    </row>
    <row r="1379" ht="15.75" customHeight="1">
      <c r="A1379" s="14" t="s">
        <v>2731</v>
      </c>
      <c r="B1379" s="15" t="s">
        <v>2732</v>
      </c>
      <c r="C1379" s="16" t="s">
        <v>7</v>
      </c>
      <c r="D1379" s="12" t="str">
        <f>IFERROR(__xludf.DUMMYFUNCTION("IFS(
  REGEXMATCH(A1379&amp;B1379, ""(?i)openai|gpt|gemini|anthropic|claude|mistral|cohere|rag|vector|llm|chatbot|ai-powered""), ""AI &amp; LLM"",
  REGEXMATCH(A1379&amp;B1379, ""(?i)twitter|instagram|facebook|linkedin|youtube|tiktok|threads|bluesky|pinterest|social"&amp;" video|reels?|shorts?""), ""Social Media"",
  REGEXMATCH(A1379&amp;B1379, ""(?i)hubspot|pipedrive|stripe|shopify|woocommerce|sales|crm|invoice|order|leads?|recruitment|bamboohr|erpnext""), ""CRM &amp; Sales"",
  REGEXMATCH(A1379&amp;B1379, ""(?i)gmail|outlook|calenda"&amp;"r|slack|discord|telegram|whatsapp|notion|trello|drive|sheets?|meeting|scheduler|appointment|mattermost""), ""Productivity &amp; Communication"",
  REGEXMATCH(A1379&amp;B1379, ""(?i)github|api|webhook|http|mysql|supabase|mongodb|redis|rss|pr|code review|incident|p"&amp;"agerduty|jira""), ""Development &amp; Utilities"",
  TRUE, ""Others""
)"),"Development &amp; Utilities")</f>
        <v>Development &amp; Utilities</v>
      </c>
    </row>
    <row r="1380" ht="15.75" customHeight="1">
      <c r="A1380" s="14" t="s">
        <v>2733</v>
      </c>
      <c r="B1380" s="15" t="s">
        <v>2734</v>
      </c>
      <c r="C1380" s="16" t="s">
        <v>7</v>
      </c>
      <c r="D1380" s="12" t="str">
        <f>IFERROR(__xludf.DUMMYFUNCTION("IFS(
  REGEXMATCH(A1380&amp;B1380, ""(?i)openai|gpt|gemini|anthropic|claude|mistral|cohere|rag|vector|llm|chatbot|ai-powered""), ""AI &amp; LLM"",
  REGEXMATCH(A1380&amp;B1380, ""(?i)twitter|instagram|facebook|linkedin|youtube|tiktok|threads|bluesky|pinterest|social"&amp;" video|reels?|shorts?""), ""Social Media"",
  REGEXMATCH(A1380&amp;B1380, ""(?i)hubspot|pipedrive|stripe|shopify|woocommerce|sales|crm|invoice|order|leads?|recruitment|bamboohr|erpnext""), ""CRM &amp; Sales"",
  REGEXMATCH(A1380&amp;B1380, ""(?i)gmail|outlook|calenda"&amp;"r|slack|discord|telegram|whatsapp|notion|trello|drive|sheets?|meeting|scheduler|appointment|mattermost""), ""Productivity &amp; Communication"",
  REGEXMATCH(A1380&amp;B1380, ""(?i)github|api|webhook|http|mysql|supabase|mongodb|redis|rss|pr|code review|incident|p"&amp;"agerduty|jira""), ""Development &amp; Utilities"",
  TRUE, ""Others""
)"),"Development &amp; Utilities")</f>
        <v>Development &amp; Utilities</v>
      </c>
    </row>
    <row r="1381" ht="15.75" customHeight="1">
      <c r="A1381" s="14" t="s">
        <v>2735</v>
      </c>
      <c r="B1381" s="15" t="s">
        <v>2736</v>
      </c>
      <c r="C1381" s="16" t="s">
        <v>7</v>
      </c>
      <c r="D1381" s="12" t="str">
        <f>IFERROR(__xludf.DUMMYFUNCTION("IFS(
  REGEXMATCH(A1381&amp;B1381, ""(?i)openai|gpt|gemini|anthropic|claude|mistral|cohere|rag|vector|llm|chatbot|ai-powered""), ""AI &amp; LLM"",
  REGEXMATCH(A1381&amp;B1381, ""(?i)twitter|instagram|facebook|linkedin|youtube|tiktok|threads|bluesky|pinterest|social"&amp;" video|reels?|shorts?""), ""Social Media"",
  REGEXMATCH(A1381&amp;B1381, ""(?i)hubspot|pipedrive|stripe|shopify|woocommerce|sales|crm|invoice|order|leads?|recruitment|bamboohr|erpnext""), ""CRM &amp; Sales"",
  REGEXMATCH(A1381&amp;B1381, ""(?i)gmail|outlook|calenda"&amp;"r|slack|discord|telegram|whatsapp|notion|trello|drive|sheets?|meeting|scheduler|appointment|mattermost""), ""Productivity &amp; Communication"",
  REGEXMATCH(A1381&amp;B1381, ""(?i)github|api|webhook|http|mysql|supabase|mongodb|redis|rss|pr|code review|incident|p"&amp;"agerduty|jira""), ""Development &amp; Utilities"",
  TRUE, ""Others""
)"),"Development &amp; Utilities")</f>
        <v>Development &amp; Utilities</v>
      </c>
    </row>
    <row r="1382" ht="15.75" customHeight="1">
      <c r="A1382" s="14" t="s">
        <v>2737</v>
      </c>
      <c r="B1382" s="15" t="s">
        <v>2738</v>
      </c>
      <c r="C1382" s="16" t="s">
        <v>7</v>
      </c>
      <c r="D1382" s="12" t="str">
        <f>IFERROR(__xludf.DUMMYFUNCTION("IFS(
  REGEXMATCH(A1382&amp;B1382, ""(?i)openai|gpt|gemini|anthropic|claude|mistral|cohere|rag|vector|llm|chatbot|ai-powered""), ""AI &amp; LLM"",
  REGEXMATCH(A1382&amp;B1382, ""(?i)twitter|instagram|facebook|linkedin|youtube|tiktok|threads|bluesky|pinterest|social"&amp;" video|reels?|shorts?""), ""Social Media"",
  REGEXMATCH(A1382&amp;B1382, ""(?i)hubspot|pipedrive|stripe|shopify|woocommerce|sales|crm|invoice|order|leads?|recruitment|bamboohr|erpnext""), ""CRM &amp; Sales"",
  REGEXMATCH(A1382&amp;B1382, ""(?i)gmail|outlook|calenda"&amp;"r|slack|discord|telegram|whatsapp|notion|trello|drive|sheets?|meeting|scheduler|appointment|mattermost""), ""Productivity &amp; Communication"",
  REGEXMATCH(A1382&amp;B1382, ""(?i)github|api|webhook|http|mysql|supabase|mongodb|redis|rss|pr|code review|incident|p"&amp;"agerduty|jira""), ""Development &amp; Utilities"",
  TRUE, ""Others""
)"),"AI &amp; LLM")</f>
        <v>AI &amp; LLM</v>
      </c>
    </row>
    <row r="1383" ht="15.75" customHeight="1">
      <c r="A1383" s="14" t="s">
        <v>2739</v>
      </c>
      <c r="B1383" s="15" t="s">
        <v>2740</v>
      </c>
      <c r="C1383" s="16" t="s">
        <v>7</v>
      </c>
      <c r="D1383" s="12" t="str">
        <f>IFERROR(__xludf.DUMMYFUNCTION("IFS(
  REGEXMATCH(A1383&amp;B1383, ""(?i)openai|gpt|gemini|anthropic|claude|mistral|cohere|rag|vector|llm|chatbot|ai-powered""), ""AI &amp; LLM"",
  REGEXMATCH(A1383&amp;B1383, ""(?i)twitter|instagram|facebook|linkedin|youtube|tiktok|threads|bluesky|pinterest|social"&amp;" video|reels?|shorts?""), ""Social Media"",
  REGEXMATCH(A1383&amp;B1383, ""(?i)hubspot|pipedrive|stripe|shopify|woocommerce|sales|crm|invoice|order|leads?|recruitment|bamboohr|erpnext""), ""CRM &amp; Sales"",
  REGEXMATCH(A1383&amp;B1383, ""(?i)gmail|outlook|calenda"&amp;"r|slack|discord|telegram|whatsapp|notion|trello|drive|sheets?|meeting|scheduler|appointment|mattermost""), ""Productivity &amp; Communication"",
  REGEXMATCH(A1383&amp;B1383, ""(?i)github|api|webhook|http|mysql|supabase|mongodb|redis|rss|pr|code review|incident|p"&amp;"agerduty|jira""), ""Development &amp; Utilities"",
  TRUE, ""Others""
)"),"Productivity &amp; Communication")</f>
        <v>Productivity &amp; Communication</v>
      </c>
    </row>
    <row r="1384" ht="15.75" customHeight="1">
      <c r="A1384" s="14" t="s">
        <v>2741</v>
      </c>
      <c r="B1384" s="15" t="s">
        <v>2742</v>
      </c>
      <c r="C1384" s="16" t="s">
        <v>7</v>
      </c>
      <c r="D1384" s="12" t="str">
        <f>IFERROR(__xludf.DUMMYFUNCTION("IFS(
  REGEXMATCH(A1384&amp;B1384, ""(?i)openai|gpt|gemini|anthropic|claude|mistral|cohere|rag|vector|llm|chatbot|ai-powered""), ""AI &amp; LLM"",
  REGEXMATCH(A1384&amp;B1384, ""(?i)twitter|instagram|facebook|linkedin|youtube|tiktok|threads|bluesky|pinterest|social"&amp;" video|reels?|shorts?""), ""Social Media"",
  REGEXMATCH(A1384&amp;B1384, ""(?i)hubspot|pipedrive|stripe|shopify|woocommerce|sales|crm|invoice|order|leads?|recruitment|bamboohr|erpnext""), ""CRM &amp; Sales"",
  REGEXMATCH(A1384&amp;B1384, ""(?i)gmail|outlook|calenda"&amp;"r|slack|discord|telegram|whatsapp|notion|trello|drive|sheets?|meeting|scheduler|appointment|mattermost""), ""Productivity &amp; Communication"",
  REGEXMATCH(A1384&amp;B1384, ""(?i)github|api|webhook|http|mysql|supabase|mongodb|redis|rss|pr|code review|incident|p"&amp;"agerduty|jira""), ""Development &amp; Utilities"",
  TRUE, ""Others""
)"),"CRM &amp; Sales")</f>
        <v>CRM &amp; Sales</v>
      </c>
    </row>
    <row r="1385" ht="15.75" customHeight="1">
      <c r="A1385" s="14" t="s">
        <v>2743</v>
      </c>
      <c r="B1385" s="15" t="s">
        <v>2744</v>
      </c>
      <c r="C1385" s="16" t="s">
        <v>7</v>
      </c>
      <c r="D1385" s="12" t="str">
        <f>IFERROR(__xludf.DUMMYFUNCTION("IFS(
  REGEXMATCH(A1385&amp;B1385, ""(?i)openai|gpt|gemini|anthropic|claude|mistral|cohere|rag|vector|llm|chatbot|ai-powered""), ""AI &amp; LLM"",
  REGEXMATCH(A1385&amp;B1385, ""(?i)twitter|instagram|facebook|linkedin|youtube|tiktok|threads|bluesky|pinterest|social"&amp;" video|reels?|shorts?""), ""Social Media"",
  REGEXMATCH(A1385&amp;B1385, ""(?i)hubspot|pipedrive|stripe|shopify|woocommerce|sales|crm|invoice|order|leads?|recruitment|bamboohr|erpnext""), ""CRM &amp; Sales"",
  REGEXMATCH(A1385&amp;B1385, ""(?i)gmail|outlook|calenda"&amp;"r|slack|discord|telegram|whatsapp|notion|trello|drive|sheets?|meeting|scheduler|appointment|mattermost""), ""Productivity &amp; Communication"",
  REGEXMATCH(A1385&amp;B1385, ""(?i)github|api|webhook|http|mysql|supabase|mongodb|redis|rss|pr|code review|incident|p"&amp;"agerduty|jira""), ""Development &amp; Utilities"",
  TRUE, ""Others""
)"),"Productivity &amp; Communication")</f>
        <v>Productivity &amp; Communication</v>
      </c>
    </row>
    <row r="1386" ht="15.75" customHeight="1">
      <c r="A1386" s="14" t="s">
        <v>2745</v>
      </c>
      <c r="B1386" s="15" t="s">
        <v>2746</v>
      </c>
      <c r="C1386" s="16" t="s">
        <v>7</v>
      </c>
      <c r="D1386" s="12" t="str">
        <f>IFERROR(__xludf.DUMMYFUNCTION("IFS(
  REGEXMATCH(A1386&amp;B1386, ""(?i)openai|gpt|gemini|anthropic|claude|mistral|cohere|rag|vector|llm|chatbot|ai-powered""), ""AI &amp; LLM"",
  REGEXMATCH(A1386&amp;B1386, ""(?i)twitter|instagram|facebook|linkedin|youtube|tiktok|threads|bluesky|pinterest|social"&amp;" video|reels?|shorts?""), ""Social Media"",
  REGEXMATCH(A1386&amp;B1386, ""(?i)hubspot|pipedrive|stripe|shopify|woocommerce|sales|crm|invoice|order|leads?|recruitment|bamboohr|erpnext""), ""CRM &amp; Sales"",
  REGEXMATCH(A1386&amp;B1386, ""(?i)gmail|outlook|calenda"&amp;"r|slack|discord|telegram|whatsapp|notion|trello|drive|sheets?|meeting|scheduler|appointment|mattermost""), ""Productivity &amp; Communication"",
  REGEXMATCH(A1386&amp;B1386, ""(?i)github|api|webhook|http|mysql|supabase|mongodb|redis|rss|pr|code review|incident|p"&amp;"agerduty|jira""), ""Development &amp; Utilities"",
  TRUE, ""Others""
)"),"AI &amp; LLM")</f>
        <v>AI &amp; LLM</v>
      </c>
    </row>
    <row r="1387" ht="15.75" customHeight="1">
      <c r="A1387" s="14" t="s">
        <v>2747</v>
      </c>
      <c r="B1387" s="15" t="s">
        <v>2748</v>
      </c>
      <c r="C1387" s="16" t="s">
        <v>7</v>
      </c>
      <c r="D1387" s="12" t="str">
        <f>IFERROR(__xludf.DUMMYFUNCTION("IFS(
  REGEXMATCH(A1387&amp;B1387, ""(?i)openai|gpt|gemini|anthropic|claude|mistral|cohere|rag|vector|llm|chatbot|ai-powered""), ""AI &amp; LLM"",
  REGEXMATCH(A1387&amp;B1387, ""(?i)twitter|instagram|facebook|linkedin|youtube|tiktok|threads|bluesky|pinterest|social"&amp;" video|reels?|shorts?""), ""Social Media"",
  REGEXMATCH(A1387&amp;B1387, ""(?i)hubspot|pipedrive|stripe|shopify|woocommerce|sales|crm|invoice|order|leads?|recruitment|bamboohr|erpnext""), ""CRM &amp; Sales"",
  REGEXMATCH(A1387&amp;B1387, ""(?i)gmail|outlook|calenda"&amp;"r|slack|discord|telegram|whatsapp|notion|trello|drive|sheets?|meeting|scheduler|appointment|mattermost""), ""Productivity &amp; Communication"",
  REGEXMATCH(A1387&amp;B1387, ""(?i)github|api|webhook|http|mysql|supabase|mongodb|redis|rss|pr|code review|incident|p"&amp;"agerduty|jira""), ""Development &amp; Utilities"",
  TRUE, ""Others""
)"),"Social Media")</f>
        <v>Social Media</v>
      </c>
    </row>
    <row r="1388" ht="15.75" customHeight="1">
      <c r="A1388" s="14" t="s">
        <v>2749</v>
      </c>
      <c r="B1388" s="15" t="s">
        <v>2750</v>
      </c>
      <c r="C1388" s="16" t="s">
        <v>7</v>
      </c>
      <c r="D1388" s="12" t="str">
        <f>IFERROR(__xludf.DUMMYFUNCTION("IFS(
  REGEXMATCH(A1388&amp;B1388, ""(?i)openai|gpt|gemini|anthropic|claude|mistral|cohere|rag|vector|llm|chatbot|ai-powered""), ""AI &amp; LLM"",
  REGEXMATCH(A1388&amp;B1388, ""(?i)twitter|instagram|facebook|linkedin|youtube|tiktok|threads|bluesky|pinterest|social"&amp;" video|reels?|shorts?""), ""Social Media"",
  REGEXMATCH(A1388&amp;B1388, ""(?i)hubspot|pipedrive|stripe|shopify|woocommerce|sales|crm|invoice|order|leads?|recruitment|bamboohr|erpnext""), ""CRM &amp; Sales"",
  REGEXMATCH(A1388&amp;B1388, ""(?i)gmail|outlook|calenda"&amp;"r|slack|discord|telegram|whatsapp|notion|trello|drive|sheets?|meeting|scheduler|appointment|mattermost""), ""Productivity &amp; Communication"",
  REGEXMATCH(A1388&amp;B1388, ""(?i)github|api|webhook|http|mysql|supabase|mongodb|redis|rss|pr|code review|incident|p"&amp;"agerduty|jira""), ""Development &amp; Utilities"",
  TRUE, ""Others""
)"),"Development &amp; Utilities")</f>
        <v>Development &amp; Utilities</v>
      </c>
    </row>
    <row r="1389" ht="15.75" customHeight="1">
      <c r="A1389" s="14" t="s">
        <v>2751</v>
      </c>
      <c r="B1389" s="15" t="s">
        <v>2752</v>
      </c>
      <c r="C1389" s="16" t="s">
        <v>7</v>
      </c>
      <c r="D1389" s="12" t="str">
        <f>IFERROR(__xludf.DUMMYFUNCTION("IFS(
  REGEXMATCH(A1389&amp;B1389, ""(?i)openai|gpt|gemini|anthropic|claude|mistral|cohere|rag|vector|llm|chatbot|ai-powered""), ""AI &amp; LLM"",
  REGEXMATCH(A1389&amp;B1389, ""(?i)twitter|instagram|facebook|linkedin|youtube|tiktok|threads|bluesky|pinterest|social"&amp;" video|reels?|shorts?""), ""Social Media"",
  REGEXMATCH(A1389&amp;B1389, ""(?i)hubspot|pipedrive|stripe|shopify|woocommerce|sales|crm|invoice|order|leads?|recruitment|bamboohr|erpnext""), ""CRM &amp; Sales"",
  REGEXMATCH(A1389&amp;B1389, ""(?i)gmail|outlook|calenda"&amp;"r|slack|discord|telegram|whatsapp|notion|trello|drive|sheets?|meeting|scheduler|appointment|mattermost""), ""Productivity &amp; Communication"",
  REGEXMATCH(A1389&amp;B1389, ""(?i)github|api|webhook|http|mysql|supabase|mongodb|redis|rss|pr|code review|incident|p"&amp;"agerduty|jira""), ""Development &amp; Utilities"",
  TRUE, ""Others""
)"),"AI &amp; LLM")</f>
        <v>AI &amp; LLM</v>
      </c>
    </row>
    <row r="1390" ht="15.75" customHeight="1">
      <c r="A1390" s="14" t="s">
        <v>2753</v>
      </c>
      <c r="B1390" s="15" t="s">
        <v>2754</v>
      </c>
      <c r="C1390" s="16" t="s">
        <v>7</v>
      </c>
      <c r="D1390" s="12" t="str">
        <f>IFERROR(__xludf.DUMMYFUNCTION("IFS(
  REGEXMATCH(A1390&amp;B1390, ""(?i)openai|gpt|gemini|anthropic|claude|mistral|cohere|rag|vector|llm|chatbot|ai-powered""), ""AI &amp; LLM"",
  REGEXMATCH(A1390&amp;B1390, ""(?i)twitter|instagram|facebook|linkedin|youtube|tiktok|threads|bluesky|pinterest|social"&amp;" video|reels?|shorts?""), ""Social Media"",
  REGEXMATCH(A1390&amp;B1390, ""(?i)hubspot|pipedrive|stripe|shopify|woocommerce|sales|crm|invoice|order|leads?|recruitment|bamboohr|erpnext""), ""CRM &amp; Sales"",
  REGEXMATCH(A1390&amp;B1390, ""(?i)gmail|outlook|calenda"&amp;"r|slack|discord|telegram|whatsapp|notion|trello|drive|sheets?|meeting|scheduler|appointment|mattermost""), ""Productivity &amp; Communication"",
  REGEXMATCH(A1390&amp;B1390, ""(?i)github|api|webhook|http|mysql|supabase|mongodb|redis|rss|pr|code review|incident|p"&amp;"agerduty|jira""), ""Development &amp; Utilities"",
  TRUE, ""Others""
)"),"Productivity &amp; Communication")</f>
        <v>Productivity &amp; Communication</v>
      </c>
    </row>
    <row r="1391" ht="15.75" customHeight="1">
      <c r="A1391" s="14" t="s">
        <v>2755</v>
      </c>
      <c r="B1391" s="15" t="s">
        <v>2756</v>
      </c>
      <c r="C1391" s="16" t="s">
        <v>7</v>
      </c>
      <c r="D1391" s="12" t="str">
        <f>IFERROR(__xludf.DUMMYFUNCTION("IFS(
  REGEXMATCH(A1391&amp;B1391, ""(?i)openai|gpt|gemini|anthropic|claude|mistral|cohere|rag|vector|llm|chatbot|ai-powered""), ""AI &amp; LLM"",
  REGEXMATCH(A1391&amp;B1391, ""(?i)twitter|instagram|facebook|linkedin|youtube|tiktok|threads|bluesky|pinterest|social"&amp;" video|reels?|shorts?""), ""Social Media"",
  REGEXMATCH(A1391&amp;B1391, ""(?i)hubspot|pipedrive|stripe|shopify|woocommerce|sales|crm|invoice|order|leads?|recruitment|bamboohr|erpnext""), ""CRM &amp; Sales"",
  REGEXMATCH(A1391&amp;B1391, ""(?i)gmail|outlook|calenda"&amp;"r|slack|discord|telegram|whatsapp|notion|trello|drive|sheets?|meeting|scheduler|appointment|mattermost""), ""Productivity &amp; Communication"",
  REGEXMATCH(A1391&amp;B1391, ""(?i)github|api|webhook|http|mysql|supabase|mongodb|redis|rss|pr|code review|incident|p"&amp;"agerduty|jira""), ""Development &amp; Utilities"",
  TRUE, ""Others""
)"),"Development &amp; Utilities")</f>
        <v>Development &amp; Utilities</v>
      </c>
    </row>
    <row r="1392" ht="15.75" customHeight="1">
      <c r="A1392" s="14" t="s">
        <v>2757</v>
      </c>
      <c r="B1392" s="15" t="s">
        <v>2758</v>
      </c>
      <c r="C1392" s="16" t="s">
        <v>7</v>
      </c>
      <c r="D1392" s="12" t="str">
        <f>IFERROR(__xludf.DUMMYFUNCTION("IFS(
  REGEXMATCH(A1392&amp;B1392, ""(?i)openai|gpt|gemini|anthropic|claude|mistral|cohere|rag|vector|llm|chatbot|ai-powered""), ""AI &amp; LLM"",
  REGEXMATCH(A1392&amp;B1392, ""(?i)twitter|instagram|facebook|linkedin|youtube|tiktok|threads|bluesky|pinterest|social"&amp;" video|reels?|shorts?""), ""Social Media"",
  REGEXMATCH(A1392&amp;B1392, ""(?i)hubspot|pipedrive|stripe|shopify|woocommerce|sales|crm|invoice|order|leads?|recruitment|bamboohr|erpnext""), ""CRM &amp; Sales"",
  REGEXMATCH(A1392&amp;B1392, ""(?i)gmail|outlook|calenda"&amp;"r|slack|discord|telegram|whatsapp|notion|trello|drive|sheets?|meeting|scheduler|appointment|mattermost""), ""Productivity &amp; Communication"",
  REGEXMATCH(A1392&amp;B1392, ""(?i)github|api|webhook|http|mysql|supabase|mongodb|redis|rss|pr|code review|incident|p"&amp;"agerduty|jira""), ""Development &amp; Utilities"",
  TRUE, ""Others""
)"),"CRM &amp; Sales")</f>
        <v>CRM &amp; Sales</v>
      </c>
    </row>
    <row r="1393" ht="15.75" customHeight="1">
      <c r="A1393" s="14" t="s">
        <v>2759</v>
      </c>
      <c r="B1393" s="15" t="s">
        <v>2760</v>
      </c>
      <c r="C1393" s="16" t="s">
        <v>7</v>
      </c>
      <c r="D1393" s="12" t="str">
        <f>IFERROR(__xludf.DUMMYFUNCTION("IFS(
  REGEXMATCH(A1393&amp;B1393, ""(?i)openai|gpt|gemini|anthropic|claude|mistral|cohere|rag|vector|llm|chatbot|ai-powered""), ""AI &amp; LLM"",
  REGEXMATCH(A1393&amp;B1393, ""(?i)twitter|instagram|facebook|linkedin|youtube|tiktok|threads|bluesky|pinterest|social"&amp;" video|reels?|shorts?""), ""Social Media"",
  REGEXMATCH(A1393&amp;B1393, ""(?i)hubspot|pipedrive|stripe|shopify|woocommerce|sales|crm|invoice|order|leads?|recruitment|bamboohr|erpnext""), ""CRM &amp; Sales"",
  REGEXMATCH(A1393&amp;B1393, ""(?i)gmail|outlook|calenda"&amp;"r|slack|discord|telegram|whatsapp|notion|trello|drive|sheets?|meeting|scheduler|appointment|mattermost""), ""Productivity &amp; Communication"",
  REGEXMATCH(A1393&amp;B1393, ""(?i)github|api|webhook|http|mysql|supabase|mongodb|redis|rss|pr|code review|incident|p"&amp;"agerduty|jira""), ""Development &amp; Utilities"",
  TRUE, ""Others""
)"),"Development &amp; Utilities")</f>
        <v>Development &amp; Utilities</v>
      </c>
    </row>
    <row r="1394" ht="15.75" customHeight="1">
      <c r="A1394" s="14" t="s">
        <v>2761</v>
      </c>
      <c r="B1394" s="15" t="s">
        <v>2762</v>
      </c>
      <c r="C1394" s="16" t="s">
        <v>7</v>
      </c>
      <c r="D1394" s="12" t="str">
        <f>IFERROR(__xludf.DUMMYFUNCTION("IFS(
  REGEXMATCH(A1394&amp;B1394, ""(?i)openai|gpt|gemini|anthropic|claude|mistral|cohere|rag|vector|llm|chatbot|ai-powered""), ""AI &amp; LLM"",
  REGEXMATCH(A1394&amp;B1394, ""(?i)twitter|instagram|facebook|linkedin|youtube|tiktok|threads|bluesky|pinterest|social"&amp;" video|reels?|shorts?""), ""Social Media"",
  REGEXMATCH(A1394&amp;B1394, ""(?i)hubspot|pipedrive|stripe|shopify|woocommerce|sales|crm|invoice|order|leads?|recruitment|bamboohr|erpnext""), ""CRM &amp; Sales"",
  REGEXMATCH(A1394&amp;B1394, ""(?i)gmail|outlook|calenda"&amp;"r|slack|discord|telegram|whatsapp|notion|trello|drive|sheets?|meeting|scheduler|appointment|mattermost""), ""Productivity &amp; Communication"",
  REGEXMATCH(A1394&amp;B1394, ""(?i)github|api|webhook|http|mysql|supabase|mongodb|redis|rss|pr|code review|incident|p"&amp;"agerduty|jira""), ""Development &amp; Utilities"",
  TRUE, ""Others""
)"),"CRM &amp; Sales")</f>
        <v>CRM &amp; Sales</v>
      </c>
    </row>
    <row r="1395" ht="15.75" customHeight="1">
      <c r="A1395" s="14" t="s">
        <v>2763</v>
      </c>
      <c r="B1395" s="15" t="s">
        <v>2764</v>
      </c>
      <c r="C1395" s="16" t="s">
        <v>7</v>
      </c>
      <c r="D1395" s="12" t="str">
        <f>IFERROR(__xludf.DUMMYFUNCTION("IFS(
  REGEXMATCH(A1395&amp;B1395, ""(?i)openai|gpt|gemini|anthropic|claude|mistral|cohere|rag|vector|llm|chatbot|ai-powered""), ""AI &amp; LLM"",
  REGEXMATCH(A1395&amp;B1395, ""(?i)twitter|instagram|facebook|linkedin|youtube|tiktok|threads|bluesky|pinterest|social"&amp;" video|reels?|shorts?""), ""Social Media"",
  REGEXMATCH(A1395&amp;B1395, ""(?i)hubspot|pipedrive|stripe|shopify|woocommerce|sales|crm|invoice|order|leads?|recruitment|bamboohr|erpnext""), ""CRM &amp; Sales"",
  REGEXMATCH(A1395&amp;B1395, ""(?i)gmail|outlook|calenda"&amp;"r|slack|discord|telegram|whatsapp|notion|trello|drive|sheets?|meeting|scheduler|appointment|mattermost""), ""Productivity &amp; Communication"",
  REGEXMATCH(A1395&amp;B1395, ""(?i)github|api|webhook|http|mysql|supabase|mongodb|redis|rss|pr|code review|incident|p"&amp;"agerduty|jira""), ""Development &amp; Utilities"",
  TRUE, ""Others""
)"),"Productivity &amp; Communication")</f>
        <v>Productivity &amp; Communication</v>
      </c>
    </row>
    <row r="1396" ht="15.75" customHeight="1">
      <c r="A1396" s="14" t="s">
        <v>2765</v>
      </c>
      <c r="B1396" s="15" t="s">
        <v>2766</v>
      </c>
      <c r="C1396" s="16" t="s">
        <v>7</v>
      </c>
      <c r="D1396" s="12" t="str">
        <f>IFERROR(__xludf.DUMMYFUNCTION("IFS(
  REGEXMATCH(A1396&amp;B1396, ""(?i)openai|gpt|gemini|anthropic|claude|mistral|cohere|rag|vector|llm|chatbot|ai-powered""), ""AI &amp; LLM"",
  REGEXMATCH(A1396&amp;B1396, ""(?i)twitter|instagram|facebook|linkedin|youtube|tiktok|threads|bluesky|pinterest|social"&amp;" video|reels?|shorts?""), ""Social Media"",
  REGEXMATCH(A1396&amp;B1396, ""(?i)hubspot|pipedrive|stripe|shopify|woocommerce|sales|crm|invoice|order|leads?|recruitment|bamboohr|erpnext""), ""CRM &amp; Sales"",
  REGEXMATCH(A1396&amp;B1396, ""(?i)gmail|outlook|calenda"&amp;"r|slack|discord|telegram|whatsapp|notion|trello|drive|sheets?|meeting|scheduler|appointment|mattermost""), ""Productivity &amp; Communication"",
  REGEXMATCH(A1396&amp;B1396, ""(?i)github|api|webhook|http|mysql|supabase|mongodb|redis|rss|pr|code review|incident|p"&amp;"agerduty|jira""), ""Development &amp; Utilities"",
  TRUE, ""Others""
)"),"Productivity &amp; Communication")</f>
        <v>Productivity &amp; Communication</v>
      </c>
    </row>
    <row r="1397" ht="15.75" customHeight="1">
      <c r="A1397" s="14" t="s">
        <v>2767</v>
      </c>
      <c r="B1397" s="15" t="s">
        <v>2768</v>
      </c>
      <c r="C1397" s="16" t="s">
        <v>7</v>
      </c>
      <c r="D1397" s="12" t="str">
        <f>IFERROR(__xludf.DUMMYFUNCTION("IFS(
  REGEXMATCH(A1397&amp;B1397, ""(?i)openai|gpt|gemini|anthropic|claude|mistral|cohere|rag|vector|llm|chatbot|ai-powered""), ""AI &amp; LLM"",
  REGEXMATCH(A1397&amp;B1397, ""(?i)twitter|instagram|facebook|linkedin|youtube|tiktok|threads|bluesky|pinterest|social"&amp;" video|reels?|shorts?""), ""Social Media"",
  REGEXMATCH(A1397&amp;B1397, ""(?i)hubspot|pipedrive|stripe|shopify|woocommerce|sales|crm|invoice|order|leads?|recruitment|bamboohr|erpnext""), ""CRM &amp; Sales"",
  REGEXMATCH(A1397&amp;B1397, ""(?i)gmail|outlook|calenda"&amp;"r|slack|discord|telegram|whatsapp|notion|trello|drive|sheets?|meeting|scheduler|appointment|mattermost""), ""Productivity &amp; Communication"",
  REGEXMATCH(A1397&amp;B1397, ""(?i)github|api|webhook|http|mysql|supabase|mongodb|redis|rss|pr|code review|incident|p"&amp;"agerduty|jira""), ""Development &amp; Utilities"",
  TRUE, ""Others""
)"),"AI &amp; LLM")</f>
        <v>AI &amp; LLM</v>
      </c>
    </row>
    <row r="1398" ht="15.75" customHeight="1">
      <c r="A1398" s="14" t="s">
        <v>2769</v>
      </c>
      <c r="B1398" s="15" t="s">
        <v>2770</v>
      </c>
      <c r="C1398" s="16" t="s">
        <v>7</v>
      </c>
      <c r="D1398" s="12" t="str">
        <f>IFERROR(__xludf.DUMMYFUNCTION("IFS(
  REGEXMATCH(A1398&amp;B1398, ""(?i)openai|gpt|gemini|anthropic|claude|mistral|cohere|rag|vector|llm|chatbot|ai-powered""), ""AI &amp; LLM"",
  REGEXMATCH(A1398&amp;B1398, ""(?i)twitter|instagram|facebook|linkedin|youtube|tiktok|threads|bluesky|pinterest|social"&amp;" video|reels?|shorts?""), ""Social Media"",
  REGEXMATCH(A1398&amp;B1398, ""(?i)hubspot|pipedrive|stripe|shopify|woocommerce|sales|crm|invoice|order|leads?|recruitment|bamboohr|erpnext""), ""CRM &amp; Sales"",
  REGEXMATCH(A1398&amp;B1398, ""(?i)gmail|outlook|calenda"&amp;"r|slack|discord|telegram|whatsapp|notion|trello|drive|sheets?|meeting|scheduler|appointment|mattermost""), ""Productivity &amp; Communication"",
  REGEXMATCH(A1398&amp;B1398, ""(?i)github|api|webhook|http|mysql|supabase|mongodb|redis|rss|pr|code review|incident|p"&amp;"agerduty|jira""), ""Development &amp; Utilities"",
  TRUE, ""Others""
)"),"Development &amp; Utilities")</f>
        <v>Development &amp; Utilities</v>
      </c>
    </row>
    <row r="1399" ht="15.75" customHeight="1">
      <c r="A1399" s="14" t="s">
        <v>2771</v>
      </c>
      <c r="B1399" s="15" t="s">
        <v>2772</v>
      </c>
      <c r="C1399" s="16" t="s">
        <v>7</v>
      </c>
      <c r="D1399" s="12" t="str">
        <f>IFERROR(__xludf.DUMMYFUNCTION("IFS(
  REGEXMATCH(A1399&amp;B1399, ""(?i)openai|gpt|gemini|anthropic|claude|mistral|cohere|rag|vector|llm|chatbot|ai-powered""), ""AI &amp; LLM"",
  REGEXMATCH(A1399&amp;B1399, ""(?i)twitter|instagram|facebook|linkedin|youtube|tiktok|threads|bluesky|pinterest|social"&amp;" video|reels?|shorts?""), ""Social Media"",
  REGEXMATCH(A1399&amp;B1399, ""(?i)hubspot|pipedrive|stripe|shopify|woocommerce|sales|crm|invoice|order|leads?|recruitment|bamboohr|erpnext""), ""CRM &amp; Sales"",
  REGEXMATCH(A1399&amp;B1399, ""(?i)gmail|outlook|calenda"&amp;"r|slack|discord|telegram|whatsapp|notion|trello|drive|sheets?|meeting|scheduler|appointment|mattermost""), ""Productivity &amp; Communication"",
  REGEXMATCH(A1399&amp;B1399, ""(?i)github|api|webhook|http|mysql|supabase|mongodb|redis|rss|pr|code review|incident|p"&amp;"agerduty|jira""), ""Development &amp; Utilities"",
  TRUE, ""Others""
)"),"Productivity &amp; Communication")</f>
        <v>Productivity &amp; Communication</v>
      </c>
    </row>
    <row r="1400" ht="15.75" customHeight="1">
      <c r="A1400" s="14" t="s">
        <v>2773</v>
      </c>
      <c r="B1400" s="15" t="s">
        <v>2774</v>
      </c>
      <c r="C1400" s="16" t="s">
        <v>7</v>
      </c>
      <c r="D1400" s="12" t="str">
        <f>IFERROR(__xludf.DUMMYFUNCTION("IFS(
  REGEXMATCH(A1400&amp;B1400, ""(?i)openai|gpt|gemini|anthropic|claude|mistral|cohere|rag|vector|llm|chatbot|ai-powered""), ""AI &amp; LLM"",
  REGEXMATCH(A1400&amp;B1400, ""(?i)twitter|instagram|facebook|linkedin|youtube|tiktok|threads|bluesky|pinterest|social"&amp;" video|reels?|shorts?""), ""Social Media"",
  REGEXMATCH(A1400&amp;B1400, ""(?i)hubspot|pipedrive|stripe|shopify|woocommerce|sales|crm|invoice|order|leads?|recruitment|bamboohr|erpnext""), ""CRM &amp; Sales"",
  REGEXMATCH(A1400&amp;B1400, ""(?i)gmail|outlook|calenda"&amp;"r|slack|discord|telegram|whatsapp|notion|trello|drive|sheets?|meeting|scheduler|appointment|mattermost""), ""Productivity &amp; Communication"",
  REGEXMATCH(A1400&amp;B1400, ""(?i)github|api|webhook|http|mysql|supabase|mongodb|redis|rss|pr|code review|incident|p"&amp;"agerduty|jira""), ""Development &amp; Utilities"",
  TRUE, ""Others""
)"),"Productivity &amp; Communication")</f>
        <v>Productivity &amp; Communication</v>
      </c>
    </row>
    <row r="1401" ht="15.75" customHeight="1">
      <c r="A1401" s="14" t="s">
        <v>2775</v>
      </c>
      <c r="B1401" s="15" t="s">
        <v>2776</v>
      </c>
      <c r="C1401" s="16" t="s">
        <v>7</v>
      </c>
      <c r="D1401" s="12" t="str">
        <f>IFERROR(__xludf.DUMMYFUNCTION("IFS(
  REGEXMATCH(A1401&amp;B1401, ""(?i)openai|gpt|gemini|anthropic|claude|mistral|cohere|rag|vector|llm|chatbot|ai-powered""), ""AI &amp; LLM"",
  REGEXMATCH(A1401&amp;B1401, ""(?i)twitter|instagram|facebook|linkedin|youtube|tiktok|threads|bluesky|pinterest|social"&amp;" video|reels?|shorts?""), ""Social Media"",
  REGEXMATCH(A1401&amp;B1401, ""(?i)hubspot|pipedrive|stripe|shopify|woocommerce|sales|crm|invoice|order|leads?|recruitment|bamboohr|erpnext""), ""CRM &amp; Sales"",
  REGEXMATCH(A1401&amp;B1401, ""(?i)gmail|outlook|calenda"&amp;"r|slack|discord|telegram|whatsapp|notion|trello|drive|sheets?|meeting|scheduler|appointment|mattermost""), ""Productivity &amp; Communication"",
  REGEXMATCH(A1401&amp;B1401, ""(?i)github|api|webhook|http|mysql|supabase|mongodb|redis|rss|pr|code review|incident|p"&amp;"agerduty|jira""), ""Development &amp; Utilities"",
  TRUE, ""Others""
)"),"Productivity &amp; Communication")</f>
        <v>Productivity &amp; Communication</v>
      </c>
    </row>
    <row r="1402" ht="15.75" customHeight="1">
      <c r="A1402" s="14" t="s">
        <v>2777</v>
      </c>
      <c r="B1402" s="15" t="s">
        <v>2778</v>
      </c>
      <c r="C1402" s="16" t="s">
        <v>7</v>
      </c>
      <c r="D1402" s="12" t="str">
        <f>IFERROR(__xludf.DUMMYFUNCTION("IFS(
  REGEXMATCH(A1402&amp;B1402, ""(?i)openai|gpt|gemini|anthropic|claude|mistral|cohere|rag|vector|llm|chatbot|ai-powered""), ""AI &amp; LLM"",
  REGEXMATCH(A1402&amp;B1402, ""(?i)twitter|instagram|facebook|linkedin|youtube|tiktok|threads|bluesky|pinterest|social"&amp;" video|reels?|shorts?""), ""Social Media"",
  REGEXMATCH(A1402&amp;B1402, ""(?i)hubspot|pipedrive|stripe|shopify|woocommerce|sales|crm|invoice|order|leads?|recruitment|bamboohr|erpnext""), ""CRM &amp; Sales"",
  REGEXMATCH(A1402&amp;B1402, ""(?i)gmail|outlook|calenda"&amp;"r|slack|discord|telegram|whatsapp|notion|trello|drive|sheets?|meeting|scheduler|appointment|mattermost""), ""Productivity &amp; Communication"",
  REGEXMATCH(A1402&amp;B1402, ""(?i)github|api|webhook|http|mysql|supabase|mongodb|redis|rss|pr|code review|incident|p"&amp;"agerduty|jira""), ""Development &amp; Utilities"",
  TRUE, ""Others""
)"),"Development &amp; Utilities")</f>
        <v>Development &amp; Utilities</v>
      </c>
    </row>
    <row r="1403" ht="15.75" customHeight="1">
      <c r="A1403" s="14" t="s">
        <v>2779</v>
      </c>
      <c r="B1403" s="15" t="s">
        <v>2780</v>
      </c>
      <c r="C1403" s="16" t="s">
        <v>7</v>
      </c>
      <c r="D1403" s="12" t="str">
        <f>IFERROR(__xludf.DUMMYFUNCTION("IFS(
  REGEXMATCH(A1403&amp;B1403, ""(?i)openai|gpt|gemini|anthropic|claude|mistral|cohere|rag|vector|llm|chatbot|ai-powered""), ""AI &amp; LLM"",
  REGEXMATCH(A1403&amp;B1403, ""(?i)twitter|instagram|facebook|linkedin|youtube|tiktok|threads|bluesky|pinterest|social"&amp;" video|reels?|shorts?""), ""Social Media"",
  REGEXMATCH(A1403&amp;B1403, ""(?i)hubspot|pipedrive|stripe|shopify|woocommerce|sales|crm|invoice|order|leads?|recruitment|bamboohr|erpnext""), ""CRM &amp; Sales"",
  REGEXMATCH(A1403&amp;B1403, ""(?i)gmail|outlook|calenda"&amp;"r|slack|discord|telegram|whatsapp|notion|trello|drive|sheets?|meeting|scheduler|appointment|mattermost""), ""Productivity &amp; Communication"",
  REGEXMATCH(A1403&amp;B1403, ""(?i)github|api|webhook|http|mysql|supabase|mongodb|redis|rss|pr|code review|incident|p"&amp;"agerduty|jira""), ""Development &amp; Utilities"",
  TRUE, ""Others""
)"),"Development &amp; Utilities")</f>
        <v>Development &amp; Utilities</v>
      </c>
    </row>
    <row r="1404" ht="15.75" customHeight="1">
      <c r="A1404" s="14" t="s">
        <v>2781</v>
      </c>
      <c r="B1404" s="15" t="s">
        <v>2782</v>
      </c>
      <c r="C1404" s="16" t="s">
        <v>7</v>
      </c>
      <c r="D1404" s="12" t="str">
        <f>IFERROR(__xludf.DUMMYFUNCTION("IFS(
  REGEXMATCH(A1404&amp;B1404, ""(?i)openai|gpt|gemini|anthropic|claude|mistral|cohere|rag|vector|llm|chatbot|ai-powered""), ""AI &amp; LLM"",
  REGEXMATCH(A1404&amp;B1404, ""(?i)twitter|instagram|facebook|linkedin|youtube|tiktok|threads|bluesky|pinterest|social"&amp;" video|reels?|shorts?""), ""Social Media"",
  REGEXMATCH(A1404&amp;B1404, ""(?i)hubspot|pipedrive|stripe|shopify|woocommerce|sales|crm|invoice|order|leads?|recruitment|bamboohr|erpnext""), ""CRM &amp; Sales"",
  REGEXMATCH(A1404&amp;B1404, ""(?i)gmail|outlook|calenda"&amp;"r|slack|discord|telegram|whatsapp|notion|trello|drive|sheets?|meeting|scheduler|appointment|mattermost""), ""Productivity &amp; Communication"",
  REGEXMATCH(A1404&amp;B1404, ""(?i)github|api|webhook|http|mysql|supabase|mongodb|redis|rss|pr|code review|incident|p"&amp;"agerduty|jira""), ""Development &amp; Utilities"",
  TRUE, ""Others""
)"),"Development &amp; Utilities")</f>
        <v>Development &amp; Utilities</v>
      </c>
    </row>
    <row r="1405" ht="15.75" customHeight="1">
      <c r="A1405" s="14" t="s">
        <v>2783</v>
      </c>
      <c r="B1405" s="15" t="s">
        <v>2784</v>
      </c>
      <c r="C1405" s="16" t="s">
        <v>7</v>
      </c>
      <c r="D1405" s="12" t="str">
        <f>IFERROR(__xludf.DUMMYFUNCTION("IFS(
  REGEXMATCH(A1405&amp;B1405, ""(?i)openai|gpt|gemini|anthropic|claude|mistral|cohere|rag|vector|llm|chatbot|ai-powered""), ""AI &amp; LLM"",
  REGEXMATCH(A1405&amp;B1405, ""(?i)twitter|instagram|facebook|linkedin|youtube|tiktok|threads|bluesky|pinterest|social"&amp;" video|reels?|shorts?""), ""Social Media"",
  REGEXMATCH(A1405&amp;B1405, ""(?i)hubspot|pipedrive|stripe|shopify|woocommerce|sales|crm|invoice|order|leads?|recruitment|bamboohr|erpnext""), ""CRM &amp; Sales"",
  REGEXMATCH(A1405&amp;B1405, ""(?i)gmail|outlook|calenda"&amp;"r|slack|discord|telegram|whatsapp|notion|trello|drive|sheets?|meeting|scheduler|appointment|mattermost""), ""Productivity &amp; Communication"",
  REGEXMATCH(A1405&amp;B1405, ""(?i)github|api|webhook|http|mysql|supabase|mongodb|redis|rss|pr|code review|incident|p"&amp;"agerduty|jira""), ""Development &amp; Utilities"",
  TRUE, ""Others""
)"),"Development &amp; Utilities")</f>
        <v>Development &amp; Utilities</v>
      </c>
    </row>
    <row r="1406" ht="15.75" customHeight="1">
      <c r="A1406" s="14" t="s">
        <v>2785</v>
      </c>
      <c r="B1406" s="15" t="s">
        <v>2786</v>
      </c>
      <c r="C1406" s="16" t="s">
        <v>7</v>
      </c>
      <c r="D1406" s="12" t="str">
        <f>IFERROR(__xludf.DUMMYFUNCTION("IFS(
  REGEXMATCH(A1406&amp;B1406, ""(?i)openai|gpt|gemini|anthropic|claude|mistral|cohere|rag|vector|llm|chatbot|ai-powered""), ""AI &amp; LLM"",
  REGEXMATCH(A1406&amp;B1406, ""(?i)twitter|instagram|facebook|linkedin|youtube|tiktok|threads|bluesky|pinterest|social"&amp;" video|reels?|shorts?""), ""Social Media"",
  REGEXMATCH(A1406&amp;B1406, ""(?i)hubspot|pipedrive|stripe|shopify|woocommerce|sales|crm|invoice|order|leads?|recruitment|bamboohr|erpnext""), ""CRM &amp; Sales"",
  REGEXMATCH(A1406&amp;B1406, ""(?i)gmail|outlook|calenda"&amp;"r|slack|discord|telegram|whatsapp|notion|trello|drive|sheets?|meeting|scheduler|appointment|mattermost""), ""Productivity &amp; Communication"",
  REGEXMATCH(A1406&amp;B1406, ""(?i)github|api|webhook|http|mysql|supabase|mongodb|redis|rss|pr|code review|incident|p"&amp;"agerduty|jira""), ""Development &amp; Utilities"",
  TRUE, ""Others""
)"),"Development &amp; Utilities")</f>
        <v>Development &amp; Utilities</v>
      </c>
    </row>
    <row r="1407" ht="15.75" customHeight="1">
      <c r="A1407" s="14" t="s">
        <v>2787</v>
      </c>
      <c r="B1407" s="15" t="s">
        <v>2788</v>
      </c>
      <c r="C1407" s="16" t="s">
        <v>7</v>
      </c>
      <c r="D1407" s="12" t="str">
        <f>IFERROR(__xludf.DUMMYFUNCTION("IFS(
  REGEXMATCH(A1407&amp;B1407, ""(?i)openai|gpt|gemini|anthropic|claude|mistral|cohere|rag|vector|llm|chatbot|ai-powered""), ""AI &amp; LLM"",
  REGEXMATCH(A1407&amp;B1407, ""(?i)twitter|instagram|facebook|linkedin|youtube|tiktok|threads|bluesky|pinterest|social"&amp;" video|reels?|shorts?""), ""Social Media"",
  REGEXMATCH(A1407&amp;B1407, ""(?i)hubspot|pipedrive|stripe|shopify|woocommerce|sales|crm|invoice|order|leads?|recruitment|bamboohr|erpnext""), ""CRM &amp; Sales"",
  REGEXMATCH(A1407&amp;B1407, ""(?i)gmail|outlook|calenda"&amp;"r|slack|discord|telegram|whatsapp|notion|trello|drive|sheets?|meeting|scheduler|appointment|mattermost""), ""Productivity &amp; Communication"",
  REGEXMATCH(A1407&amp;B1407, ""(?i)github|api|webhook|http|mysql|supabase|mongodb|redis|rss|pr|code review|incident|p"&amp;"agerduty|jira""), ""Development &amp; Utilities"",
  TRUE, ""Others""
)"),"Development &amp; Utilities")</f>
        <v>Development &amp; Utilities</v>
      </c>
    </row>
    <row r="1408" ht="15.75" customHeight="1">
      <c r="A1408" s="14" t="s">
        <v>2789</v>
      </c>
      <c r="B1408" s="15" t="s">
        <v>2790</v>
      </c>
      <c r="C1408" s="16" t="s">
        <v>7</v>
      </c>
      <c r="D1408" s="12" t="str">
        <f>IFERROR(__xludf.DUMMYFUNCTION("IFS(
  REGEXMATCH(A1408&amp;B1408, ""(?i)openai|gpt|gemini|anthropic|claude|mistral|cohere|rag|vector|llm|chatbot|ai-powered""), ""AI &amp; LLM"",
  REGEXMATCH(A1408&amp;B1408, ""(?i)twitter|instagram|facebook|linkedin|youtube|tiktok|threads|bluesky|pinterest|social"&amp;" video|reels?|shorts?""), ""Social Media"",
  REGEXMATCH(A1408&amp;B1408, ""(?i)hubspot|pipedrive|stripe|shopify|woocommerce|sales|crm|invoice|order|leads?|recruitment|bamboohr|erpnext""), ""CRM &amp; Sales"",
  REGEXMATCH(A1408&amp;B1408, ""(?i)gmail|outlook|calenda"&amp;"r|slack|discord|telegram|whatsapp|notion|trello|drive|sheets?|meeting|scheduler|appointment|mattermost""), ""Productivity &amp; Communication"",
  REGEXMATCH(A1408&amp;B1408, ""(?i)github|api|webhook|http|mysql|supabase|mongodb|redis|rss|pr|code review|incident|p"&amp;"agerduty|jira""), ""Development &amp; Utilities"",
  TRUE, ""Others""
)"),"Social Media")</f>
        <v>Social Media</v>
      </c>
    </row>
    <row r="1409" ht="15.75" customHeight="1">
      <c r="A1409" s="14" t="s">
        <v>2791</v>
      </c>
      <c r="B1409" s="15" t="s">
        <v>2792</v>
      </c>
      <c r="C1409" s="16" t="s">
        <v>7</v>
      </c>
      <c r="D1409" s="12" t="str">
        <f>IFERROR(__xludf.DUMMYFUNCTION("IFS(
  REGEXMATCH(A1409&amp;B1409, ""(?i)openai|gpt|gemini|anthropic|claude|mistral|cohere|rag|vector|llm|chatbot|ai-powered""), ""AI &amp; LLM"",
  REGEXMATCH(A1409&amp;B1409, ""(?i)twitter|instagram|facebook|linkedin|youtube|tiktok|threads|bluesky|pinterest|social"&amp;" video|reels?|shorts?""), ""Social Media"",
  REGEXMATCH(A1409&amp;B1409, ""(?i)hubspot|pipedrive|stripe|shopify|woocommerce|sales|crm|invoice|order|leads?|recruitment|bamboohr|erpnext""), ""CRM &amp; Sales"",
  REGEXMATCH(A1409&amp;B1409, ""(?i)gmail|outlook|calenda"&amp;"r|slack|discord|telegram|whatsapp|notion|trello|drive|sheets?|meeting|scheduler|appointment|mattermost""), ""Productivity &amp; Communication"",
  REGEXMATCH(A1409&amp;B1409, ""(?i)github|api|webhook|http|mysql|supabase|mongodb|redis|rss|pr|code review|incident|p"&amp;"agerduty|jira""), ""Development &amp; Utilities"",
  TRUE, ""Others""
)"),"Development &amp; Utilities")</f>
        <v>Development &amp; Utilities</v>
      </c>
    </row>
    <row r="1410" ht="15.75" customHeight="1">
      <c r="A1410" s="14" t="s">
        <v>2793</v>
      </c>
      <c r="B1410" s="15" t="s">
        <v>2794</v>
      </c>
      <c r="C1410" s="16" t="s">
        <v>7</v>
      </c>
      <c r="D1410" s="12" t="str">
        <f>IFERROR(__xludf.DUMMYFUNCTION("IFS(
  REGEXMATCH(A1410&amp;B1410, ""(?i)openai|gpt|gemini|anthropic|claude|mistral|cohere|rag|vector|llm|chatbot|ai-powered""), ""AI &amp; LLM"",
  REGEXMATCH(A1410&amp;B1410, ""(?i)twitter|instagram|facebook|linkedin|youtube|tiktok|threads|bluesky|pinterest|social"&amp;" video|reels?|shorts?""), ""Social Media"",
  REGEXMATCH(A1410&amp;B1410, ""(?i)hubspot|pipedrive|stripe|shopify|woocommerce|sales|crm|invoice|order|leads?|recruitment|bamboohr|erpnext""), ""CRM &amp; Sales"",
  REGEXMATCH(A1410&amp;B1410, ""(?i)gmail|outlook|calenda"&amp;"r|slack|discord|telegram|whatsapp|notion|trello|drive|sheets?|meeting|scheduler|appointment|mattermost""), ""Productivity &amp; Communication"",
  REGEXMATCH(A1410&amp;B1410, ""(?i)github|api|webhook|http|mysql|supabase|mongodb|redis|rss|pr|code review|incident|p"&amp;"agerduty|jira""), ""Development &amp; Utilities"",
  TRUE, ""Others""
)"),"Development &amp; Utilities")</f>
        <v>Development &amp; Utilities</v>
      </c>
    </row>
    <row r="1411" ht="15.75" customHeight="1">
      <c r="A1411" s="14" t="s">
        <v>2795</v>
      </c>
      <c r="B1411" s="15" t="s">
        <v>2796</v>
      </c>
      <c r="C1411" s="16" t="s">
        <v>7</v>
      </c>
      <c r="D1411" s="12" t="str">
        <f>IFERROR(__xludf.DUMMYFUNCTION("IFS(
  REGEXMATCH(A1411&amp;B1411, ""(?i)openai|gpt|gemini|anthropic|claude|mistral|cohere|rag|vector|llm|chatbot|ai-powered""), ""AI &amp; LLM"",
  REGEXMATCH(A1411&amp;B1411, ""(?i)twitter|instagram|facebook|linkedin|youtube|tiktok|threads|bluesky|pinterest|social"&amp;" video|reels?|shorts?""), ""Social Media"",
  REGEXMATCH(A1411&amp;B1411, ""(?i)hubspot|pipedrive|stripe|shopify|woocommerce|sales|crm|invoice|order|leads?|recruitment|bamboohr|erpnext""), ""CRM &amp; Sales"",
  REGEXMATCH(A1411&amp;B1411, ""(?i)gmail|outlook|calenda"&amp;"r|slack|discord|telegram|whatsapp|notion|trello|drive|sheets?|meeting|scheduler|appointment|mattermost""), ""Productivity &amp; Communication"",
  REGEXMATCH(A1411&amp;B1411, ""(?i)github|api|webhook|http|mysql|supabase|mongodb|redis|rss|pr|code review|incident|p"&amp;"agerduty|jira""), ""Development &amp; Utilities"",
  TRUE, ""Others""
)"),"Development &amp; Utilities")</f>
        <v>Development &amp; Utilities</v>
      </c>
    </row>
    <row r="1412" ht="15.75" customHeight="1">
      <c r="A1412" s="14" t="s">
        <v>2797</v>
      </c>
      <c r="B1412" s="15" t="s">
        <v>2798</v>
      </c>
      <c r="C1412" s="16" t="s">
        <v>7</v>
      </c>
      <c r="D1412" s="12" t="str">
        <f>IFERROR(__xludf.DUMMYFUNCTION("IFS(
  REGEXMATCH(A1412&amp;B1412, ""(?i)openai|gpt|gemini|anthropic|claude|mistral|cohere|rag|vector|llm|chatbot|ai-powered""), ""AI &amp; LLM"",
  REGEXMATCH(A1412&amp;B1412, ""(?i)twitter|instagram|facebook|linkedin|youtube|tiktok|threads|bluesky|pinterest|social"&amp;" video|reels?|shorts?""), ""Social Media"",
  REGEXMATCH(A1412&amp;B1412, ""(?i)hubspot|pipedrive|stripe|shopify|woocommerce|sales|crm|invoice|order|leads?|recruitment|bamboohr|erpnext""), ""CRM &amp; Sales"",
  REGEXMATCH(A1412&amp;B1412, ""(?i)gmail|outlook|calenda"&amp;"r|slack|discord|telegram|whatsapp|notion|trello|drive|sheets?|meeting|scheduler|appointment|mattermost""), ""Productivity &amp; Communication"",
  REGEXMATCH(A1412&amp;B1412, ""(?i)github|api|webhook|http|mysql|supabase|mongodb|redis|rss|pr|code review|incident|p"&amp;"agerduty|jira""), ""Development &amp; Utilities"",
  TRUE, ""Others""
)"),"Development &amp; Utilities")</f>
        <v>Development &amp; Utilities</v>
      </c>
    </row>
    <row r="1413" ht="15.75" customHeight="1">
      <c r="A1413" s="14" t="s">
        <v>2799</v>
      </c>
      <c r="B1413" s="15" t="s">
        <v>2800</v>
      </c>
      <c r="C1413" s="16" t="s">
        <v>7</v>
      </c>
      <c r="D1413" s="12" t="str">
        <f>IFERROR(__xludf.DUMMYFUNCTION("IFS(
  REGEXMATCH(A1413&amp;B1413, ""(?i)openai|gpt|gemini|anthropic|claude|mistral|cohere|rag|vector|llm|chatbot|ai-powered""), ""AI &amp; LLM"",
  REGEXMATCH(A1413&amp;B1413, ""(?i)twitter|instagram|facebook|linkedin|youtube|tiktok|threads|bluesky|pinterest|social"&amp;" video|reels?|shorts?""), ""Social Media"",
  REGEXMATCH(A1413&amp;B1413, ""(?i)hubspot|pipedrive|stripe|shopify|woocommerce|sales|crm|invoice|order|leads?|recruitment|bamboohr|erpnext""), ""CRM &amp; Sales"",
  REGEXMATCH(A1413&amp;B1413, ""(?i)gmail|outlook|calenda"&amp;"r|slack|discord|telegram|whatsapp|notion|trello|drive|sheets?|meeting|scheduler|appointment|mattermost""), ""Productivity &amp; Communication"",
  REGEXMATCH(A1413&amp;B1413, ""(?i)github|api|webhook|http|mysql|supabase|mongodb|redis|rss|pr|code review|incident|p"&amp;"agerduty|jira""), ""Development &amp; Utilities"",
  TRUE, ""Others""
)"),"Productivity &amp; Communication")</f>
        <v>Productivity &amp; Communication</v>
      </c>
    </row>
    <row r="1414" ht="15.75" customHeight="1">
      <c r="A1414" s="14" t="s">
        <v>2801</v>
      </c>
      <c r="B1414" s="15" t="s">
        <v>2802</v>
      </c>
      <c r="C1414" s="16" t="s">
        <v>7</v>
      </c>
      <c r="D1414" s="12" t="str">
        <f>IFERROR(__xludf.DUMMYFUNCTION("IFS(
  REGEXMATCH(A1414&amp;B1414, ""(?i)openai|gpt|gemini|anthropic|claude|mistral|cohere|rag|vector|llm|chatbot|ai-powered""), ""AI &amp; LLM"",
  REGEXMATCH(A1414&amp;B1414, ""(?i)twitter|instagram|facebook|linkedin|youtube|tiktok|threads|bluesky|pinterest|social"&amp;" video|reels?|shorts?""), ""Social Media"",
  REGEXMATCH(A1414&amp;B1414, ""(?i)hubspot|pipedrive|stripe|shopify|woocommerce|sales|crm|invoice|order|leads?|recruitment|bamboohr|erpnext""), ""CRM &amp; Sales"",
  REGEXMATCH(A1414&amp;B1414, ""(?i)gmail|outlook|calenda"&amp;"r|slack|discord|telegram|whatsapp|notion|trello|drive|sheets?|meeting|scheduler|appointment|mattermost""), ""Productivity &amp; Communication"",
  REGEXMATCH(A1414&amp;B1414, ""(?i)github|api|webhook|http|mysql|supabase|mongodb|redis|rss|pr|code review|incident|p"&amp;"agerduty|jira""), ""Development &amp; Utilities"",
  TRUE, ""Others""
)"),"Productivity &amp; Communication")</f>
        <v>Productivity &amp; Communication</v>
      </c>
    </row>
    <row r="1415" ht="15.75" customHeight="1">
      <c r="A1415" s="14" t="s">
        <v>2803</v>
      </c>
      <c r="B1415" s="15" t="s">
        <v>2804</v>
      </c>
      <c r="C1415" s="16" t="s">
        <v>7</v>
      </c>
      <c r="D1415" s="12" t="str">
        <f>IFERROR(__xludf.DUMMYFUNCTION("IFS(
  REGEXMATCH(A1415&amp;B1415, ""(?i)openai|gpt|gemini|anthropic|claude|mistral|cohere|rag|vector|llm|chatbot|ai-powered""), ""AI &amp; LLM"",
  REGEXMATCH(A1415&amp;B1415, ""(?i)twitter|instagram|facebook|linkedin|youtube|tiktok|threads|bluesky|pinterest|social"&amp;" video|reels?|shorts?""), ""Social Media"",
  REGEXMATCH(A1415&amp;B1415, ""(?i)hubspot|pipedrive|stripe|shopify|woocommerce|sales|crm|invoice|order|leads?|recruitment|bamboohr|erpnext""), ""CRM &amp; Sales"",
  REGEXMATCH(A1415&amp;B1415, ""(?i)gmail|outlook|calenda"&amp;"r|slack|discord|telegram|whatsapp|notion|trello|drive|sheets?|meeting|scheduler|appointment|mattermost""), ""Productivity &amp; Communication"",
  REGEXMATCH(A1415&amp;B1415, ""(?i)github|api|webhook|http|mysql|supabase|mongodb|redis|rss|pr|code review|incident|p"&amp;"agerduty|jira""), ""Development &amp; Utilities"",
  TRUE, ""Others""
)"),"Development &amp; Utilities")</f>
        <v>Development &amp; Utilities</v>
      </c>
    </row>
    <row r="1416" ht="15.75" customHeight="1">
      <c r="A1416" s="14" t="s">
        <v>2805</v>
      </c>
      <c r="B1416" s="15" t="s">
        <v>2806</v>
      </c>
      <c r="C1416" s="16" t="s">
        <v>7</v>
      </c>
      <c r="D1416" s="12" t="str">
        <f>IFERROR(__xludf.DUMMYFUNCTION("IFS(
  REGEXMATCH(A1416&amp;B1416, ""(?i)openai|gpt|gemini|anthropic|claude|mistral|cohere|rag|vector|llm|chatbot|ai-powered""), ""AI &amp; LLM"",
  REGEXMATCH(A1416&amp;B1416, ""(?i)twitter|instagram|facebook|linkedin|youtube|tiktok|threads|bluesky|pinterest|social"&amp;" video|reels?|shorts?""), ""Social Media"",
  REGEXMATCH(A1416&amp;B1416, ""(?i)hubspot|pipedrive|stripe|shopify|woocommerce|sales|crm|invoice|order|leads?|recruitment|bamboohr|erpnext""), ""CRM &amp; Sales"",
  REGEXMATCH(A1416&amp;B1416, ""(?i)gmail|outlook|calenda"&amp;"r|slack|discord|telegram|whatsapp|notion|trello|drive|sheets?|meeting|scheduler|appointment|mattermost""), ""Productivity &amp; Communication"",
  REGEXMATCH(A1416&amp;B1416, ""(?i)github|api|webhook|http|mysql|supabase|mongodb|redis|rss|pr|code review|incident|p"&amp;"agerduty|jira""), ""Development &amp; Utilities"",
  TRUE, ""Others""
)"),"Productivity &amp; Communication")</f>
        <v>Productivity &amp; Communication</v>
      </c>
    </row>
    <row r="1417" ht="15.75" customHeight="1">
      <c r="A1417" s="14" t="s">
        <v>2807</v>
      </c>
      <c r="B1417" s="15" t="s">
        <v>2808</v>
      </c>
      <c r="C1417" s="16" t="s">
        <v>7</v>
      </c>
      <c r="D1417" s="12" t="str">
        <f>IFERROR(__xludf.DUMMYFUNCTION("IFS(
  REGEXMATCH(A1417&amp;B1417, ""(?i)openai|gpt|gemini|anthropic|claude|mistral|cohere|rag|vector|llm|chatbot|ai-powered""), ""AI &amp; LLM"",
  REGEXMATCH(A1417&amp;B1417, ""(?i)twitter|instagram|facebook|linkedin|youtube|tiktok|threads|bluesky|pinterest|social"&amp;" video|reels?|shorts?""), ""Social Media"",
  REGEXMATCH(A1417&amp;B1417, ""(?i)hubspot|pipedrive|stripe|shopify|woocommerce|sales|crm|invoice|order|leads?|recruitment|bamboohr|erpnext""), ""CRM &amp; Sales"",
  REGEXMATCH(A1417&amp;B1417, ""(?i)gmail|outlook|calenda"&amp;"r|slack|discord|telegram|whatsapp|notion|trello|drive|sheets?|meeting|scheduler|appointment|mattermost""), ""Productivity &amp; Communication"",
  REGEXMATCH(A1417&amp;B1417, ""(?i)github|api|webhook|http|mysql|supabase|mongodb|redis|rss|pr|code review|incident|p"&amp;"agerduty|jira""), ""Development &amp; Utilities"",
  TRUE, ""Others""
)"),"Development &amp; Utilities")</f>
        <v>Development &amp; Utilities</v>
      </c>
    </row>
    <row r="1418" ht="15.75" customHeight="1">
      <c r="A1418" s="14" t="s">
        <v>2809</v>
      </c>
      <c r="B1418" s="15" t="s">
        <v>2810</v>
      </c>
      <c r="C1418" s="16" t="s">
        <v>7</v>
      </c>
      <c r="D1418" s="12" t="str">
        <f>IFERROR(__xludf.DUMMYFUNCTION("IFS(
  REGEXMATCH(A1418&amp;B1418, ""(?i)openai|gpt|gemini|anthropic|claude|mistral|cohere|rag|vector|llm|chatbot|ai-powered""), ""AI &amp; LLM"",
  REGEXMATCH(A1418&amp;B1418, ""(?i)twitter|instagram|facebook|linkedin|youtube|tiktok|threads|bluesky|pinterest|social"&amp;" video|reels?|shorts?""), ""Social Media"",
  REGEXMATCH(A1418&amp;B1418, ""(?i)hubspot|pipedrive|stripe|shopify|woocommerce|sales|crm|invoice|order|leads?|recruitment|bamboohr|erpnext""), ""CRM &amp; Sales"",
  REGEXMATCH(A1418&amp;B1418, ""(?i)gmail|outlook|calenda"&amp;"r|slack|discord|telegram|whatsapp|notion|trello|drive|sheets?|meeting|scheduler|appointment|mattermost""), ""Productivity &amp; Communication"",
  REGEXMATCH(A1418&amp;B1418, ""(?i)github|api|webhook|http|mysql|supabase|mongodb|redis|rss|pr|code review|incident|p"&amp;"agerduty|jira""), ""Development &amp; Utilities"",
  TRUE, ""Others""
)"),"Productivity &amp; Communication")</f>
        <v>Productivity &amp; Communication</v>
      </c>
    </row>
    <row r="1419" ht="15.75" customHeight="1">
      <c r="A1419" s="14" t="s">
        <v>2811</v>
      </c>
      <c r="B1419" s="15" t="s">
        <v>2812</v>
      </c>
      <c r="C1419" s="16" t="s">
        <v>7</v>
      </c>
      <c r="D1419" s="12" t="str">
        <f>IFERROR(__xludf.DUMMYFUNCTION("IFS(
  REGEXMATCH(A1419&amp;B1419, ""(?i)openai|gpt|gemini|anthropic|claude|mistral|cohere|rag|vector|llm|chatbot|ai-powered""), ""AI &amp; LLM"",
  REGEXMATCH(A1419&amp;B1419, ""(?i)twitter|instagram|facebook|linkedin|youtube|tiktok|threads|bluesky|pinterest|social"&amp;" video|reels?|shorts?""), ""Social Media"",
  REGEXMATCH(A1419&amp;B1419, ""(?i)hubspot|pipedrive|stripe|shopify|woocommerce|sales|crm|invoice|order|leads?|recruitment|bamboohr|erpnext""), ""CRM &amp; Sales"",
  REGEXMATCH(A1419&amp;B1419, ""(?i)gmail|outlook|calenda"&amp;"r|slack|discord|telegram|whatsapp|notion|trello|drive|sheets?|meeting|scheduler|appointment|mattermost""), ""Productivity &amp; Communication"",
  REGEXMATCH(A1419&amp;B1419, ""(?i)github|api|webhook|http|mysql|supabase|mongodb|redis|rss|pr|code review|incident|p"&amp;"agerduty|jira""), ""Development &amp; Utilities"",
  TRUE, ""Others""
)"),"Productivity &amp; Communication")</f>
        <v>Productivity &amp; Communication</v>
      </c>
    </row>
    <row r="1420" ht="15.75" customHeight="1">
      <c r="A1420" s="14" t="s">
        <v>2813</v>
      </c>
      <c r="B1420" s="15" t="s">
        <v>2814</v>
      </c>
      <c r="C1420" s="16" t="s">
        <v>7</v>
      </c>
      <c r="D1420" s="12" t="str">
        <f>IFERROR(__xludf.DUMMYFUNCTION("IFS(
  REGEXMATCH(A1420&amp;B1420, ""(?i)openai|gpt|gemini|anthropic|claude|mistral|cohere|rag|vector|llm|chatbot|ai-powered""), ""AI &amp; LLM"",
  REGEXMATCH(A1420&amp;B1420, ""(?i)twitter|instagram|facebook|linkedin|youtube|tiktok|threads|bluesky|pinterest|social"&amp;" video|reels?|shorts?""), ""Social Media"",
  REGEXMATCH(A1420&amp;B1420, ""(?i)hubspot|pipedrive|stripe|shopify|woocommerce|sales|crm|invoice|order|leads?|recruitment|bamboohr|erpnext""), ""CRM &amp; Sales"",
  REGEXMATCH(A1420&amp;B1420, ""(?i)gmail|outlook|calenda"&amp;"r|slack|discord|telegram|whatsapp|notion|trello|drive|sheets?|meeting|scheduler|appointment|mattermost""), ""Productivity &amp; Communication"",
  REGEXMATCH(A1420&amp;B1420, ""(?i)github|api|webhook|http|mysql|supabase|mongodb|redis|rss|pr|code review|incident|p"&amp;"agerduty|jira""), ""Development &amp; Utilities"",
  TRUE, ""Others""
)"),"Productivity &amp; Communication")</f>
        <v>Productivity &amp; Communication</v>
      </c>
    </row>
    <row r="1421" ht="15.75" customHeight="1">
      <c r="A1421" s="14" t="s">
        <v>2815</v>
      </c>
      <c r="B1421" s="15" t="s">
        <v>2816</v>
      </c>
      <c r="C1421" s="16" t="s">
        <v>7</v>
      </c>
      <c r="D1421" s="12" t="str">
        <f>IFERROR(__xludf.DUMMYFUNCTION("IFS(
  REGEXMATCH(A1421&amp;B1421, ""(?i)openai|gpt|gemini|anthropic|claude|mistral|cohere|rag|vector|llm|chatbot|ai-powered""), ""AI &amp; LLM"",
  REGEXMATCH(A1421&amp;B1421, ""(?i)twitter|instagram|facebook|linkedin|youtube|tiktok|threads|bluesky|pinterest|social"&amp;" video|reels?|shorts?""), ""Social Media"",
  REGEXMATCH(A1421&amp;B1421, ""(?i)hubspot|pipedrive|stripe|shopify|woocommerce|sales|crm|invoice|order|leads?|recruitment|bamboohr|erpnext""), ""CRM &amp; Sales"",
  REGEXMATCH(A1421&amp;B1421, ""(?i)gmail|outlook|calenda"&amp;"r|slack|discord|telegram|whatsapp|notion|trello|drive|sheets?|meeting|scheduler|appointment|mattermost""), ""Productivity &amp; Communication"",
  REGEXMATCH(A1421&amp;B1421, ""(?i)github|api|webhook|http|mysql|supabase|mongodb|redis|rss|pr|code review|incident|p"&amp;"agerduty|jira""), ""Development &amp; Utilities"",
  TRUE, ""Others""
)"),"Productivity &amp; Communication")</f>
        <v>Productivity &amp; Communication</v>
      </c>
    </row>
    <row r="1422" ht="15.75" customHeight="1">
      <c r="A1422" s="14" t="s">
        <v>2817</v>
      </c>
      <c r="B1422" s="15" t="s">
        <v>2818</v>
      </c>
      <c r="C1422" s="16" t="s">
        <v>7</v>
      </c>
      <c r="D1422" s="12" t="str">
        <f>IFERROR(__xludf.DUMMYFUNCTION("IFS(
  REGEXMATCH(A1422&amp;B1422, ""(?i)openai|gpt|gemini|anthropic|claude|mistral|cohere|rag|vector|llm|chatbot|ai-powered""), ""AI &amp; LLM"",
  REGEXMATCH(A1422&amp;B1422, ""(?i)twitter|instagram|facebook|linkedin|youtube|tiktok|threads|bluesky|pinterest|social"&amp;" video|reels?|shorts?""), ""Social Media"",
  REGEXMATCH(A1422&amp;B1422, ""(?i)hubspot|pipedrive|stripe|shopify|woocommerce|sales|crm|invoice|order|leads?|recruitment|bamboohr|erpnext""), ""CRM &amp; Sales"",
  REGEXMATCH(A1422&amp;B1422, ""(?i)gmail|outlook|calenda"&amp;"r|slack|discord|telegram|whatsapp|notion|trello|drive|sheets?|meeting|scheduler|appointment|mattermost""), ""Productivity &amp; Communication"",
  REGEXMATCH(A1422&amp;B1422, ""(?i)github|api|webhook|http|mysql|supabase|mongodb|redis|rss|pr|code review|incident|p"&amp;"agerduty|jira""), ""Development &amp; Utilities"",
  TRUE, ""Others""
)"),"CRM &amp; Sales")</f>
        <v>CRM &amp; Sales</v>
      </c>
    </row>
    <row r="1423" ht="15.75" customHeight="1">
      <c r="A1423" s="14" t="s">
        <v>2819</v>
      </c>
      <c r="B1423" s="15" t="s">
        <v>2820</v>
      </c>
      <c r="C1423" s="16" t="s">
        <v>7</v>
      </c>
      <c r="D1423" s="12" t="str">
        <f>IFERROR(__xludf.DUMMYFUNCTION("IFS(
  REGEXMATCH(A1423&amp;B1423, ""(?i)openai|gpt|gemini|anthropic|claude|mistral|cohere|rag|vector|llm|chatbot|ai-powered""), ""AI &amp; LLM"",
  REGEXMATCH(A1423&amp;B1423, ""(?i)twitter|instagram|facebook|linkedin|youtube|tiktok|threads|bluesky|pinterest|social"&amp;" video|reels?|shorts?""), ""Social Media"",
  REGEXMATCH(A1423&amp;B1423, ""(?i)hubspot|pipedrive|stripe|shopify|woocommerce|sales|crm|invoice|order|leads?|recruitment|bamboohr|erpnext""), ""CRM &amp; Sales"",
  REGEXMATCH(A1423&amp;B1423, ""(?i)gmail|outlook|calenda"&amp;"r|slack|discord|telegram|whatsapp|notion|trello|drive|sheets?|meeting|scheduler|appointment|mattermost""), ""Productivity &amp; Communication"",
  REGEXMATCH(A1423&amp;B1423, ""(?i)github|api|webhook|http|mysql|supabase|mongodb|redis|rss|pr|code review|incident|p"&amp;"agerduty|jira""), ""Development &amp; Utilities"",
  TRUE, ""Others""
)"),"CRM &amp; Sales")</f>
        <v>CRM &amp; Sales</v>
      </c>
    </row>
    <row r="1424" ht="15.75" customHeight="1">
      <c r="A1424" s="14" t="s">
        <v>2821</v>
      </c>
      <c r="B1424" s="15" t="s">
        <v>2822</v>
      </c>
      <c r="C1424" s="16" t="s">
        <v>7</v>
      </c>
      <c r="D1424" s="12" t="str">
        <f>IFERROR(__xludf.DUMMYFUNCTION("IFS(
  REGEXMATCH(A1424&amp;B1424, ""(?i)openai|gpt|gemini|anthropic|claude|mistral|cohere|rag|vector|llm|chatbot|ai-powered""), ""AI &amp; LLM"",
  REGEXMATCH(A1424&amp;B1424, ""(?i)twitter|instagram|facebook|linkedin|youtube|tiktok|threads|bluesky|pinterest|social"&amp;" video|reels?|shorts?""), ""Social Media"",
  REGEXMATCH(A1424&amp;B1424, ""(?i)hubspot|pipedrive|stripe|shopify|woocommerce|sales|crm|invoice|order|leads?|recruitment|bamboohr|erpnext""), ""CRM &amp; Sales"",
  REGEXMATCH(A1424&amp;B1424, ""(?i)gmail|outlook|calenda"&amp;"r|slack|discord|telegram|whatsapp|notion|trello|drive|sheets?|meeting|scheduler|appointment|mattermost""), ""Productivity &amp; Communication"",
  REGEXMATCH(A1424&amp;B1424, ""(?i)github|api|webhook|http|mysql|supabase|mongodb|redis|rss|pr|code review|incident|p"&amp;"agerduty|jira""), ""Development &amp; Utilities"",
  TRUE, ""Others""
)"),"Productivity &amp; Communication")</f>
        <v>Productivity &amp; Communication</v>
      </c>
    </row>
    <row r="1425" ht="15.75" customHeight="1">
      <c r="A1425" s="14" t="s">
        <v>2823</v>
      </c>
      <c r="B1425" s="15" t="s">
        <v>2824</v>
      </c>
      <c r="C1425" s="16" t="s">
        <v>7</v>
      </c>
      <c r="D1425" s="12" t="str">
        <f>IFERROR(__xludf.DUMMYFUNCTION("IFS(
  REGEXMATCH(A1425&amp;B1425, ""(?i)openai|gpt|gemini|anthropic|claude|mistral|cohere|rag|vector|llm|chatbot|ai-powered""), ""AI &amp; LLM"",
  REGEXMATCH(A1425&amp;B1425, ""(?i)twitter|instagram|facebook|linkedin|youtube|tiktok|threads|bluesky|pinterest|social"&amp;" video|reels?|shorts?""), ""Social Media"",
  REGEXMATCH(A1425&amp;B1425, ""(?i)hubspot|pipedrive|stripe|shopify|woocommerce|sales|crm|invoice|order|leads?|recruitment|bamboohr|erpnext""), ""CRM &amp; Sales"",
  REGEXMATCH(A1425&amp;B1425, ""(?i)gmail|outlook|calenda"&amp;"r|slack|discord|telegram|whatsapp|notion|trello|drive|sheets?|meeting|scheduler|appointment|mattermost""), ""Productivity &amp; Communication"",
  REGEXMATCH(A1425&amp;B1425, ""(?i)github|api|webhook|http|mysql|supabase|mongodb|redis|rss|pr|code review|incident|p"&amp;"agerduty|jira""), ""Development &amp; Utilities"",
  TRUE, ""Others""
)"),"CRM &amp; Sales")</f>
        <v>CRM &amp; Sales</v>
      </c>
    </row>
    <row r="1426" ht="15.75" customHeight="1">
      <c r="A1426" s="14" t="s">
        <v>2825</v>
      </c>
      <c r="B1426" s="15" t="s">
        <v>2826</v>
      </c>
      <c r="C1426" s="16" t="s">
        <v>7</v>
      </c>
      <c r="D1426" s="12" t="str">
        <f>IFERROR(__xludf.DUMMYFUNCTION("IFS(
  REGEXMATCH(A1426&amp;B1426, ""(?i)openai|gpt|gemini|anthropic|claude|mistral|cohere|rag|vector|llm|chatbot|ai-powered""), ""AI &amp; LLM"",
  REGEXMATCH(A1426&amp;B1426, ""(?i)twitter|instagram|facebook|linkedin|youtube|tiktok|threads|bluesky|pinterest|social"&amp;" video|reels?|shorts?""), ""Social Media"",
  REGEXMATCH(A1426&amp;B1426, ""(?i)hubspot|pipedrive|stripe|shopify|woocommerce|sales|crm|invoice|order|leads?|recruitment|bamboohr|erpnext""), ""CRM &amp; Sales"",
  REGEXMATCH(A1426&amp;B1426, ""(?i)gmail|outlook|calenda"&amp;"r|slack|discord|telegram|whatsapp|notion|trello|drive|sheets?|meeting|scheduler|appointment|mattermost""), ""Productivity &amp; Communication"",
  REGEXMATCH(A1426&amp;B1426, ""(?i)github|api|webhook|http|mysql|supabase|mongodb|redis|rss|pr|code review|incident|p"&amp;"agerduty|jira""), ""Development &amp; Utilities"",
  TRUE, ""Others""
)"),"Productivity &amp; Communication")</f>
        <v>Productivity &amp; Communication</v>
      </c>
    </row>
    <row r="1427" ht="15.75" customHeight="1">
      <c r="A1427" s="14" t="s">
        <v>2827</v>
      </c>
      <c r="B1427" s="15" t="s">
        <v>2828</v>
      </c>
      <c r="C1427" s="16" t="s">
        <v>7</v>
      </c>
      <c r="D1427" s="12" t="str">
        <f>IFERROR(__xludf.DUMMYFUNCTION("IFS(
  REGEXMATCH(A1427&amp;B1427, ""(?i)openai|gpt|gemini|anthropic|claude|mistral|cohere|rag|vector|llm|chatbot|ai-powered""), ""AI &amp; LLM"",
  REGEXMATCH(A1427&amp;B1427, ""(?i)twitter|instagram|facebook|linkedin|youtube|tiktok|threads|bluesky|pinterest|social"&amp;" video|reels?|shorts?""), ""Social Media"",
  REGEXMATCH(A1427&amp;B1427, ""(?i)hubspot|pipedrive|stripe|shopify|woocommerce|sales|crm|invoice|order|leads?|recruitment|bamboohr|erpnext""), ""CRM &amp; Sales"",
  REGEXMATCH(A1427&amp;B1427, ""(?i)gmail|outlook|calenda"&amp;"r|slack|discord|telegram|whatsapp|notion|trello|drive|sheets?|meeting|scheduler|appointment|mattermost""), ""Productivity &amp; Communication"",
  REGEXMATCH(A1427&amp;B1427, ""(?i)github|api|webhook|http|mysql|supabase|mongodb|redis|rss|pr|code review|incident|p"&amp;"agerduty|jira""), ""Development &amp; Utilities"",
  TRUE, ""Others""
)"),"Development &amp; Utilities")</f>
        <v>Development &amp; Utilities</v>
      </c>
    </row>
    <row r="1428" ht="15.75" customHeight="1">
      <c r="A1428" s="14" t="s">
        <v>2829</v>
      </c>
      <c r="B1428" s="15" t="s">
        <v>2830</v>
      </c>
      <c r="C1428" s="16" t="s">
        <v>7</v>
      </c>
      <c r="D1428" s="12" t="str">
        <f>IFERROR(__xludf.DUMMYFUNCTION("IFS(
  REGEXMATCH(A1428&amp;B1428, ""(?i)openai|gpt|gemini|anthropic|claude|mistral|cohere|rag|vector|llm|chatbot|ai-powered""), ""AI &amp; LLM"",
  REGEXMATCH(A1428&amp;B1428, ""(?i)twitter|instagram|facebook|linkedin|youtube|tiktok|threads|bluesky|pinterest|social"&amp;" video|reels?|shorts?""), ""Social Media"",
  REGEXMATCH(A1428&amp;B1428, ""(?i)hubspot|pipedrive|stripe|shopify|woocommerce|sales|crm|invoice|order|leads?|recruitment|bamboohr|erpnext""), ""CRM &amp; Sales"",
  REGEXMATCH(A1428&amp;B1428, ""(?i)gmail|outlook|calenda"&amp;"r|slack|discord|telegram|whatsapp|notion|trello|drive|sheets?|meeting|scheduler|appointment|mattermost""), ""Productivity &amp; Communication"",
  REGEXMATCH(A1428&amp;B1428, ""(?i)github|api|webhook|http|mysql|supabase|mongodb|redis|rss|pr|code review|incident|p"&amp;"agerduty|jira""), ""Development &amp; Utilities"",
  TRUE, ""Others""
)"),"Productivity &amp; Communication")</f>
        <v>Productivity &amp; Communication</v>
      </c>
    </row>
    <row r="1429" ht="15.75" customHeight="1">
      <c r="A1429" s="14" t="s">
        <v>2831</v>
      </c>
      <c r="B1429" s="15" t="s">
        <v>2832</v>
      </c>
      <c r="C1429" s="16" t="s">
        <v>7</v>
      </c>
      <c r="D1429" s="12" t="str">
        <f>IFERROR(__xludf.DUMMYFUNCTION("IFS(
  REGEXMATCH(A1429&amp;B1429, ""(?i)openai|gpt|gemini|anthropic|claude|mistral|cohere|rag|vector|llm|chatbot|ai-powered""), ""AI &amp; LLM"",
  REGEXMATCH(A1429&amp;B1429, ""(?i)twitter|instagram|facebook|linkedin|youtube|tiktok|threads|bluesky|pinterest|social"&amp;" video|reels?|shorts?""), ""Social Media"",
  REGEXMATCH(A1429&amp;B1429, ""(?i)hubspot|pipedrive|stripe|shopify|woocommerce|sales|crm|invoice|order|leads?|recruitment|bamboohr|erpnext""), ""CRM &amp; Sales"",
  REGEXMATCH(A1429&amp;B1429, ""(?i)gmail|outlook|calenda"&amp;"r|slack|discord|telegram|whatsapp|notion|trello|drive|sheets?|meeting|scheduler|appointment|mattermost""), ""Productivity &amp; Communication"",
  REGEXMATCH(A1429&amp;B1429, ""(?i)github|api|webhook|http|mysql|supabase|mongodb|redis|rss|pr|code review|incident|p"&amp;"agerduty|jira""), ""Development &amp; Utilities"",
  TRUE, ""Others""
)"),"Productivity &amp; Communication")</f>
        <v>Productivity &amp; Communication</v>
      </c>
    </row>
    <row r="1430" ht="15.75" customHeight="1">
      <c r="A1430" s="14" t="s">
        <v>2833</v>
      </c>
      <c r="B1430" s="15" t="s">
        <v>2834</v>
      </c>
      <c r="C1430" s="16" t="s">
        <v>7</v>
      </c>
      <c r="D1430" s="12" t="str">
        <f>IFERROR(__xludf.DUMMYFUNCTION("IFS(
  REGEXMATCH(A1430&amp;B1430, ""(?i)openai|gpt|gemini|anthropic|claude|mistral|cohere|rag|vector|llm|chatbot|ai-powered""), ""AI &amp; LLM"",
  REGEXMATCH(A1430&amp;B1430, ""(?i)twitter|instagram|facebook|linkedin|youtube|tiktok|threads|bluesky|pinterest|social"&amp;" video|reels?|shorts?""), ""Social Media"",
  REGEXMATCH(A1430&amp;B1430, ""(?i)hubspot|pipedrive|stripe|shopify|woocommerce|sales|crm|invoice|order|leads?|recruitment|bamboohr|erpnext""), ""CRM &amp; Sales"",
  REGEXMATCH(A1430&amp;B1430, ""(?i)gmail|outlook|calenda"&amp;"r|slack|discord|telegram|whatsapp|notion|trello|drive|sheets?|meeting|scheduler|appointment|mattermost""), ""Productivity &amp; Communication"",
  REGEXMATCH(A1430&amp;B1430, ""(?i)github|api|webhook|http|mysql|supabase|mongodb|redis|rss|pr|code review|incident|p"&amp;"agerduty|jira""), ""Development &amp; Utilities"",
  TRUE, ""Others""
)"),"Development &amp; Utilities")</f>
        <v>Development &amp; Utilities</v>
      </c>
    </row>
    <row r="1431" ht="15.75" customHeight="1">
      <c r="A1431" s="14" t="s">
        <v>2835</v>
      </c>
      <c r="B1431" s="15" t="s">
        <v>2836</v>
      </c>
      <c r="C1431" s="16" t="s">
        <v>7</v>
      </c>
      <c r="D1431" s="12" t="str">
        <f>IFERROR(__xludf.DUMMYFUNCTION("IFS(
  REGEXMATCH(A1431&amp;B1431, ""(?i)openai|gpt|gemini|anthropic|claude|mistral|cohere|rag|vector|llm|chatbot|ai-powered""), ""AI &amp; LLM"",
  REGEXMATCH(A1431&amp;B1431, ""(?i)twitter|instagram|facebook|linkedin|youtube|tiktok|threads|bluesky|pinterest|social"&amp;" video|reels?|shorts?""), ""Social Media"",
  REGEXMATCH(A1431&amp;B1431, ""(?i)hubspot|pipedrive|stripe|shopify|woocommerce|sales|crm|invoice|order|leads?|recruitment|bamboohr|erpnext""), ""CRM &amp; Sales"",
  REGEXMATCH(A1431&amp;B1431, ""(?i)gmail|outlook|calenda"&amp;"r|slack|discord|telegram|whatsapp|notion|trello|drive|sheets?|meeting|scheduler|appointment|mattermost""), ""Productivity &amp; Communication"",
  REGEXMATCH(A1431&amp;B1431, ""(?i)github|api|webhook|http|mysql|supabase|mongodb|redis|rss|pr|code review|incident|p"&amp;"agerduty|jira""), ""Development &amp; Utilities"",
  TRUE, ""Others""
)"),"CRM &amp; Sales")</f>
        <v>CRM &amp; Sales</v>
      </c>
    </row>
    <row r="1432" ht="15.75" customHeight="1">
      <c r="A1432" s="14" t="s">
        <v>2837</v>
      </c>
      <c r="B1432" s="15" t="s">
        <v>2838</v>
      </c>
      <c r="C1432" s="16" t="s">
        <v>7</v>
      </c>
      <c r="D1432" s="12" t="str">
        <f>IFERROR(__xludf.DUMMYFUNCTION("IFS(
  REGEXMATCH(A1432&amp;B1432, ""(?i)openai|gpt|gemini|anthropic|claude|mistral|cohere|rag|vector|llm|chatbot|ai-powered""), ""AI &amp; LLM"",
  REGEXMATCH(A1432&amp;B1432, ""(?i)twitter|instagram|facebook|linkedin|youtube|tiktok|threads|bluesky|pinterest|social"&amp;" video|reels?|shorts?""), ""Social Media"",
  REGEXMATCH(A1432&amp;B1432, ""(?i)hubspot|pipedrive|stripe|shopify|woocommerce|sales|crm|invoice|order|leads?|recruitment|bamboohr|erpnext""), ""CRM &amp; Sales"",
  REGEXMATCH(A1432&amp;B1432, ""(?i)gmail|outlook|calenda"&amp;"r|slack|discord|telegram|whatsapp|notion|trello|drive|sheets?|meeting|scheduler|appointment|mattermost""), ""Productivity &amp; Communication"",
  REGEXMATCH(A1432&amp;B1432, ""(?i)github|api|webhook|http|mysql|supabase|mongodb|redis|rss|pr|code review|incident|p"&amp;"agerduty|jira""), ""Development &amp; Utilities"",
  TRUE, ""Others""
)"),"Productivity &amp; Communication")</f>
        <v>Productivity &amp; Communication</v>
      </c>
    </row>
    <row r="1433" ht="15.75" customHeight="1">
      <c r="A1433" s="14" t="s">
        <v>2839</v>
      </c>
      <c r="B1433" s="15" t="s">
        <v>2840</v>
      </c>
      <c r="C1433" s="16" t="s">
        <v>7</v>
      </c>
      <c r="D1433" s="12" t="str">
        <f>IFERROR(__xludf.DUMMYFUNCTION("IFS(
  REGEXMATCH(A1433&amp;B1433, ""(?i)openai|gpt|gemini|anthropic|claude|mistral|cohere|rag|vector|llm|chatbot|ai-powered""), ""AI &amp; LLM"",
  REGEXMATCH(A1433&amp;B1433, ""(?i)twitter|instagram|facebook|linkedin|youtube|tiktok|threads|bluesky|pinterest|social"&amp;" video|reels?|shorts?""), ""Social Media"",
  REGEXMATCH(A1433&amp;B1433, ""(?i)hubspot|pipedrive|stripe|shopify|woocommerce|sales|crm|invoice|order|leads?|recruitment|bamboohr|erpnext""), ""CRM &amp; Sales"",
  REGEXMATCH(A1433&amp;B1433, ""(?i)gmail|outlook|calenda"&amp;"r|slack|discord|telegram|whatsapp|notion|trello|drive|sheets?|meeting|scheduler|appointment|mattermost""), ""Productivity &amp; Communication"",
  REGEXMATCH(A1433&amp;B1433, ""(?i)github|api|webhook|http|mysql|supabase|mongodb|redis|rss|pr|code review|incident|p"&amp;"agerduty|jira""), ""Development &amp; Utilities"",
  TRUE, ""Others""
)"),"Development &amp; Utilities")</f>
        <v>Development &amp; Utilities</v>
      </c>
    </row>
    <row r="1434" ht="15.75" customHeight="1">
      <c r="A1434" s="14" t="s">
        <v>2841</v>
      </c>
      <c r="B1434" s="15" t="s">
        <v>2842</v>
      </c>
      <c r="C1434" s="16" t="s">
        <v>7</v>
      </c>
      <c r="D1434" s="12" t="str">
        <f>IFERROR(__xludf.DUMMYFUNCTION("IFS(
  REGEXMATCH(A1434&amp;B1434, ""(?i)openai|gpt|gemini|anthropic|claude|mistral|cohere|rag|vector|llm|chatbot|ai-powered""), ""AI &amp; LLM"",
  REGEXMATCH(A1434&amp;B1434, ""(?i)twitter|instagram|facebook|linkedin|youtube|tiktok|threads|bluesky|pinterest|social"&amp;" video|reels?|shorts?""), ""Social Media"",
  REGEXMATCH(A1434&amp;B1434, ""(?i)hubspot|pipedrive|stripe|shopify|woocommerce|sales|crm|invoice|order|leads?|recruitment|bamboohr|erpnext""), ""CRM &amp; Sales"",
  REGEXMATCH(A1434&amp;B1434, ""(?i)gmail|outlook|calenda"&amp;"r|slack|discord|telegram|whatsapp|notion|trello|drive|sheets?|meeting|scheduler|appointment|mattermost""), ""Productivity &amp; Communication"",
  REGEXMATCH(A1434&amp;B1434, ""(?i)github|api|webhook|http|mysql|supabase|mongodb|redis|rss|pr|code review|incident|p"&amp;"agerduty|jira""), ""Development &amp; Utilities"",
  TRUE, ""Others""
)"),"Productivity &amp; Communication")</f>
        <v>Productivity &amp; Communication</v>
      </c>
    </row>
    <row r="1435" ht="15.75" customHeight="1">
      <c r="A1435" s="14" t="s">
        <v>2843</v>
      </c>
      <c r="B1435" s="15" t="s">
        <v>2844</v>
      </c>
      <c r="C1435" s="16" t="s">
        <v>7</v>
      </c>
      <c r="D1435" s="12" t="str">
        <f>IFERROR(__xludf.DUMMYFUNCTION("IFS(
  REGEXMATCH(A1435&amp;B1435, ""(?i)openai|gpt|gemini|anthropic|claude|mistral|cohere|rag|vector|llm|chatbot|ai-powered""), ""AI &amp; LLM"",
  REGEXMATCH(A1435&amp;B1435, ""(?i)twitter|instagram|facebook|linkedin|youtube|tiktok|threads|bluesky|pinterest|social"&amp;" video|reels?|shorts?""), ""Social Media"",
  REGEXMATCH(A1435&amp;B1435, ""(?i)hubspot|pipedrive|stripe|shopify|woocommerce|sales|crm|invoice|order|leads?|recruitment|bamboohr|erpnext""), ""CRM &amp; Sales"",
  REGEXMATCH(A1435&amp;B1435, ""(?i)gmail|outlook|calenda"&amp;"r|slack|discord|telegram|whatsapp|notion|trello|drive|sheets?|meeting|scheduler|appointment|mattermost""), ""Productivity &amp; Communication"",
  REGEXMATCH(A1435&amp;B1435, ""(?i)github|api|webhook|http|mysql|supabase|mongodb|redis|rss|pr|code review|incident|p"&amp;"agerduty|jira""), ""Development &amp; Utilities"",
  TRUE, ""Others""
)"),"Productivity &amp; Communication")</f>
        <v>Productivity &amp; Communication</v>
      </c>
    </row>
    <row r="1436" ht="15.75" customHeight="1">
      <c r="A1436" s="14" t="s">
        <v>2845</v>
      </c>
      <c r="B1436" s="15" t="s">
        <v>2846</v>
      </c>
      <c r="C1436" s="16" t="s">
        <v>7</v>
      </c>
      <c r="D1436" s="12" t="str">
        <f>IFERROR(__xludf.DUMMYFUNCTION("IFS(
  REGEXMATCH(A1436&amp;B1436, ""(?i)openai|gpt|gemini|anthropic|claude|mistral|cohere|rag|vector|llm|chatbot|ai-powered""), ""AI &amp; LLM"",
  REGEXMATCH(A1436&amp;B1436, ""(?i)twitter|instagram|facebook|linkedin|youtube|tiktok|threads|bluesky|pinterest|social"&amp;" video|reels?|shorts?""), ""Social Media"",
  REGEXMATCH(A1436&amp;B1436, ""(?i)hubspot|pipedrive|stripe|shopify|woocommerce|sales|crm|invoice|order|leads?|recruitment|bamboohr|erpnext""), ""CRM &amp; Sales"",
  REGEXMATCH(A1436&amp;B1436, ""(?i)gmail|outlook|calenda"&amp;"r|slack|discord|telegram|whatsapp|notion|trello|drive|sheets?|meeting|scheduler|appointment|mattermost""), ""Productivity &amp; Communication"",
  REGEXMATCH(A1436&amp;B1436, ""(?i)github|api|webhook|http|mysql|supabase|mongodb|redis|rss|pr|code review|incident|p"&amp;"agerduty|jira""), ""Development &amp; Utilities"",
  TRUE, ""Others""
)"),"CRM &amp; Sales")</f>
        <v>CRM &amp; Sales</v>
      </c>
    </row>
    <row r="1437" ht="15.75" customHeight="1">
      <c r="A1437" s="14" t="s">
        <v>2847</v>
      </c>
      <c r="B1437" s="15" t="s">
        <v>2848</v>
      </c>
      <c r="C1437" s="16" t="s">
        <v>7</v>
      </c>
      <c r="D1437" s="12" t="str">
        <f>IFERROR(__xludf.DUMMYFUNCTION("IFS(
  REGEXMATCH(A1437&amp;B1437, ""(?i)openai|gpt|gemini|anthropic|claude|mistral|cohere|rag|vector|llm|chatbot|ai-powered""), ""AI &amp; LLM"",
  REGEXMATCH(A1437&amp;B1437, ""(?i)twitter|instagram|facebook|linkedin|youtube|tiktok|threads|bluesky|pinterest|social"&amp;" video|reels?|shorts?""), ""Social Media"",
  REGEXMATCH(A1437&amp;B1437, ""(?i)hubspot|pipedrive|stripe|shopify|woocommerce|sales|crm|invoice|order|leads?|recruitment|bamboohr|erpnext""), ""CRM &amp; Sales"",
  REGEXMATCH(A1437&amp;B1437, ""(?i)gmail|outlook|calenda"&amp;"r|slack|discord|telegram|whatsapp|notion|trello|drive|sheets?|meeting|scheduler|appointment|mattermost""), ""Productivity &amp; Communication"",
  REGEXMATCH(A1437&amp;B1437, ""(?i)github|api|webhook|http|mysql|supabase|mongodb|redis|rss|pr|code review|incident|p"&amp;"agerduty|jira""), ""Development &amp; Utilities"",
  TRUE, ""Others""
)"),"Development &amp; Utilities")</f>
        <v>Development &amp; Utilities</v>
      </c>
    </row>
    <row r="1438" ht="15.75" customHeight="1">
      <c r="A1438" s="14" t="s">
        <v>2849</v>
      </c>
      <c r="B1438" s="15" t="s">
        <v>2850</v>
      </c>
      <c r="C1438" s="16" t="s">
        <v>7</v>
      </c>
      <c r="D1438" s="12" t="str">
        <f>IFERROR(__xludf.DUMMYFUNCTION("IFS(
  REGEXMATCH(A1438&amp;B1438, ""(?i)openai|gpt|gemini|anthropic|claude|mistral|cohere|rag|vector|llm|chatbot|ai-powered""), ""AI &amp; LLM"",
  REGEXMATCH(A1438&amp;B1438, ""(?i)twitter|instagram|facebook|linkedin|youtube|tiktok|threads|bluesky|pinterest|social"&amp;" video|reels?|shorts?""), ""Social Media"",
  REGEXMATCH(A1438&amp;B1438, ""(?i)hubspot|pipedrive|stripe|shopify|woocommerce|sales|crm|invoice|order|leads?|recruitment|bamboohr|erpnext""), ""CRM &amp; Sales"",
  REGEXMATCH(A1438&amp;B1438, ""(?i)gmail|outlook|calenda"&amp;"r|slack|discord|telegram|whatsapp|notion|trello|drive|sheets?|meeting|scheduler|appointment|mattermost""), ""Productivity &amp; Communication"",
  REGEXMATCH(A1438&amp;B1438, ""(?i)github|api|webhook|http|mysql|supabase|mongodb|redis|rss|pr|code review|incident|p"&amp;"agerduty|jira""), ""Development &amp; Utilities"",
  TRUE, ""Others""
)"),"AI &amp; LLM")</f>
        <v>AI &amp; LLM</v>
      </c>
    </row>
    <row r="1439" ht="15.75" customHeight="1">
      <c r="A1439" s="14" t="s">
        <v>2851</v>
      </c>
      <c r="B1439" s="15" t="s">
        <v>2852</v>
      </c>
      <c r="C1439" s="16" t="s">
        <v>7</v>
      </c>
      <c r="D1439" s="12" t="str">
        <f>IFERROR(__xludf.DUMMYFUNCTION("IFS(
  REGEXMATCH(A1439&amp;B1439, ""(?i)openai|gpt|gemini|anthropic|claude|mistral|cohere|rag|vector|llm|chatbot|ai-powered""), ""AI &amp; LLM"",
  REGEXMATCH(A1439&amp;B1439, ""(?i)twitter|instagram|facebook|linkedin|youtube|tiktok|threads|bluesky|pinterest|social"&amp;" video|reels?|shorts?""), ""Social Media"",
  REGEXMATCH(A1439&amp;B1439, ""(?i)hubspot|pipedrive|stripe|shopify|woocommerce|sales|crm|invoice|order|leads?|recruitment|bamboohr|erpnext""), ""CRM &amp; Sales"",
  REGEXMATCH(A1439&amp;B1439, ""(?i)gmail|outlook|calenda"&amp;"r|slack|discord|telegram|whatsapp|notion|trello|drive|sheets?|meeting|scheduler|appointment|mattermost""), ""Productivity &amp; Communication"",
  REGEXMATCH(A1439&amp;B1439, ""(?i)github|api|webhook|http|mysql|supabase|mongodb|redis|rss|pr|code review|incident|p"&amp;"agerduty|jira""), ""Development &amp; Utilities"",
  TRUE, ""Others""
)"),"AI &amp; LLM")</f>
        <v>AI &amp; LLM</v>
      </c>
    </row>
    <row r="1440" ht="15.75" customHeight="1">
      <c r="A1440" s="14" t="s">
        <v>2853</v>
      </c>
      <c r="B1440" s="15" t="s">
        <v>2854</v>
      </c>
      <c r="C1440" s="16" t="s">
        <v>7</v>
      </c>
      <c r="D1440" s="12" t="str">
        <f>IFERROR(__xludf.DUMMYFUNCTION("IFS(
  REGEXMATCH(A1440&amp;B1440, ""(?i)openai|gpt|gemini|anthropic|claude|mistral|cohere|rag|vector|llm|chatbot|ai-powered""), ""AI &amp; LLM"",
  REGEXMATCH(A1440&amp;B1440, ""(?i)twitter|instagram|facebook|linkedin|youtube|tiktok|threads|bluesky|pinterest|social"&amp;" video|reels?|shorts?""), ""Social Media"",
  REGEXMATCH(A1440&amp;B1440, ""(?i)hubspot|pipedrive|stripe|shopify|woocommerce|sales|crm|invoice|order|leads?|recruitment|bamboohr|erpnext""), ""CRM &amp; Sales"",
  REGEXMATCH(A1440&amp;B1440, ""(?i)gmail|outlook|calenda"&amp;"r|slack|discord|telegram|whatsapp|notion|trello|drive|sheets?|meeting|scheduler|appointment|mattermost""), ""Productivity &amp; Communication"",
  REGEXMATCH(A1440&amp;B1440, ""(?i)github|api|webhook|http|mysql|supabase|mongodb|redis|rss|pr|code review|incident|p"&amp;"agerduty|jira""), ""Development &amp; Utilities"",
  TRUE, ""Others""
)"),"AI &amp; LLM")</f>
        <v>AI &amp; LLM</v>
      </c>
    </row>
    <row r="1441" ht="15.75" customHeight="1">
      <c r="A1441" s="14" t="s">
        <v>2855</v>
      </c>
      <c r="B1441" s="15" t="s">
        <v>2856</v>
      </c>
      <c r="C1441" s="16" t="s">
        <v>7</v>
      </c>
      <c r="D1441" s="12" t="str">
        <f>IFERROR(__xludf.DUMMYFUNCTION("IFS(
  REGEXMATCH(A1441&amp;B1441, ""(?i)openai|gpt|gemini|anthropic|claude|mistral|cohere|rag|vector|llm|chatbot|ai-powered""), ""AI &amp; LLM"",
  REGEXMATCH(A1441&amp;B1441, ""(?i)twitter|instagram|facebook|linkedin|youtube|tiktok|threads|bluesky|pinterest|social"&amp;" video|reels?|shorts?""), ""Social Media"",
  REGEXMATCH(A1441&amp;B1441, ""(?i)hubspot|pipedrive|stripe|shopify|woocommerce|sales|crm|invoice|order|leads?|recruitment|bamboohr|erpnext""), ""CRM &amp; Sales"",
  REGEXMATCH(A1441&amp;B1441, ""(?i)gmail|outlook|calenda"&amp;"r|slack|discord|telegram|whatsapp|notion|trello|drive|sheets?|meeting|scheduler|appointment|mattermost""), ""Productivity &amp; Communication"",
  REGEXMATCH(A1441&amp;B1441, ""(?i)github|api|webhook|http|mysql|supabase|mongodb|redis|rss|pr|code review|incident|p"&amp;"agerduty|jira""), ""Development &amp; Utilities"",
  TRUE, ""Others""
)"),"CRM &amp; Sales")</f>
        <v>CRM &amp; Sales</v>
      </c>
    </row>
    <row r="1442" ht="15.75" customHeight="1">
      <c r="A1442" s="14" t="s">
        <v>2857</v>
      </c>
      <c r="B1442" s="15" t="s">
        <v>2858</v>
      </c>
      <c r="C1442" s="16" t="s">
        <v>7</v>
      </c>
      <c r="D1442" s="12" t="str">
        <f>IFERROR(__xludf.DUMMYFUNCTION("IFS(
  REGEXMATCH(A1442&amp;B1442, ""(?i)openai|gpt|gemini|anthropic|claude|mistral|cohere|rag|vector|llm|chatbot|ai-powered""), ""AI &amp; LLM"",
  REGEXMATCH(A1442&amp;B1442, ""(?i)twitter|instagram|facebook|linkedin|youtube|tiktok|threads|bluesky|pinterest|social"&amp;" video|reels?|shorts?""), ""Social Media"",
  REGEXMATCH(A1442&amp;B1442, ""(?i)hubspot|pipedrive|stripe|shopify|woocommerce|sales|crm|invoice|order|leads?|recruitment|bamboohr|erpnext""), ""CRM &amp; Sales"",
  REGEXMATCH(A1442&amp;B1442, ""(?i)gmail|outlook|calenda"&amp;"r|slack|discord|telegram|whatsapp|notion|trello|drive|sheets?|meeting|scheduler|appointment|mattermost""), ""Productivity &amp; Communication"",
  REGEXMATCH(A1442&amp;B1442, ""(?i)github|api|webhook|http|mysql|supabase|mongodb|redis|rss|pr|code review|incident|p"&amp;"agerduty|jira""), ""Development &amp; Utilities"",
  TRUE, ""Others""
)"),"Productivity &amp; Communication")</f>
        <v>Productivity &amp; Communication</v>
      </c>
    </row>
    <row r="1443" ht="15.75" customHeight="1">
      <c r="A1443" s="14" t="s">
        <v>2859</v>
      </c>
      <c r="B1443" s="15" t="s">
        <v>2860</v>
      </c>
      <c r="C1443" s="16" t="s">
        <v>7</v>
      </c>
      <c r="D1443" s="12" t="str">
        <f>IFERROR(__xludf.DUMMYFUNCTION("IFS(
  REGEXMATCH(A1443&amp;B1443, ""(?i)openai|gpt|gemini|anthropic|claude|mistral|cohere|rag|vector|llm|chatbot|ai-powered""), ""AI &amp; LLM"",
  REGEXMATCH(A1443&amp;B1443, ""(?i)twitter|instagram|facebook|linkedin|youtube|tiktok|threads|bluesky|pinterest|social"&amp;" video|reels?|shorts?""), ""Social Media"",
  REGEXMATCH(A1443&amp;B1443, ""(?i)hubspot|pipedrive|stripe|shopify|woocommerce|sales|crm|invoice|order|leads?|recruitment|bamboohr|erpnext""), ""CRM &amp; Sales"",
  REGEXMATCH(A1443&amp;B1443, ""(?i)gmail|outlook|calenda"&amp;"r|slack|discord|telegram|whatsapp|notion|trello|drive|sheets?|meeting|scheduler|appointment|mattermost""), ""Productivity &amp; Communication"",
  REGEXMATCH(A1443&amp;B1443, ""(?i)github|api|webhook|http|mysql|supabase|mongodb|redis|rss|pr|code review|incident|p"&amp;"agerduty|jira""), ""Development &amp; Utilities"",
  TRUE, ""Others""
)"),"CRM &amp; Sales")</f>
        <v>CRM &amp; Sales</v>
      </c>
    </row>
    <row r="1444" ht="15.75" customHeight="1">
      <c r="A1444" s="14" t="s">
        <v>2861</v>
      </c>
      <c r="B1444" s="15" t="s">
        <v>2862</v>
      </c>
      <c r="C1444" s="16" t="s">
        <v>7</v>
      </c>
      <c r="D1444" s="12" t="str">
        <f>IFERROR(__xludf.DUMMYFUNCTION("IFS(
  REGEXMATCH(A1444&amp;B1444, ""(?i)openai|gpt|gemini|anthropic|claude|mistral|cohere|rag|vector|llm|chatbot|ai-powered""), ""AI &amp; LLM"",
  REGEXMATCH(A1444&amp;B1444, ""(?i)twitter|instagram|facebook|linkedin|youtube|tiktok|threads|bluesky|pinterest|social"&amp;" video|reels?|shorts?""), ""Social Media"",
  REGEXMATCH(A1444&amp;B1444, ""(?i)hubspot|pipedrive|stripe|shopify|woocommerce|sales|crm|invoice|order|leads?|recruitment|bamboohr|erpnext""), ""CRM &amp; Sales"",
  REGEXMATCH(A1444&amp;B1444, ""(?i)gmail|outlook|calenda"&amp;"r|slack|discord|telegram|whatsapp|notion|trello|drive|sheets?|meeting|scheduler|appointment|mattermost""), ""Productivity &amp; Communication"",
  REGEXMATCH(A1444&amp;B1444, ""(?i)github|api|webhook|http|mysql|supabase|mongodb|redis|rss|pr|code review|incident|p"&amp;"agerduty|jira""), ""Development &amp; Utilities"",
  TRUE, ""Others""
)"),"Development &amp; Utilities")</f>
        <v>Development &amp; Utilities</v>
      </c>
    </row>
    <row r="1445" ht="15.75" customHeight="1">
      <c r="A1445" s="14" t="s">
        <v>2863</v>
      </c>
      <c r="B1445" s="15" t="s">
        <v>2864</v>
      </c>
      <c r="C1445" s="16" t="s">
        <v>7</v>
      </c>
      <c r="D1445" s="12" t="str">
        <f>IFERROR(__xludf.DUMMYFUNCTION("IFS(
  REGEXMATCH(A1445&amp;B1445, ""(?i)openai|gpt|gemini|anthropic|claude|mistral|cohere|rag|vector|llm|chatbot|ai-powered""), ""AI &amp; LLM"",
  REGEXMATCH(A1445&amp;B1445, ""(?i)twitter|instagram|facebook|linkedin|youtube|tiktok|threads|bluesky|pinterest|social"&amp;" video|reels?|shorts?""), ""Social Media"",
  REGEXMATCH(A1445&amp;B1445, ""(?i)hubspot|pipedrive|stripe|shopify|woocommerce|sales|crm|invoice|order|leads?|recruitment|bamboohr|erpnext""), ""CRM &amp; Sales"",
  REGEXMATCH(A1445&amp;B1445, ""(?i)gmail|outlook|calenda"&amp;"r|slack|discord|telegram|whatsapp|notion|trello|drive|sheets?|meeting|scheduler|appointment|mattermost""), ""Productivity &amp; Communication"",
  REGEXMATCH(A1445&amp;B1445, ""(?i)github|api|webhook|http|mysql|supabase|mongodb|redis|rss|pr|code review|incident|p"&amp;"agerduty|jira""), ""Development &amp; Utilities"",
  TRUE, ""Others""
)"),"Development &amp; Utilities")</f>
        <v>Development &amp; Utilities</v>
      </c>
    </row>
    <row r="1446" ht="15.75" customHeight="1">
      <c r="A1446" s="14" t="s">
        <v>2865</v>
      </c>
      <c r="B1446" s="15" t="s">
        <v>2866</v>
      </c>
      <c r="C1446" s="16" t="s">
        <v>7</v>
      </c>
      <c r="D1446" s="12" t="str">
        <f>IFERROR(__xludf.DUMMYFUNCTION("IFS(
  REGEXMATCH(A1446&amp;B1446, ""(?i)openai|gpt|gemini|anthropic|claude|mistral|cohere|rag|vector|llm|chatbot|ai-powered""), ""AI &amp; LLM"",
  REGEXMATCH(A1446&amp;B1446, ""(?i)twitter|instagram|facebook|linkedin|youtube|tiktok|threads|bluesky|pinterest|social"&amp;" video|reels?|shorts?""), ""Social Media"",
  REGEXMATCH(A1446&amp;B1446, ""(?i)hubspot|pipedrive|stripe|shopify|woocommerce|sales|crm|invoice|order|leads?|recruitment|bamboohr|erpnext""), ""CRM &amp; Sales"",
  REGEXMATCH(A1446&amp;B1446, ""(?i)gmail|outlook|calenda"&amp;"r|slack|discord|telegram|whatsapp|notion|trello|drive|sheets?|meeting|scheduler|appointment|mattermost""), ""Productivity &amp; Communication"",
  REGEXMATCH(A1446&amp;B1446, ""(?i)github|api|webhook|http|mysql|supabase|mongodb|redis|rss|pr|code review|incident|p"&amp;"agerduty|jira""), ""Development &amp; Utilities"",
  TRUE, ""Others""
)"),"Productivity &amp; Communication")</f>
        <v>Productivity &amp; Communication</v>
      </c>
    </row>
    <row r="1447" ht="15.75" customHeight="1">
      <c r="A1447" s="14" t="s">
        <v>2867</v>
      </c>
      <c r="B1447" s="15" t="s">
        <v>2868</v>
      </c>
      <c r="C1447" s="16" t="s">
        <v>7</v>
      </c>
      <c r="D1447" s="12" t="str">
        <f>IFERROR(__xludf.DUMMYFUNCTION("IFS(
  REGEXMATCH(A1447&amp;B1447, ""(?i)openai|gpt|gemini|anthropic|claude|mistral|cohere|rag|vector|llm|chatbot|ai-powered""), ""AI &amp; LLM"",
  REGEXMATCH(A1447&amp;B1447, ""(?i)twitter|instagram|facebook|linkedin|youtube|tiktok|threads|bluesky|pinterest|social"&amp;" video|reels?|shorts?""), ""Social Media"",
  REGEXMATCH(A1447&amp;B1447, ""(?i)hubspot|pipedrive|stripe|shopify|woocommerce|sales|crm|invoice|order|leads?|recruitment|bamboohr|erpnext""), ""CRM &amp; Sales"",
  REGEXMATCH(A1447&amp;B1447, ""(?i)gmail|outlook|calenda"&amp;"r|slack|discord|telegram|whatsapp|notion|trello|drive|sheets?|meeting|scheduler|appointment|mattermost""), ""Productivity &amp; Communication"",
  REGEXMATCH(A1447&amp;B1447, ""(?i)github|api|webhook|http|mysql|supabase|mongodb|redis|rss|pr|code review|incident|p"&amp;"agerduty|jira""), ""Development &amp; Utilities"",
  TRUE, ""Others""
)"),"CRM &amp; Sales")</f>
        <v>CRM &amp; Sales</v>
      </c>
    </row>
    <row r="1448" ht="15.75" customHeight="1">
      <c r="A1448" s="14" t="s">
        <v>2869</v>
      </c>
      <c r="B1448" s="15" t="s">
        <v>2870</v>
      </c>
      <c r="C1448" s="16" t="s">
        <v>7</v>
      </c>
      <c r="D1448" s="12" t="str">
        <f>IFERROR(__xludf.DUMMYFUNCTION("IFS(
  REGEXMATCH(A1448&amp;B1448, ""(?i)openai|gpt|gemini|anthropic|claude|mistral|cohere|rag|vector|llm|chatbot|ai-powered""), ""AI &amp; LLM"",
  REGEXMATCH(A1448&amp;B1448, ""(?i)twitter|instagram|facebook|linkedin|youtube|tiktok|threads|bluesky|pinterest|social"&amp;" video|reels?|shorts?""), ""Social Media"",
  REGEXMATCH(A1448&amp;B1448, ""(?i)hubspot|pipedrive|stripe|shopify|woocommerce|sales|crm|invoice|order|leads?|recruitment|bamboohr|erpnext""), ""CRM &amp; Sales"",
  REGEXMATCH(A1448&amp;B1448, ""(?i)gmail|outlook|calenda"&amp;"r|slack|discord|telegram|whatsapp|notion|trello|drive|sheets?|meeting|scheduler|appointment|mattermost""), ""Productivity &amp; Communication"",
  REGEXMATCH(A1448&amp;B1448, ""(?i)github|api|webhook|http|mysql|supabase|mongodb|redis|rss|pr|code review|incident|p"&amp;"agerduty|jira""), ""Development &amp; Utilities"",
  TRUE, ""Others""
)"),"Development &amp; Utilities")</f>
        <v>Development &amp; Utilities</v>
      </c>
    </row>
    <row r="1449" ht="15.75" customHeight="1">
      <c r="A1449" s="14" t="s">
        <v>2871</v>
      </c>
      <c r="B1449" s="15" t="s">
        <v>2872</v>
      </c>
      <c r="C1449" s="16" t="s">
        <v>7</v>
      </c>
      <c r="D1449" s="12" t="str">
        <f>IFERROR(__xludf.DUMMYFUNCTION("IFS(
  REGEXMATCH(A1449&amp;B1449, ""(?i)openai|gpt|gemini|anthropic|claude|mistral|cohere|rag|vector|llm|chatbot|ai-powered""), ""AI &amp; LLM"",
  REGEXMATCH(A1449&amp;B1449, ""(?i)twitter|instagram|facebook|linkedin|youtube|tiktok|threads|bluesky|pinterest|social"&amp;" video|reels?|shorts?""), ""Social Media"",
  REGEXMATCH(A1449&amp;B1449, ""(?i)hubspot|pipedrive|stripe|shopify|woocommerce|sales|crm|invoice|order|leads?|recruitment|bamboohr|erpnext""), ""CRM &amp; Sales"",
  REGEXMATCH(A1449&amp;B1449, ""(?i)gmail|outlook|calenda"&amp;"r|slack|discord|telegram|whatsapp|notion|trello|drive|sheets?|meeting|scheduler|appointment|mattermost""), ""Productivity &amp; Communication"",
  REGEXMATCH(A1449&amp;B1449, ""(?i)github|api|webhook|http|mysql|supabase|mongodb|redis|rss|pr|code review|incident|p"&amp;"agerduty|jira""), ""Development &amp; Utilities"",
  TRUE, ""Others""
)"),"Productivity &amp; Communication")</f>
        <v>Productivity &amp; Communication</v>
      </c>
    </row>
    <row r="1450" ht="15.75" customHeight="1">
      <c r="A1450" s="14" t="s">
        <v>2873</v>
      </c>
      <c r="B1450" s="15" t="s">
        <v>2874</v>
      </c>
      <c r="C1450" s="16" t="s">
        <v>7</v>
      </c>
      <c r="D1450" s="12" t="str">
        <f>IFERROR(__xludf.DUMMYFUNCTION("IFS(
  REGEXMATCH(A1450&amp;B1450, ""(?i)openai|gpt|gemini|anthropic|claude|mistral|cohere|rag|vector|llm|chatbot|ai-powered""), ""AI &amp; LLM"",
  REGEXMATCH(A1450&amp;B1450, ""(?i)twitter|instagram|facebook|linkedin|youtube|tiktok|threads|bluesky|pinterest|social"&amp;" video|reels?|shorts?""), ""Social Media"",
  REGEXMATCH(A1450&amp;B1450, ""(?i)hubspot|pipedrive|stripe|shopify|woocommerce|sales|crm|invoice|order|leads?|recruitment|bamboohr|erpnext""), ""CRM &amp; Sales"",
  REGEXMATCH(A1450&amp;B1450, ""(?i)gmail|outlook|calenda"&amp;"r|slack|discord|telegram|whatsapp|notion|trello|drive|sheets?|meeting|scheduler|appointment|mattermost""), ""Productivity &amp; Communication"",
  REGEXMATCH(A1450&amp;B1450, ""(?i)github|api|webhook|http|mysql|supabase|mongodb|redis|rss|pr|code review|incident|p"&amp;"agerduty|jira""), ""Development &amp; Utilities"",
  TRUE, ""Others""
)"),"Productivity &amp; Communication")</f>
        <v>Productivity &amp; Communication</v>
      </c>
    </row>
    <row r="1451" ht="15.75" customHeight="1">
      <c r="A1451" s="14" t="s">
        <v>2875</v>
      </c>
      <c r="B1451" s="15" t="s">
        <v>2876</v>
      </c>
      <c r="C1451" s="16" t="s">
        <v>7</v>
      </c>
      <c r="D1451" s="12" t="str">
        <f>IFERROR(__xludf.DUMMYFUNCTION("IFS(
  REGEXMATCH(A1451&amp;B1451, ""(?i)openai|gpt|gemini|anthropic|claude|mistral|cohere|rag|vector|llm|chatbot|ai-powered""), ""AI &amp; LLM"",
  REGEXMATCH(A1451&amp;B1451, ""(?i)twitter|instagram|facebook|linkedin|youtube|tiktok|threads|bluesky|pinterest|social"&amp;" video|reels?|shorts?""), ""Social Media"",
  REGEXMATCH(A1451&amp;B1451, ""(?i)hubspot|pipedrive|stripe|shopify|woocommerce|sales|crm|invoice|order|leads?|recruitment|bamboohr|erpnext""), ""CRM &amp; Sales"",
  REGEXMATCH(A1451&amp;B1451, ""(?i)gmail|outlook|calenda"&amp;"r|slack|discord|telegram|whatsapp|notion|trello|drive|sheets?|meeting|scheduler|appointment|mattermost""), ""Productivity &amp; Communication"",
  REGEXMATCH(A1451&amp;B1451, ""(?i)github|api|webhook|http|mysql|supabase|mongodb|redis|rss|pr|code review|incident|p"&amp;"agerduty|jira""), ""Development &amp; Utilities"",
  TRUE, ""Others""
)"),"Development &amp; Utilities")</f>
        <v>Development &amp; Utilities</v>
      </c>
    </row>
    <row r="1452" ht="15.75" customHeight="1">
      <c r="A1452" s="14" t="s">
        <v>2877</v>
      </c>
      <c r="B1452" s="15" t="s">
        <v>2878</v>
      </c>
      <c r="C1452" s="16" t="s">
        <v>7</v>
      </c>
      <c r="D1452" s="12" t="str">
        <f>IFERROR(__xludf.DUMMYFUNCTION("IFS(
  REGEXMATCH(A1452&amp;B1452, ""(?i)openai|gpt|gemini|anthropic|claude|mistral|cohere|rag|vector|llm|chatbot|ai-powered""), ""AI &amp; LLM"",
  REGEXMATCH(A1452&amp;B1452, ""(?i)twitter|instagram|facebook|linkedin|youtube|tiktok|threads|bluesky|pinterest|social"&amp;" video|reels?|shorts?""), ""Social Media"",
  REGEXMATCH(A1452&amp;B1452, ""(?i)hubspot|pipedrive|stripe|shopify|woocommerce|sales|crm|invoice|order|leads?|recruitment|bamboohr|erpnext""), ""CRM &amp; Sales"",
  REGEXMATCH(A1452&amp;B1452, ""(?i)gmail|outlook|calenda"&amp;"r|slack|discord|telegram|whatsapp|notion|trello|drive|sheets?|meeting|scheduler|appointment|mattermost""), ""Productivity &amp; Communication"",
  REGEXMATCH(A1452&amp;B1452, ""(?i)github|api|webhook|http|mysql|supabase|mongodb|redis|rss|pr|code review|incident|p"&amp;"agerduty|jira""), ""Development &amp; Utilities"",
  TRUE, ""Others""
)"),"AI &amp; LLM")</f>
        <v>AI &amp; LLM</v>
      </c>
    </row>
    <row r="1453" ht="15.75" customHeight="1">
      <c r="A1453" s="14" t="s">
        <v>2879</v>
      </c>
      <c r="B1453" s="15" t="s">
        <v>2880</v>
      </c>
      <c r="C1453" s="16" t="s">
        <v>7</v>
      </c>
      <c r="D1453" s="12" t="str">
        <f>IFERROR(__xludf.DUMMYFUNCTION("IFS(
  REGEXMATCH(A1453&amp;B1453, ""(?i)openai|gpt|gemini|anthropic|claude|mistral|cohere|rag|vector|llm|chatbot|ai-powered""), ""AI &amp; LLM"",
  REGEXMATCH(A1453&amp;B1453, ""(?i)twitter|instagram|facebook|linkedin|youtube|tiktok|threads|bluesky|pinterest|social"&amp;" video|reels?|shorts?""), ""Social Media"",
  REGEXMATCH(A1453&amp;B1453, ""(?i)hubspot|pipedrive|stripe|shopify|woocommerce|sales|crm|invoice|order|leads?|recruitment|bamboohr|erpnext""), ""CRM &amp; Sales"",
  REGEXMATCH(A1453&amp;B1453, ""(?i)gmail|outlook|calenda"&amp;"r|slack|discord|telegram|whatsapp|notion|trello|drive|sheets?|meeting|scheduler|appointment|mattermost""), ""Productivity &amp; Communication"",
  REGEXMATCH(A1453&amp;B1453, ""(?i)github|api|webhook|http|mysql|supabase|mongodb|redis|rss|pr|code review|incident|p"&amp;"agerduty|jira""), ""Development &amp; Utilities"",
  TRUE, ""Others""
)"),"AI &amp; LLM")</f>
        <v>AI &amp; LLM</v>
      </c>
    </row>
    <row r="1454" ht="15.75" customHeight="1">
      <c r="A1454" s="14" t="s">
        <v>2881</v>
      </c>
      <c r="B1454" s="15" t="s">
        <v>2882</v>
      </c>
      <c r="C1454" s="16" t="s">
        <v>7</v>
      </c>
      <c r="D1454" s="12" t="str">
        <f>IFERROR(__xludf.DUMMYFUNCTION("IFS(
  REGEXMATCH(A1454&amp;B1454, ""(?i)openai|gpt|gemini|anthropic|claude|mistral|cohere|rag|vector|llm|chatbot|ai-powered""), ""AI &amp; LLM"",
  REGEXMATCH(A1454&amp;B1454, ""(?i)twitter|instagram|facebook|linkedin|youtube|tiktok|threads|bluesky|pinterest|social"&amp;" video|reels?|shorts?""), ""Social Media"",
  REGEXMATCH(A1454&amp;B1454, ""(?i)hubspot|pipedrive|stripe|shopify|woocommerce|sales|crm|invoice|order|leads?|recruitment|bamboohr|erpnext""), ""CRM &amp; Sales"",
  REGEXMATCH(A1454&amp;B1454, ""(?i)gmail|outlook|calenda"&amp;"r|slack|discord|telegram|whatsapp|notion|trello|drive|sheets?|meeting|scheduler|appointment|mattermost""), ""Productivity &amp; Communication"",
  REGEXMATCH(A1454&amp;B1454, ""(?i)github|api|webhook|http|mysql|supabase|mongodb|redis|rss|pr|code review|incident|p"&amp;"agerduty|jira""), ""Development &amp; Utilities"",
  TRUE, ""Others""
)"),"Development &amp; Utilities")</f>
        <v>Development &amp; Utilities</v>
      </c>
    </row>
    <row r="1455" ht="15.75" customHeight="1">
      <c r="A1455" s="14" t="s">
        <v>2883</v>
      </c>
      <c r="B1455" s="15" t="s">
        <v>2884</v>
      </c>
      <c r="C1455" s="16" t="s">
        <v>7</v>
      </c>
      <c r="D1455" s="12" t="str">
        <f>IFERROR(__xludf.DUMMYFUNCTION("IFS(
  REGEXMATCH(A1455&amp;B1455, ""(?i)openai|gpt|gemini|anthropic|claude|mistral|cohere|rag|vector|llm|chatbot|ai-powered""), ""AI &amp; LLM"",
  REGEXMATCH(A1455&amp;B1455, ""(?i)twitter|instagram|facebook|linkedin|youtube|tiktok|threads|bluesky|pinterest|social"&amp;" video|reels?|shorts?""), ""Social Media"",
  REGEXMATCH(A1455&amp;B1455, ""(?i)hubspot|pipedrive|stripe|shopify|woocommerce|sales|crm|invoice|order|leads?|recruitment|bamboohr|erpnext""), ""CRM &amp; Sales"",
  REGEXMATCH(A1455&amp;B1455, ""(?i)gmail|outlook|calenda"&amp;"r|slack|discord|telegram|whatsapp|notion|trello|drive|sheets?|meeting|scheduler|appointment|mattermost""), ""Productivity &amp; Communication"",
  REGEXMATCH(A1455&amp;B1455, ""(?i)github|api|webhook|http|mysql|supabase|mongodb|redis|rss|pr|code review|incident|p"&amp;"agerduty|jira""), ""Development &amp; Utilities"",
  TRUE, ""Others""
)"),"Productivity &amp; Communication")</f>
        <v>Productivity &amp; Communication</v>
      </c>
    </row>
    <row r="1456" ht="15.75" customHeight="1">
      <c r="A1456" s="14" t="s">
        <v>2885</v>
      </c>
      <c r="B1456" s="15" t="s">
        <v>2886</v>
      </c>
      <c r="C1456" s="16" t="s">
        <v>7</v>
      </c>
      <c r="D1456" s="12" t="str">
        <f>IFERROR(__xludf.DUMMYFUNCTION("IFS(
  REGEXMATCH(A1456&amp;B1456, ""(?i)openai|gpt|gemini|anthropic|claude|mistral|cohere|rag|vector|llm|chatbot|ai-powered""), ""AI &amp; LLM"",
  REGEXMATCH(A1456&amp;B1456, ""(?i)twitter|instagram|facebook|linkedin|youtube|tiktok|threads|bluesky|pinterest|social"&amp;" video|reels?|shorts?""), ""Social Media"",
  REGEXMATCH(A1456&amp;B1456, ""(?i)hubspot|pipedrive|stripe|shopify|woocommerce|sales|crm|invoice|order|leads?|recruitment|bamboohr|erpnext""), ""CRM &amp; Sales"",
  REGEXMATCH(A1456&amp;B1456, ""(?i)gmail|outlook|calenda"&amp;"r|slack|discord|telegram|whatsapp|notion|trello|drive|sheets?|meeting|scheduler|appointment|mattermost""), ""Productivity &amp; Communication"",
  REGEXMATCH(A1456&amp;B1456, ""(?i)github|api|webhook|http|mysql|supabase|mongodb|redis|rss|pr|code review|incident|p"&amp;"agerduty|jira""), ""Development &amp; Utilities"",
  TRUE, ""Others""
)"),"Development &amp; Utilities")</f>
        <v>Development &amp; Utilities</v>
      </c>
    </row>
    <row r="1457" ht="15.75" customHeight="1">
      <c r="A1457" s="14" t="s">
        <v>2887</v>
      </c>
      <c r="B1457" s="15" t="s">
        <v>2888</v>
      </c>
      <c r="C1457" s="16" t="s">
        <v>7</v>
      </c>
      <c r="D1457" s="12" t="str">
        <f>IFERROR(__xludf.DUMMYFUNCTION("IFS(
  REGEXMATCH(A1457&amp;B1457, ""(?i)openai|gpt|gemini|anthropic|claude|mistral|cohere|rag|vector|llm|chatbot|ai-powered""), ""AI &amp; LLM"",
  REGEXMATCH(A1457&amp;B1457, ""(?i)twitter|instagram|facebook|linkedin|youtube|tiktok|threads|bluesky|pinterest|social"&amp;" video|reels?|shorts?""), ""Social Media"",
  REGEXMATCH(A1457&amp;B1457, ""(?i)hubspot|pipedrive|stripe|shopify|woocommerce|sales|crm|invoice|order|leads?|recruitment|bamboohr|erpnext""), ""CRM &amp; Sales"",
  REGEXMATCH(A1457&amp;B1457, ""(?i)gmail|outlook|calenda"&amp;"r|slack|discord|telegram|whatsapp|notion|trello|drive|sheets?|meeting|scheduler|appointment|mattermost""), ""Productivity &amp; Communication"",
  REGEXMATCH(A1457&amp;B1457, ""(?i)github|api|webhook|http|mysql|supabase|mongodb|redis|rss|pr|code review|incident|p"&amp;"agerduty|jira""), ""Development &amp; Utilities"",
  TRUE, ""Others""
)"),"Development &amp; Utilities")</f>
        <v>Development &amp; Utilities</v>
      </c>
    </row>
    <row r="1458" ht="15.75" customHeight="1">
      <c r="A1458" s="14" t="s">
        <v>2889</v>
      </c>
      <c r="B1458" s="15" t="s">
        <v>2890</v>
      </c>
      <c r="C1458" s="16" t="s">
        <v>7</v>
      </c>
      <c r="D1458" s="12" t="str">
        <f>IFERROR(__xludf.DUMMYFUNCTION("IFS(
  REGEXMATCH(A1458&amp;B1458, ""(?i)openai|gpt|gemini|anthropic|claude|mistral|cohere|rag|vector|llm|chatbot|ai-powered""), ""AI &amp; LLM"",
  REGEXMATCH(A1458&amp;B1458, ""(?i)twitter|instagram|facebook|linkedin|youtube|tiktok|threads|bluesky|pinterest|social"&amp;" video|reels?|shorts?""), ""Social Media"",
  REGEXMATCH(A1458&amp;B1458, ""(?i)hubspot|pipedrive|stripe|shopify|woocommerce|sales|crm|invoice|order|leads?|recruitment|bamboohr|erpnext""), ""CRM &amp; Sales"",
  REGEXMATCH(A1458&amp;B1458, ""(?i)gmail|outlook|calenda"&amp;"r|slack|discord|telegram|whatsapp|notion|trello|drive|sheets?|meeting|scheduler|appointment|mattermost""), ""Productivity &amp; Communication"",
  REGEXMATCH(A1458&amp;B1458, ""(?i)github|api|webhook|http|mysql|supabase|mongodb|redis|rss|pr|code review|incident|p"&amp;"agerduty|jira""), ""Development &amp; Utilities"",
  TRUE, ""Others""
)"),"AI &amp; LLM")</f>
        <v>AI &amp; LLM</v>
      </c>
    </row>
    <row r="1459" ht="15.75" customHeight="1">
      <c r="A1459" s="14" t="s">
        <v>2891</v>
      </c>
      <c r="B1459" s="15" t="s">
        <v>2892</v>
      </c>
      <c r="C1459" s="16" t="s">
        <v>7</v>
      </c>
      <c r="D1459" s="12" t="str">
        <f>IFERROR(__xludf.DUMMYFUNCTION("IFS(
  REGEXMATCH(A1459&amp;B1459, ""(?i)openai|gpt|gemini|anthropic|claude|mistral|cohere|rag|vector|llm|chatbot|ai-powered""), ""AI &amp; LLM"",
  REGEXMATCH(A1459&amp;B1459, ""(?i)twitter|instagram|facebook|linkedin|youtube|tiktok|threads|bluesky|pinterest|social"&amp;" video|reels?|shorts?""), ""Social Media"",
  REGEXMATCH(A1459&amp;B1459, ""(?i)hubspot|pipedrive|stripe|shopify|woocommerce|sales|crm|invoice|order|leads?|recruitment|bamboohr|erpnext""), ""CRM &amp; Sales"",
  REGEXMATCH(A1459&amp;B1459, ""(?i)gmail|outlook|calenda"&amp;"r|slack|discord|telegram|whatsapp|notion|trello|drive|sheets?|meeting|scheduler|appointment|mattermost""), ""Productivity &amp; Communication"",
  REGEXMATCH(A1459&amp;B1459, ""(?i)github|api|webhook|http|mysql|supabase|mongodb|redis|rss|pr|code review|incident|p"&amp;"agerduty|jira""), ""Development &amp; Utilities"",
  TRUE, ""Others""
)"),"AI &amp; LLM")</f>
        <v>AI &amp; LLM</v>
      </c>
    </row>
    <row r="1460" ht="15.75" customHeight="1">
      <c r="A1460" s="14" t="s">
        <v>2893</v>
      </c>
      <c r="B1460" s="15" t="s">
        <v>2894</v>
      </c>
      <c r="C1460" s="16" t="s">
        <v>7</v>
      </c>
      <c r="D1460" s="12" t="str">
        <f>IFERROR(__xludf.DUMMYFUNCTION("IFS(
  REGEXMATCH(A1460&amp;B1460, ""(?i)openai|gpt|gemini|anthropic|claude|mistral|cohere|rag|vector|llm|chatbot|ai-powered""), ""AI &amp; LLM"",
  REGEXMATCH(A1460&amp;B1460, ""(?i)twitter|instagram|facebook|linkedin|youtube|tiktok|threads|bluesky|pinterest|social"&amp;" video|reels?|shorts?""), ""Social Media"",
  REGEXMATCH(A1460&amp;B1460, ""(?i)hubspot|pipedrive|stripe|shopify|woocommerce|sales|crm|invoice|order|leads?|recruitment|bamboohr|erpnext""), ""CRM &amp; Sales"",
  REGEXMATCH(A1460&amp;B1460, ""(?i)gmail|outlook|calenda"&amp;"r|slack|discord|telegram|whatsapp|notion|trello|drive|sheets?|meeting|scheduler|appointment|mattermost""), ""Productivity &amp; Communication"",
  REGEXMATCH(A1460&amp;B1460, ""(?i)github|api|webhook|http|mysql|supabase|mongodb|redis|rss|pr|code review|incident|p"&amp;"agerduty|jira""), ""Development &amp; Utilities"",
  TRUE, ""Others""
)"),"Development &amp; Utilities")</f>
        <v>Development &amp; Utilities</v>
      </c>
    </row>
    <row r="1461" ht="15.75" customHeight="1">
      <c r="A1461" s="14" t="s">
        <v>2895</v>
      </c>
      <c r="B1461" s="15" t="s">
        <v>2896</v>
      </c>
      <c r="C1461" s="16" t="s">
        <v>7</v>
      </c>
      <c r="D1461" s="12" t="str">
        <f>IFERROR(__xludf.DUMMYFUNCTION("IFS(
  REGEXMATCH(A1461&amp;B1461, ""(?i)openai|gpt|gemini|anthropic|claude|mistral|cohere|rag|vector|llm|chatbot|ai-powered""), ""AI &amp; LLM"",
  REGEXMATCH(A1461&amp;B1461, ""(?i)twitter|instagram|facebook|linkedin|youtube|tiktok|threads|bluesky|pinterest|social"&amp;" video|reels?|shorts?""), ""Social Media"",
  REGEXMATCH(A1461&amp;B1461, ""(?i)hubspot|pipedrive|stripe|shopify|woocommerce|sales|crm|invoice|order|leads?|recruitment|bamboohr|erpnext""), ""CRM &amp; Sales"",
  REGEXMATCH(A1461&amp;B1461, ""(?i)gmail|outlook|calenda"&amp;"r|slack|discord|telegram|whatsapp|notion|trello|drive|sheets?|meeting|scheduler|appointment|mattermost""), ""Productivity &amp; Communication"",
  REGEXMATCH(A1461&amp;B1461, ""(?i)github|api|webhook|http|mysql|supabase|mongodb|redis|rss|pr|code review|incident|p"&amp;"agerduty|jira""), ""Development &amp; Utilities"",
  TRUE, ""Others""
)"),"Productivity &amp; Communication")</f>
        <v>Productivity &amp; Communication</v>
      </c>
    </row>
    <row r="1462" ht="15.75" customHeight="1">
      <c r="A1462" s="14" t="s">
        <v>2897</v>
      </c>
      <c r="B1462" s="15" t="s">
        <v>2898</v>
      </c>
      <c r="C1462" s="16" t="s">
        <v>7</v>
      </c>
      <c r="D1462" s="12" t="str">
        <f>IFERROR(__xludf.DUMMYFUNCTION("IFS(
  REGEXMATCH(A1462&amp;B1462, ""(?i)openai|gpt|gemini|anthropic|claude|mistral|cohere|rag|vector|llm|chatbot|ai-powered""), ""AI &amp; LLM"",
  REGEXMATCH(A1462&amp;B1462, ""(?i)twitter|instagram|facebook|linkedin|youtube|tiktok|threads|bluesky|pinterest|social"&amp;" video|reels?|shorts?""), ""Social Media"",
  REGEXMATCH(A1462&amp;B1462, ""(?i)hubspot|pipedrive|stripe|shopify|woocommerce|sales|crm|invoice|order|leads?|recruitment|bamboohr|erpnext""), ""CRM &amp; Sales"",
  REGEXMATCH(A1462&amp;B1462, ""(?i)gmail|outlook|calenda"&amp;"r|slack|discord|telegram|whatsapp|notion|trello|drive|sheets?|meeting|scheduler|appointment|mattermost""), ""Productivity &amp; Communication"",
  REGEXMATCH(A1462&amp;B1462, ""(?i)github|api|webhook|http|mysql|supabase|mongodb|redis|rss|pr|code review|incident|p"&amp;"agerduty|jira""), ""Development &amp; Utilities"",
  TRUE, ""Others""
)"),"Development &amp; Utilities")</f>
        <v>Development &amp; Utilities</v>
      </c>
    </row>
    <row r="1463" ht="15.75" customHeight="1">
      <c r="A1463" s="14" t="s">
        <v>2899</v>
      </c>
      <c r="B1463" s="15" t="s">
        <v>2900</v>
      </c>
      <c r="C1463" s="16" t="s">
        <v>7</v>
      </c>
      <c r="D1463" s="12" t="str">
        <f>IFERROR(__xludf.DUMMYFUNCTION("IFS(
  REGEXMATCH(A1463&amp;B1463, ""(?i)openai|gpt|gemini|anthropic|claude|mistral|cohere|rag|vector|llm|chatbot|ai-powered""), ""AI &amp; LLM"",
  REGEXMATCH(A1463&amp;B1463, ""(?i)twitter|instagram|facebook|linkedin|youtube|tiktok|threads|bluesky|pinterest|social"&amp;" video|reels?|shorts?""), ""Social Media"",
  REGEXMATCH(A1463&amp;B1463, ""(?i)hubspot|pipedrive|stripe|shopify|woocommerce|sales|crm|invoice|order|leads?|recruitment|bamboohr|erpnext""), ""CRM &amp; Sales"",
  REGEXMATCH(A1463&amp;B1463, ""(?i)gmail|outlook|calenda"&amp;"r|slack|discord|telegram|whatsapp|notion|trello|drive|sheets?|meeting|scheduler|appointment|mattermost""), ""Productivity &amp; Communication"",
  REGEXMATCH(A1463&amp;B1463, ""(?i)github|api|webhook|http|mysql|supabase|mongodb|redis|rss|pr|code review|incident|p"&amp;"agerduty|jira""), ""Development &amp; Utilities"",
  TRUE, ""Others""
)"),"Productivity &amp; Communication")</f>
        <v>Productivity &amp; Communication</v>
      </c>
    </row>
    <row r="1464" ht="15.75" customHeight="1">
      <c r="A1464" s="14" t="s">
        <v>2901</v>
      </c>
      <c r="B1464" s="15" t="s">
        <v>2902</v>
      </c>
      <c r="C1464" s="16" t="s">
        <v>7</v>
      </c>
      <c r="D1464" s="12" t="str">
        <f>IFERROR(__xludf.DUMMYFUNCTION("IFS(
  REGEXMATCH(A1464&amp;B1464, ""(?i)openai|gpt|gemini|anthropic|claude|mistral|cohere|rag|vector|llm|chatbot|ai-powered""), ""AI &amp; LLM"",
  REGEXMATCH(A1464&amp;B1464, ""(?i)twitter|instagram|facebook|linkedin|youtube|tiktok|threads|bluesky|pinterest|social"&amp;" video|reels?|shorts?""), ""Social Media"",
  REGEXMATCH(A1464&amp;B1464, ""(?i)hubspot|pipedrive|stripe|shopify|woocommerce|sales|crm|invoice|order|leads?|recruitment|bamboohr|erpnext""), ""CRM &amp; Sales"",
  REGEXMATCH(A1464&amp;B1464, ""(?i)gmail|outlook|calenda"&amp;"r|slack|discord|telegram|whatsapp|notion|trello|drive|sheets?|meeting|scheduler|appointment|mattermost""), ""Productivity &amp; Communication"",
  REGEXMATCH(A1464&amp;B1464, ""(?i)github|api|webhook|http|mysql|supabase|mongodb|redis|rss|pr|code review|incident|p"&amp;"agerduty|jira""), ""Development &amp; Utilities"",
  TRUE, ""Others""
)"),"Development &amp; Utilities")</f>
        <v>Development &amp; Utilities</v>
      </c>
    </row>
    <row r="1465" ht="15.75" customHeight="1">
      <c r="A1465" s="14" t="s">
        <v>2903</v>
      </c>
      <c r="B1465" s="15" t="s">
        <v>2904</v>
      </c>
      <c r="C1465" s="16" t="s">
        <v>7</v>
      </c>
      <c r="D1465" s="12" t="str">
        <f>IFERROR(__xludf.DUMMYFUNCTION("IFS(
  REGEXMATCH(A1465&amp;B1465, ""(?i)openai|gpt|gemini|anthropic|claude|mistral|cohere|rag|vector|llm|chatbot|ai-powered""), ""AI &amp; LLM"",
  REGEXMATCH(A1465&amp;B1465, ""(?i)twitter|instagram|facebook|linkedin|youtube|tiktok|threads|bluesky|pinterest|social"&amp;" video|reels?|shorts?""), ""Social Media"",
  REGEXMATCH(A1465&amp;B1465, ""(?i)hubspot|pipedrive|stripe|shopify|woocommerce|sales|crm|invoice|order|leads?|recruitment|bamboohr|erpnext""), ""CRM &amp; Sales"",
  REGEXMATCH(A1465&amp;B1465, ""(?i)gmail|outlook|calenda"&amp;"r|slack|discord|telegram|whatsapp|notion|trello|drive|sheets?|meeting|scheduler|appointment|mattermost""), ""Productivity &amp; Communication"",
  REGEXMATCH(A1465&amp;B1465, ""(?i)github|api|webhook|http|mysql|supabase|mongodb|redis|rss|pr|code review|incident|p"&amp;"agerduty|jira""), ""Development &amp; Utilities"",
  TRUE, ""Others""
)"),"Development &amp; Utilities")</f>
        <v>Development &amp; Utilities</v>
      </c>
    </row>
    <row r="1466" ht="15.75" customHeight="1">
      <c r="A1466" s="14" t="s">
        <v>2905</v>
      </c>
      <c r="B1466" s="15" t="s">
        <v>2906</v>
      </c>
      <c r="C1466" s="16" t="s">
        <v>7</v>
      </c>
      <c r="D1466" s="12" t="str">
        <f>IFERROR(__xludf.DUMMYFUNCTION("IFS(
  REGEXMATCH(A1466&amp;B1466, ""(?i)openai|gpt|gemini|anthropic|claude|mistral|cohere|rag|vector|llm|chatbot|ai-powered""), ""AI &amp; LLM"",
  REGEXMATCH(A1466&amp;B1466, ""(?i)twitter|instagram|facebook|linkedin|youtube|tiktok|threads|bluesky|pinterest|social"&amp;" video|reels?|shorts?""), ""Social Media"",
  REGEXMATCH(A1466&amp;B1466, ""(?i)hubspot|pipedrive|stripe|shopify|woocommerce|sales|crm|invoice|order|leads?|recruitment|bamboohr|erpnext""), ""CRM &amp; Sales"",
  REGEXMATCH(A1466&amp;B1466, ""(?i)gmail|outlook|calenda"&amp;"r|slack|discord|telegram|whatsapp|notion|trello|drive|sheets?|meeting|scheduler|appointment|mattermost""), ""Productivity &amp; Communication"",
  REGEXMATCH(A1466&amp;B1466, ""(?i)github|api|webhook|http|mysql|supabase|mongodb|redis|rss|pr|code review|incident|p"&amp;"agerduty|jira""), ""Development &amp; Utilities"",
  TRUE, ""Others""
)"),"CRM &amp; Sales")</f>
        <v>CRM &amp; Sales</v>
      </c>
    </row>
    <row r="1467" ht="15.75" customHeight="1">
      <c r="A1467" s="14" t="s">
        <v>2907</v>
      </c>
      <c r="B1467" s="15" t="s">
        <v>2908</v>
      </c>
      <c r="C1467" s="16" t="s">
        <v>7</v>
      </c>
      <c r="D1467" s="12" t="str">
        <f>IFERROR(__xludf.DUMMYFUNCTION("IFS(
  REGEXMATCH(A1467&amp;B1467, ""(?i)openai|gpt|gemini|anthropic|claude|mistral|cohere|rag|vector|llm|chatbot|ai-powered""), ""AI &amp; LLM"",
  REGEXMATCH(A1467&amp;B1467, ""(?i)twitter|instagram|facebook|linkedin|youtube|tiktok|threads|bluesky|pinterest|social"&amp;" video|reels?|shorts?""), ""Social Media"",
  REGEXMATCH(A1467&amp;B1467, ""(?i)hubspot|pipedrive|stripe|shopify|woocommerce|sales|crm|invoice|order|leads?|recruitment|bamboohr|erpnext""), ""CRM &amp; Sales"",
  REGEXMATCH(A1467&amp;B1467, ""(?i)gmail|outlook|calenda"&amp;"r|slack|discord|telegram|whatsapp|notion|trello|drive|sheets?|meeting|scheduler|appointment|mattermost""), ""Productivity &amp; Communication"",
  REGEXMATCH(A1467&amp;B1467, ""(?i)github|api|webhook|http|mysql|supabase|mongodb|redis|rss|pr|code review|incident|p"&amp;"agerduty|jira""), ""Development &amp; Utilities"",
  TRUE, ""Others""
)"),"Development &amp; Utilities")</f>
        <v>Development &amp; Utilities</v>
      </c>
    </row>
    <row r="1468" ht="15.75" customHeight="1">
      <c r="A1468" s="14" t="s">
        <v>2909</v>
      </c>
      <c r="B1468" s="15" t="s">
        <v>2910</v>
      </c>
      <c r="C1468" s="16" t="s">
        <v>7</v>
      </c>
      <c r="D1468" s="12" t="str">
        <f>IFERROR(__xludf.DUMMYFUNCTION("IFS(
  REGEXMATCH(A1468&amp;B1468, ""(?i)openai|gpt|gemini|anthropic|claude|mistral|cohere|rag|vector|llm|chatbot|ai-powered""), ""AI &amp; LLM"",
  REGEXMATCH(A1468&amp;B1468, ""(?i)twitter|instagram|facebook|linkedin|youtube|tiktok|threads|bluesky|pinterest|social"&amp;" video|reels?|shorts?""), ""Social Media"",
  REGEXMATCH(A1468&amp;B1468, ""(?i)hubspot|pipedrive|stripe|shopify|woocommerce|sales|crm|invoice|order|leads?|recruitment|bamboohr|erpnext""), ""CRM &amp; Sales"",
  REGEXMATCH(A1468&amp;B1468, ""(?i)gmail|outlook|calenda"&amp;"r|slack|discord|telegram|whatsapp|notion|trello|drive|sheets?|meeting|scheduler|appointment|mattermost""), ""Productivity &amp; Communication"",
  REGEXMATCH(A1468&amp;B1468, ""(?i)github|api|webhook|http|mysql|supabase|mongodb|redis|rss|pr|code review|incident|p"&amp;"agerduty|jira""), ""Development &amp; Utilities"",
  TRUE, ""Others""
)"),"Productivity &amp; Communication")</f>
        <v>Productivity &amp; Communication</v>
      </c>
    </row>
    <row r="1469" ht="15.75" customHeight="1">
      <c r="A1469" s="14" t="s">
        <v>2911</v>
      </c>
      <c r="B1469" s="15" t="s">
        <v>2912</v>
      </c>
      <c r="C1469" s="16" t="s">
        <v>7</v>
      </c>
      <c r="D1469" s="12" t="str">
        <f>IFERROR(__xludf.DUMMYFUNCTION("IFS(
  REGEXMATCH(A1469&amp;B1469, ""(?i)openai|gpt|gemini|anthropic|claude|mistral|cohere|rag|vector|llm|chatbot|ai-powered""), ""AI &amp; LLM"",
  REGEXMATCH(A1469&amp;B1469, ""(?i)twitter|instagram|facebook|linkedin|youtube|tiktok|threads|bluesky|pinterest|social"&amp;" video|reels?|shorts?""), ""Social Media"",
  REGEXMATCH(A1469&amp;B1469, ""(?i)hubspot|pipedrive|stripe|shopify|woocommerce|sales|crm|invoice|order|leads?|recruitment|bamboohr|erpnext""), ""CRM &amp; Sales"",
  REGEXMATCH(A1469&amp;B1469, ""(?i)gmail|outlook|calenda"&amp;"r|slack|discord|telegram|whatsapp|notion|trello|drive|sheets?|meeting|scheduler|appointment|mattermost""), ""Productivity &amp; Communication"",
  REGEXMATCH(A1469&amp;B1469, ""(?i)github|api|webhook|http|mysql|supabase|mongodb|redis|rss|pr|code review|incident|p"&amp;"agerduty|jira""), ""Development &amp; Utilities"",
  TRUE, ""Others""
)"),"Development &amp; Utilities")</f>
        <v>Development &amp; Utilities</v>
      </c>
    </row>
    <row r="1470" ht="15.75" customHeight="1">
      <c r="A1470" s="14" t="s">
        <v>2913</v>
      </c>
      <c r="B1470" s="15" t="s">
        <v>2914</v>
      </c>
      <c r="C1470" s="16" t="s">
        <v>7</v>
      </c>
      <c r="D1470" s="12" t="str">
        <f>IFERROR(__xludf.DUMMYFUNCTION("IFS(
  REGEXMATCH(A1470&amp;B1470, ""(?i)openai|gpt|gemini|anthropic|claude|mistral|cohere|rag|vector|llm|chatbot|ai-powered""), ""AI &amp; LLM"",
  REGEXMATCH(A1470&amp;B1470, ""(?i)twitter|instagram|facebook|linkedin|youtube|tiktok|threads|bluesky|pinterest|social"&amp;" video|reels?|shorts?""), ""Social Media"",
  REGEXMATCH(A1470&amp;B1470, ""(?i)hubspot|pipedrive|stripe|shopify|woocommerce|sales|crm|invoice|order|leads?|recruitment|bamboohr|erpnext""), ""CRM &amp; Sales"",
  REGEXMATCH(A1470&amp;B1470, ""(?i)gmail|outlook|calenda"&amp;"r|slack|discord|telegram|whatsapp|notion|trello|drive|sheets?|meeting|scheduler|appointment|mattermost""), ""Productivity &amp; Communication"",
  REGEXMATCH(A1470&amp;B1470, ""(?i)github|api|webhook|http|mysql|supabase|mongodb|redis|rss|pr|code review|incident|p"&amp;"agerduty|jira""), ""Development &amp; Utilities"",
  TRUE, ""Others""
)"),"Development &amp; Utilities")</f>
        <v>Development &amp; Utilities</v>
      </c>
    </row>
    <row r="1471" ht="15.75" customHeight="1">
      <c r="A1471" s="14" t="s">
        <v>2915</v>
      </c>
      <c r="B1471" s="15" t="s">
        <v>2916</v>
      </c>
      <c r="C1471" s="16" t="s">
        <v>7</v>
      </c>
      <c r="D1471" s="12" t="str">
        <f>IFERROR(__xludf.DUMMYFUNCTION("IFS(
  REGEXMATCH(A1471&amp;B1471, ""(?i)openai|gpt|gemini|anthropic|claude|mistral|cohere|rag|vector|llm|chatbot|ai-powered""), ""AI &amp; LLM"",
  REGEXMATCH(A1471&amp;B1471, ""(?i)twitter|instagram|facebook|linkedin|youtube|tiktok|threads|bluesky|pinterest|social"&amp;" video|reels?|shorts?""), ""Social Media"",
  REGEXMATCH(A1471&amp;B1471, ""(?i)hubspot|pipedrive|stripe|shopify|woocommerce|sales|crm|invoice|order|leads?|recruitment|bamboohr|erpnext""), ""CRM &amp; Sales"",
  REGEXMATCH(A1471&amp;B1471, ""(?i)gmail|outlook|calenda"&amp;"r|slack|discord|telegram|whatsapp|notion|trello|drive|sheets?|meeting|scheduler|appointment|mattermost""), ""Productivity &amp; Communication"",
  REGEXMATCH(A1471&amp;B1471, ""(?i)github|api|webhook|http|mysql|supabase|mongodb|redis|rss|pr|code review|incident|p"&amp;"agerduty|jira""), ""Development &amp; Utilities"",
  TRUE, ""Others""
)"),"Productivity &amp; Communication")</f>
        <v>Productivity &amp; Communication</v>
      </c>
    </row>
    <row r="1472" ht="15.75" customHeight="1">
      <c r="A1472" s="14" t="s">
        <v>2917</v>
      </c>
      <c r="B1472" s="15" t="s">
        <v>2918</v>
      </c>
      <c r="C1472" s="16" t="s">
        <v>7</v>
      </c>
      <c r="D1472" s="12" t="str">
        <f>IFERROR(__xludf.DUMMYFUNCTION("IFS(
  REGEXMATCH(A1472&amp;B1472, ""(?i)openai|gpt|gemini|anthropic|claude|mistral|cohere|rag|vector|llm|chatbot|ai-powered""), ""AI &amp; LLM"",
  REGEXMATCH(A1472&amp;B1472, ""(?i)twitter|instagram|facebook|linkedin|youtube|tiktok|threads|bluesky|pinterest|social"&amp;" video|reels?|shorts?""), ""Social Media"",
  REGEXMATCH(A1472&amp;B1472, ""(?i)hubspot|pipedrive|stripe|shopify|woocommerce|sales|crm|invoice|order|leads?|recruitment|bamboohr|erpnext""), ""CRM &amp; Sales"",
  REGEXMATCH(A1472&amp;B1472, ""(?i)gmail|outlook|calenda"&amp;"r|slack|discord|telegram|whatsapp|notion|trello|drive|sheets?|meeting|scheduler|appointment|mattermost""), ""Productivity &amp; Communication"",
  REGEXMATCH(A1472&amp;B1472, ""(?i)github|api|webhook|http|mysql|supabase|mongodb|redis|rss|pr|code review|incident|p"&amp;"agerduty|jira""), ""Development &amp; Utilities"",
  TRUE, ""Others""
)"),"Development &amp; Utilities")</f>
        <v>Development &amp; Utilities</v>
      </c>
    </row>
    <row r="1473" ht="15.75" customHeight="1">
      <c r="A1473" s="14" t="s">
        <v>2919</v>
      </c>
      <c r="B1473" s="15" t="s">
        <v>2920</v>
      </c>
      <c r="C1473" s="16" t="s">
        <v>7</v>
      </c>
      <c r="D1473" s="12" t="str">
        <f>IFERROR(__xludf.DUMMYFUNCTION("IFS(
  REGEXMATCH(A1473&amp;B1473, ""(?i)openai|gpt|gemini|anthropic|claude|mistral|cohere|rag|vector|llm|chatbot|ai-powered""), ""AI &amp; LLM"",
  REGEXMATCH(A1473&amp;B1473, ""(?i)twitter|instagram|facebook|linkedin|youtube|tiktok|threads|bluesky|pinterest|social"&amp;" video|reels?|shorts?""), ""Social Media"",
  REGEXMATCH(A1473&amp;B1473, ""(?i)hubspot|pipedrive|stripe|shopify|woocommerce|sales|crm|invoice|order|leads?|recruitment|bamboohr|erpnext""), ""CRM &amp; Sales"",
  REGEXMATCH(A1473&amp;B1473, ""(?i)gmail|outlook|calenda"&amp;"r|slack|discord|telegram|whatsapp|notion|trello|drive|sheets?|meeting|scheduler|appointment|mattermost""), ""Productivity &amp; Communication"",
  REGEXMATCH(A1473&amp;B1473, ""(?i)github|api|webhook|http|mysql|supabase|mongodb|redis|rss|pr|code review|incident|p"&amp;"agerduty|jira""), ""Development &amp; Utilities"",
  TRUE, ""Others""
)"),"Development &amp; Utilities")</f>
        <v>Development &amp; Utilities</v>
      </c>
    </row>
    <row r="1474" ht="15.75" customHeight="1">
      <c r="A1474" s="14" t="s">
        <v>2921</v>
      </c>
      <c r="B1474" s="15" t="s">
        <v>2922</v>
      </c>
      <c r="C1474" s="16" t="s">
        <v>7</v>
      </c>
      <c r="D1474" s="12" t="str">
        <f>IFERROR(__xludf.DUMMYFUNCTION("IFS(
  REGEXMATCH(A1474&amp;B1474, ""(?i)openai|gpt|gemini|anthropic|claude|mistral|cohere|rag|vector|llm|chatbot|ai-powered""), ""AI &amp; LLM"",
  REGEXMATCH(A1474&amp;B1474, ""(?i)twitter|instagram|facebook|linkedin|youtube|tiktok|threads|bluesky|pinterest|social"&amp;" video|reels?|shorts?""), ""Social Media"",
  REGEXMATCH(A1474&amp;B1474, ""(?i)hubspot|pipedrive|stripe|shopify|woocommerce|sales|crm|invoice|order|leads?|recruitment|bamboohr|erpnext""), ""CRM &amp; Sales"",
  REGEXMATCH(A1474&amp;B1474, ""(?i)gmail|outlook|calenda"&amp;"r|slack|discord|telegram|whatsapp|notion|trello|drive|sheets?|meeting|scheduler|appointment|mattermost""), ""Productivity &amp; Communication"",
  REGEXMATCH(A1474&amp;B1474, ""(?i)github|api|webhook|http|mysql|supabase|mongodb|redis|rss|pr|code review|incident|p"&amp;"agerduty|jira""), ""Development &amp; Utilities"",
  TRUE, ""Others""
)"),"Development &amp; Utilities")</f>
        <v>Development &amp; Utilities</v>
      </c>
    </row>
    <row r="1475" ht="15.75" customHeight="1">
      <c r="A1475" s="14" t="s">
        <v>2923</v>
      </c>
      <c r="B1475" s="15" t="s">
        <v>2924</v>
      </c>
      <c r="C1475" s="16" t="s">
        <v>7</v>
      </c>
      <c r="D1475" s="12" t="str">
        <f>IFERROR(__xludf.DUMMYFUNCTION("IFS(
  REGEXMATCH(A1475&amp;B1475, ""(?i)openai|gpt|gemini|anthropic|claude|mistral|cohere|rag|vector|llm|chatbot|ai-powered""), ""AI &amp; LLM"",
  REGEXMATCH(A1475&amp;B1475, ""(?i)twitter|instagram|facebook|linkedin|youtube|tiktok|threads|bluesky|pinterest|social"&amp;" video|reels?|shorts?""), ""Social Media"",
  REGEXMATCH(A1475&amp;B1475, ""(?i)hubspot|pipedrive|stripe|shopify|woocommerce|sales|crm|invoice|order|leads?|recruitment|bamboohr|erpnext""), ""CRM &amp; Sales"",
  REGEXMATCH(A1475&amp;B1475, ""(?i)gmail|outlook|calenda"&amp;"r|slack|discord|telegram|whatsapp|notion|trello|drive|sheets?|meeting|scheduler|appointment|mattermost""), ""Productivity &amp; Communication"",
  REGEXMATCH(A1475&amp;B1475, ""(?i)github|api|webhook|http|mysql|supabase|mongodb|redis|rss|pr|code review|incident|p"&amp;"agerduty|jira""), ""Development &amp; Utilities"",
  TRUE, ""Others""
)"),"Development &amp; Utilities")</f>
        <v>Development &amp; Utilities</v>
      </c>
    </row>
    <row r="1476" ht="15.75" customHeight="1">
      <c r="A1476" s="14" t="s">
        <v>2925</v>
      </c>
      <c r="B1476" s="15" t="s">
        <v>2926</v>
      </c>
      <c r="C1476" s="16" t="s">
        <v>7</v>
      </c>
      <c r="D1476" s="12" t="str">
        <f>IFERROR(__xludf.DUMMYFUNCTION("IFS(
  REGEXMATCH(A1476&amp;B1476, ""(?i)openai|gpt|gemini|anthropic|claude|mistral|cohere|rag|vector|llm|chatbot|ai-powered""), ""AI &amp; LLM"",
  REGEXMATCH(A1476&amp;B1476, ""(?i)twitter|instagram|facebook|linkedin|youtube|tiktok|threads|bluesky|pinterest|social"&amp;" video|reels?|shorts?""), ""Social Media"",
  REGEXMATCH(A1476&amp;B1476, ""(?i)hubspot|pipedrive|stripe|shopify|woocommerce|sales|crm|invoice|order|leads?|recruitment|bamboohr|erpnext""), ""CRM &amp; Sales"",
  REGEXMATCH(A1476&amp;B1476, ""(?i)gmail|outlook|calenda"&amp;"r|slack|discord|telegram|whatsapp|notion|trello|drive|sheets?|meeting|scheduler|appointment|mattermost""), ""Productivity &amp; Communication"",
  REGEXMATCH(A1476&amp;B1476, ""(?i)github|api|webhook|http|mysql|supabase|mongodb|redis|rss|pr|code review|incident|p"&amp;"agerduty|jira""), ""Development &amp; Utilities"",
  TRUE, ""Others""
)"),"Development &amp; Utilities")</f>
        <v>Development &amp; Utilities</v>
      </c>
    </row>
    <row r="1477" ht="15.75" customHeight="1">
      <c r="A1477" s="14" t="s">
        <v>2927</v>
      </c>
      <c r="B1477" s="15" t="s">
        <v>2928</v>
      </c>
      <c r="C1477" s="16" t="s">
        <v>7</v>
      </c>
      <c r="D1477" s="12" t="str">
        <f>IFERROR(__xludf.DUMMYFUNCTION("IFS(
  REGEXMATCH(A1477&amp;B1477, ""(?i)openai|gpt|gemini|anthropic|claude|mistral|cohere|rag|vector|llm|chatbot|ai-powered""), ""AI &amp; LLM"",
  REGEXMATCH(A1477&amp;B1477, ""(?i)twitter|instagram|facebook|linkedin|youtube|tiktok|threads|bluesky|pinterest|social"&amp;" video|reels?|shorts?""), ""Social Media"",
  REGEXMATCH(A1477&amp;B1477, ""(?i)hubspot|pipedrive|stripe|shopify|woocommerce|sales|crm|invoice|order|leads?|recruitment|bamboohr|erpnext""), ""CRM &amp; Sales"",
  REGEXMATCH(A1477&amp;B1477, ""(?i)gmail|outlook|calenda"&amp;"r|slack|discord|telegram|whatsapp|notion|trello|drive|sheets?|meeting|scheduler|appointment|mattermost""), ""Productivity &amp; Communication"",
  REGEXMATCH(A1477&amp;B1477, ""(?i)github|api|webhook|http|mysql|supabase|mongodb|redis|rss|pr|code review|incident|p"&amp;"agerduty|jira""), ""Development &amp; Utilities"",
  TRUE, ""Others""
)"),"Development &amp; Utilities")</f>
        <v>Development &amp; Utilities</v>
      </c>
    </row>
    <row r="1478" ht="15.75" customHeight="1">
      <c r="A1478" s="14" t="s">
        <v>2929</v>
      </c>
      <c r="B1478" s="15" t="s">
        <v>2930</v>
      </c>
      <c r="C1478" s="16" t="s">
        <v>7</v>
      </c>
      <c r="D1478" s="12" t="str">
        <f>IFERROR(__xludf.DUMMYFUNCTION("IFS(
  REGEXMATCH(A1478&amp;B1478, ""(?i)openai|gpt|gemini|anthropic|claude|mistral|cohere|rag|vector|llm|chatbot|ai-powered""), ""AI &amp; LLM"",
  REGEXMATCH(A1478&amp;B1478, ""(?i)twitter|instagram|facebook|linkedin|youtube|tiktok|threads|bluesky|pinterest|social"&amp;" video|reels?|shorts?""), ""Social Media"",
  REGEXMATCH(A1478&amp;B1478, ""(?i)hubspot|pipedrive|stripe|shopify|woocommerce|sales|crm|invoice|order|leads?|recruitment|bamboohr|erpnext""), ""CRM &amp; Sales"",
  REGEXMATCH(A1478&amp;B1478, ""(?i)gmail|outlook|calenda"&amp;"r|slack|discord|telegram|whatsapp|notion|trello|drive|sheets?|meeting|scheduler|appointment|mattermost""), ""Productivity &amp; Communication"",
  REGEXMATCH(A1478&amp;B1478, ""(?i)github|api|webhook|http|mysql|supabase|mongodb|redis|rss|pr|code review|incident|p"&amp;"agerduty|jira""), ""Development &amp; Utilities"",
  TRUE, ""Others""
)"),"AI &amp; LLM")</f>
        <v>AI &amp; LLM</v>
      </c>
    </row>
    <row r="1479" ht="15.75" customHeight="1">
      <c r="A1479" s="14" t="s">
        <v>2931</v>
      </c>
      <c r="B1479" s="15" t="s">
        <v>2932</v>
      </c>
      <c r="C1479" s="16" t="s">
        <v>7</v>
      </c>
      <c r="D1479" s="12" t="str">
        <f>IFERROR(__xludf.DUMMYFUNCTION("IFS(
  REGEXMATCH(A1479&amp;B1479, ""(?i)openai|gpt|gemini|anthropic|claude|mistral|cohere|rag|vector|llm|chatbot|ai-powered""), ""AI &amp; LLM"",
  REGEXMATCH(A1479&amp;B1479, ""(?i)twitter|instagram|facebook|linkedin|youtube|tiktok|threads|bluesky|pinterest|social"&amp;" video|reels?|shorts?""), ""Social Media"",
  REGEXMATCH(A1479&amp;B1479, ""(?i)hubspot|pipedrive|stripe|shopify|woocommerce|sales|crm|invoice|order|leads?|recruitment|bamboohr|erpnext""), ""CRM &amp; Sales"",
  REGEXMATCH(A1479&amp;B1479, ""(?i)gmail|outlook|calenda"&amp;"r|slack|discord|telegram|whatsapp|notion|trello|drive|sheets?|meeting|scheduler|appointment|mattermost""), ""Productivity &amp; Communication"",
  REGEXMATCH(A1479&amp;B1479, ""(?i)github|api|webhook|http|mysql|supabase|mongodb|redis|rss|pr|code review|incident|p"&amp;"agerduty|jira""), ""Development &amp; Utilities"",
  TRUE, ""Others""
)"),"Development &amp; Utilities")</f>
        <v>Development &amp; Utilities</v>
      </c>
    </row>
    <row r="1480" ht="15.75" customHeight="1">
      <c r="A1480" s="14" t="s">
        <v>2933</v>
      </c>
      <c r="B1480" s="15" t="s">
        <v>2934</v>
      </c>
      <c r="C1480" s="16" t="s">
        <v>7</v>
      </c>
      <c r="D1480" s="12" t="str">
        <f>IFERROR(__xludf.DUMMYFUNCTION("IFS(
  REGEXMATCH(A1480&amp;B1480, ""(?i)openai|gpt|gemini|anthropic|claude|mistral|cohere|rag|vector|llm|chatbot|ai-powered""), ""AI &amp; LLM"",
  REGEXMATCH(A1480&amp;B1480, ""(?i)twitter|instagram|facebook|linkedin|youtube|tiktok|threads|bluesky|pinterest|social"&amp;" video|reels?|shorts?""), ""Social Media"",
  REGEXMATCH(A1480&amp;B1480, ""(?i)hubspot|pipedrive|stripe|shopify|woocommerce|sales|crm|invoice|order|leads?|recruitment|bamboohr|erpnext""), ""CRM &amp; Sales"",
  REGEXMATCH(A1480&amp;B1480, ""(?i)gmail|outlook|calenda"&amp;"r|slack|discord|telegram|whatsapp|notion|trello|drive|sheets?|meeting|scheduler|appointment|mattermost""), ""Productivity &amp; Communication"",
  REGEXMATCH(A1480&amp;B1480, ""(?i)github|api|webhook|http|mysql|supabase|mongodb|redis|rss|pr|code review|incident|p"&amp;"agerduty|jira""), ""Development &amp; Utilities"",
  TRUE, ""Others""
)"),"Development &amp; Utilities")</f>
        <v>Development &amp; Utilities</v>
      </c>
    </row>
    <row r="1481" ht="15.75" customHeight="1">
      <c r="A1481" s="14" t="s">
        <v>2935</v>
      </c>
      <c r="B1481" s="15" t="s">
        <v>2936</v>
      </c>
      <c r="C1481" s="16" t="s">
        <v>7</v>
      </c>
      <c r="D1481" s="12" t="str">
        <f>IFERROR(__xludf.DUMMYFUNCTION("IFS(
  REGEXMATCH(A1481&amp;B1481, ""(?i)openai|gpt|gemini|anthropic|claude|mistral|cohere|rag|vector|llm|chatbot|ai-powered""), ""AI &amp; LLM"",
  REGEXMATCH(A1481&amp;B1481, ""(?i)twitter|instagram|facebook|linkedin|youtube|tiktok|threads|bluesky|pinterest|social"&amp;" video|reels?|shorts?""), ""Social Media"",
  REGEXMATCH(A1481&amp;B1481, ""(?i)hubspot|pipedrive|stripe|shopify|woocommerce|sales|crm|invoice|order|leads?|recruitment|bamboohr|erpnext""), ""CRM &amp; Sales"",
  REGEXMATCH(A1481&amp;B1481, ""(?i)gmail|outlook|calenda"&amp;"r|slack|discord|telegram|whatsapp|notion|trello|drive|sheets?|meeting|scheduler|appointment|mattermost""), ""Productivity &amp; Communication"",
  REGEXMATCH(A1481&amp;B1481, ""(?i)github|api|webhook|http|mysql|supabase|mongodb|redis|rss|pr|code review|incident|p"&amp;"agerduty|jira""), ""Development &amp; Utilities"",
  TRUE, ""Others""
)"),"Development &amp; Utilities")</f>
        <v>Development &amp; Utilities</v>
      </c>
    </row>
    <row r="1482" ht="15.75" customHeight="1">
      <c r="A1482" s="14" t="s">
        <v>2937</v>
      </c>
      <c r="B1482" s="15" t="s">
        <v>2938</v>
      </c>
      <c r="C1482" s="16" t="s">
        <v>7</v>
      </c>
      <c r="D1482" s="12" t="str">
        <f>IFERROR(__xludf.DUMMYFUNCTION("IFS(
  REGEXMATCH(A1482&amp;B1482, ""(?i)openai|gpt|gemini|anthropic|claude|mistral|cohere|rag|vector|llm|chatbot|ai-powered""), ""AI &amp; LLM"",
  REGEXMATCH(A1482&amp;B1482, ""(?i)twitter|instagram|facebook|linkedin|youtube|tiktok|threads|bluesky|pinterest|social"&amp;" video|reels?|shorts?""), ""Social Media"",
  REGEXMATCH(A1482&amp;B1482, ""(?i)hubspot|pipedrive|stripe|shopify|woocommerce|sales|crm|invoice|order|leads?|recruitment|bamboohr|erpnext""), ""CRM &amp; Sales"",
  REGEXMATCH(A1482&amp;B1482, ""(?i)gmail|outlook|calenda"&amp;"r|slack|discord|telegram|whatsapp|notion|trello|drive|sheets?|meeting|scheduler|appointment|mattermost""), ""Productivity &amp; Communication"",
  REGEXMATCH(A1482&amp;B1482, ""(?i)github|api|webhook|http|mysql|supabase|mongodb|redis|rss|pr|code review|incident|p"&amp;"agerduty|jira""), ""Development &amp; Utilities"",
  TRUE, ""Others""
)"),"Development &amp; Utilities")</f>
        <v>Development &amp; Utilities</v>
      </c>
    </row>
    <row r="1483" ht="15.75" customHeight="1">
      <c r="A1483" s="14" t="s">
        <v>2939</v>
      </c>
      <c r="B1483" s="15" t="s">
        <v>2940</v>
      </c>
      <c r="C1483" s="16" t="s">
        <v>7</v>
      </c>
      <c r="D1483" s="12" t="str">
        <f>IFERROR(__xludf.DUMMYFUNCTION("IFS(
  REGEXMATCH(A1483&amp;B1483, ""(?i)openai|gpt|gemini|anthropic|claude|mistral|cohere|rag|vector|llm|chatbot|ai-powered""), ""AI &amp; LLM"",
  REGEXMATCH(A1483&amp;B1483, ""(?i)twitter|instagram|facebook|linkedin|youtube|tiktok|threads|bluesky|pinterest|social"&amp;" video|reels?|shorts?""), ""Social Media"",
  REGEXMATCH(A1483&amp;B1483, ""(?i)hubspot|pipedrive|stripe|shopify|woocommerce|sales|crm|invoice|order|leads?|recruitment|bamboohr|erpnext""), ""CRM &amp; Sales"",
  REGEXMATCH(A1483&amp;B1483, ""(?i)gmail|outlook|calenda"&amp;"r|slack|discord|telegram|whatsapp|notion|trello|drive|sheets?|meeting|scheduler|appointment|mattermost""), ""Productivity &amp; Communication"",
  REGEXMATCH(A1483&amp;B1483, ""(?i)github|api|webhook|http|mysql|supabase|mongodb|redis|rss|pr|code review|incident|p"&amp;"agerduty|jira""), ""Development &amp; Utilities"",
  TRUE, ""Others""
)"),"Development &amp; Utilities")</f>
        <v>Development &amp; Utilities</v>
      </c>
    </row>
    <row r="1484" ht="15.75" customHeight="1">
      <c r="A1484" s="14" t="s">
        <v>2941</v>
      </c>
      <c r="B1484" s="15" t="s">
        <v>2942</v>
      </c>
      <c r="C1484" s="16" t="s">
        <v>7</v>
      </c>
      <c r="D1484" s="12" t="str">
        <f>IFERROR(__xludf.DUMMYFUNCTION("IFS(
  REGEXMATCH(A1484&amp;B1484, ""(?i)openai|gpt|gemini|anthropic|claude|mistral|cohere|rag|vector|llm|chatbot|ai-powered""), ""AI &amp; LLM"",
  REGEXMATCH(A1484&amp;B1484, ""(?i)twitter|instagram|facebook|linkedin|youtube|tiktok|threads|bluesky|pinterest|social"&amp;" video|reels?|shorts?""), ""Social Media"",
  REGEXMATCH(A1484&amp;B1484, ""(?i)hubspot|pipedrive|stripe|shopify|woocommerce|sales|crm|invoice|order|leads?|recruitment|bamboohr|erpnext""), ""CRM &amp; Sales"",
  REGEXMATCH(A1484&amp;B1484, ""(?i)gmail|outlook|calenda"&amp;"r|slack|discord|telegram|whatsapp|notion|trello|drive|sheets?|meeting|scheduler|appointment|mattermost""), ""Productivity &amp; Communication"",
  REGEXMATCH(A1484&amp;B1484, ""(?i)github|api|webhook|http|mysql|supabase|mongodb|redis|rss|pr|code review|incident|p"&amp;"agerduty|jira""), ""Development &amp; Utilities"",
  TRUE, ""Others""
)"),"Others")</f>
        <v>Others</v>
      </c>
    </row>
    <row r="1485" ht="15.75" customHeight="1">
      <c r="A1485" s="14" t="s">
        <v>2943</v>
      </c>
      <c r="B1485" s="15" t="s">
        <v>2944</v>
      </c>
      <c r="C1485" s="16" t="s">
        <v>7</v>
      </c>
      <c r="D1485" s="12" t="str">
        <f>IFERROR(__xludf.DUMMYFUNCTION("IFS(
  REGEXMATCH(A1485&amp;B1485, ""(?i)openai|gpt|gemini|anthropic|claude|mistral|cohere|rag|vector|llm|chatbot|ai-powered""), ""AI &amp; LLM"",
  REGEXMATCH(A1485&amp;B1485, ""(?i)twitter|instagram|facebook|linkedin|youtube|tiktok|threads|bluesky|pinterest|social"&amp;" video|reels?|shorts?""), ""Social Media"",
  REGEXMATCH(A1485&amp;B1485, ""(?i)hubspot|pipedrive|stripe|shopify|woocommerce|sales|crm|invoice|order|leads?|recruitment|bamboohr|erpnext""), ""CRM &amp; Sales"",
  REGEXMATCH(A1485&amp;B1485, ""(?i)gmail|outlook|calenda"&amp;"r|slack|discord|telegram|whatsapp|notion|trello|drive|sheets?|meeting|scheduler|appointment|mattermost""), ""Productivity &amp; Communication"",
  REGEXMATCH(A1485&amp;B1485, ""(?i)github|api|webhook|http|mysql|supabase|mongodb|redis|rss|pr|code review|incident|p"&amp;"agerduty|jira""), ""Development &amp; Utilities"",
  TRUE, ""Others""
)"),"Others")</f>
        <v>Others</v>
      </c>
    </row>
    <row r="1486" ht="15.75" customHeight="1">
      <c r="A1486" s="14" t="s">
        <v>2945</v>
      </c>
      <c r="B1486" s="15" t="s">
        <v>2946</v>
      </c>
      <c r="C1486" s="16" t="s">
        <v>7</v>
      </c>
      <c r="D1486" s="12" t="str">
        <f>IFERROR(__xludf.DUMMYFUNCTION("IFS(
  REGEXMATCH(A1486&amp;B1486, ""(?i)openai|gpt|gemini|anthropic|claude|mistral|cohere|rag|vector|llm|chatbot|ai-powered""), ""AI &amp; LLM"",
  REGEXMATCH(A1486&amp;B1486, ""(?i)twitter|instagram|facebook|linkedin|youtube|tiktok|threads|bluesky|pinterest|social"&amp;" video|reels?|shorts?""), ""Social Media"",
  REGEXMATCH(A1486&amp;B1486, ""(?i)hubspot|pipedrive|stripe|shopify|woocommerce|sales|crm|invoice|order|leads?|recruitment|bamboohr|erpnext""), ""CRM &amp; Sales"",
  REGEXMATCH(A1486&amp;B1486, ""(?i)gmail|outlook|calenda"&amp;"r|slack|discord|telegram|whatsapp|notion|trello|drive|sheets?|meeting|scheduler|appointment|mattermost""), ""Productivity &amp; Communication"",
  REGEXMATCH(A1486&amp;B1486, ""(?i)github|api|webhook|http|mysql|supabase|mongodb|redis|rss|pr|code review|incident|p"&amp;"agerduty|jira""), ""Development &amp; Utilities"",
  TRUE, ""Others""
)"),"AI &amp; LLM")</f>
        <v>AI &amp; LLM</v>
      </c>
    </row>
    <row r="1487" ht="15.75" customHeight="1">
      <c r="A1487" s="14" t="s">
        <v>2947</v>
      </c>
      <c r="B1487" s="15" t="s">
        <v>2948</v>
      </c>
      <c r="C1487" s="16" t="s">
        <v>7</v>
      </c>
      <c r="D1487" s="12" t="str">
        <f>IFERROR(__xludf.DUMMYFUNCTION("IFS(
  REGEXMATCH(A1487&amp;B1487, ""(?i)openai|gpt|gemini|anthropic|claude|mistral|cohere|rag|vector|llm|chatbot|ai-powered""), ""AI &amp; LLM"",
  REGEXMATCH(A1487&amp;B1487, ""(?i)twitter|instagram|facebook|linkedin|youtube|tiktok|threads|bluesky|pinterest|social"&amp;" video|reels?|shorts?""), ""Social Media"",
  REGEXMATCH(A1487&amp;B1487, ""(?i)hubspot|pipedrive|stripe|shopify|woocommerce|sales|crm|invoice|order|leads?|recruitment|bamboohr|erpnext""), ""CRM &amp; Sales"",
  REGEXMATCH(A1487&amp;B1487, ""(?i)gmail|outlook|calenda"&amp;"r|slack|discord|telegram|whatsapp|notion|trello|drive|sheets?|meeting|scheduler|appointment|mattermost""), ""Productivity &amp; Communication"",
  REGEXMATCH(A1487&amp;B1487, ""(?i)github|api|webhook|http|mysql|supabase|mongodb|redis|rss|pr|code review|incident|p"&amp;"agerduty|jira""), ""Development &amp; Utilities"",
  TRUE, ""Others""
)"),"Development &amp; Utilities")</f>
        <v>Development &amp; Utilities</v>
      </c>
    </row>
    <row r="1488" ht="15.75" customHeight="1">
      <c r="A1488" s="14" t="s">
        <v>2949</v>
      </c>
      <c r="B1488" s="15" t="s">
        <v>2950</v>
      </c>
      <c r="C1488" s="16" t="s">
        <v>7</v>
      </c>
      <c r="D1488" s="12" t="str">
        <f>IFERROR(__xludf.DUMMYFUNCTION("IFS(
  REGEXMATCH(A1488&amp;B1488, ""(?i)openai|gpt|gemini|anthropic|claude|mistral|cohere|rag|vector|llm|chatbot|ai-powered""), ""AI &amp; LLM"",
  REGEXMATCH(A1488&amp;B1488, ""(?i)twitter|instagram|facebook|linkedin|youtube|tiktok|threads|bluesky|pinterest|social"&amp;" video|reels?|shorts?""), ""Social Media"",
  REGEXMATCH(A1488&amp;B1488, ""(?i)hubspot|pipedrive|stripe|shopify|woocommerce|sales|crm|invoice|order|leads?|recruitment|bamboohr|erpnext""), ""CRM &amp; Sales"",
  REGEXMATCH(A1488&amp;B1488, ""(?i)gmail|outlook|calenda"&amp;"r|slack|discord|telegram|whatsapp|notion|trello|drive|sheets?|meeting|scheduler|appointment|mattermost""), ""Productivity &amp; Communication"",
  REGEXMATCH(A1488&amp;B1488, ""(?i)github|api|webhook|http|mysql|supabase|mongodb|redis|rss|pr|code review|incident|p"&amp;"agerduty|jira""), ""Development &amp; Utilities"",
  TRUE, ""Others""
)"),"Development &amp; Utilities")</f>
        <v>Development &amp; Utilities</v>
      </c>
    </row>
    <row r="1489" ht="15.75" customHeight="1">
      <c r="A1489" s="14" t="s">
        <v>2951</v>
      </c>
      <c r="B1489" s="15" t="s">
        <v>2952</v>
      </c>
      <c r="C1489" s="16" t="s">
        <v>7</v>
      </c>
      <c r="D1489" s="12" t="str">
        <f>IFERROR(__xludf.DUMMYFUNCTION("IFS(
  REGEXMATCH(A1489&amp;B1489, ""(?i)openai|gpt|gemini|anthropic|claude|mistral|cohere|rag|vector|llm|chatbot|ai-powered""), ""AI &amp; LLM"",
  REGEXMATCH(A1489&amp;B1489, ""(?i)twitter|instagram|facebook|linkedin|youtube|tiktok|threads|bluesky|pinterest|social"&amp;" video|reels?|shorts?""), ""Social Media"",
  REGEXMATCH(A1489&amp;B1489, ""(?i)hubspot|pipedrive|stripe|shopify|woocommerce|sales|crm|invoice|order|leads?|recruitment|bamboohr|erpnext""), ""CRM &amp; Sales"",
  REGEXMATCH(A1489&amp;B1489, ""(?i)gmail|outlook|calenda"&amp;"r|slack|discord|telegram|whatsapp|notion|trello|drive|sheets?|meeting|scheduler|appointment|mattermost""), ""Productivity &amp; Communication"",
  REGEXMATCH(A1489&amp;B1489, ""(?i)github|api|webhook|http|mysql|supabase|mongodb|redis|rss|pr|code review|incident|p"&amp;"agerduty|jira""), ""Development &amp; Utilities"",
  TRUE, ""Others""
)"),"Development &amp; Utilities")</f>
        <v>Development &amp; Utilities</v>
      </c>
    </row>
    <row r="1490" ht="15.75" customHeight="1">
      <c r="A1490" s="14" t="s">
        <v>2953</v>
      </c>
      <c r="B1490" s="15" t="s">
        <v>2954</v>
      </c>
      <c r="C1490" s="16" t="s">
        <v>7</v>
      </c>
      <c r="D1490" s="12" t="str">
        <f>IFERROR(__xludf.DUMMYFUNCTION("IFS(
  REGEXMATCH(A1490&amp;B1490, ""(?i)openai|gpt|gemini|anthropic|claude|mistral|cohere|rag|vector|llm|chatbot|ai-powered""), ""AI &amp; LLM"",
  REGEXMATCH(A1490&amp;B1490, ""(?i)twitter|instagram|facebook|linkedin|youtube|tiktok|threads|bluesky|pinterest|social"&amp;" video|reels?|shorts?""), ""Social Media"",
  REGEXMATCH(A1490&amp;B1490, ""(?i)hubspot|pipedrive|stripe|shopify|woocommerce|sales|crm|invoice|order|leads?|recruitment|bamboohr|erpnext""), ""CRM &amp; Sales"",
  REGEXMATCH(A1490&amp;B1490, ""(?i)gmail|outlook|calenda"&amp;"r|slack|discord|telegram|whatsapp|notion|trello|drive|sheets?|meeting|scheduler|appointment|mattermost""), ""Productivity &amp; Communication"",
  REGEXMATCH(A1490&amp;B1490, ""(?i)github|api|webhook|http|mysql|supabase|mongodb|redis|rss|pr|code review|incident|p"&amp;"agerduty|jira""), ""Development &amp; Utilities"",
  TRUE, ""Others""
)"),"AI &amp; LLM")</f>
        <v>AI &amp; LLM</v>
      </c>
    </row>
    <row r="1491" ht="15.75" customHeight="1">
      <c r="A1491" s="14" t="s">
        <v>2955</v>
      </c>
      <c r="B1491" s="15" t="s">
        <v>2956</v>
      </c>
      <c r="C1491" s="16" t="s">
        <v>7</v>
      </c>
      <c r="D1491" s="12" t="str">
        <f>IFERROR(__xludf.DUMMYFUNCTION("IFS(
  REGEXMATCH(A1491&amp;B1491, ""(?i)openai|gpt|gemini|anthropic|claude|mistral|cohere|rag|vector|llm|chatbot|ai-powered""), ""AI &amp; LLM"",
  REGEXMATCH(A1491&amp;B1491, ""(?i)twitter|instagram|facebook|linkedin|youtube|tiktok|threads|bluesky|pinterest|social"&amp;" video|reels?|shorts?""), ""Social Media"",
  REGEXMATCH(A1491&amp;B1491, ""(?i)hubspot|pipedrive|stripe|shopify|woocommerce|sales|crm|invoice|order|leads?|recruitment|bamboohr|erpnext""), ""CRM &amp; Sales"",
  REGEXMATCH(A1491&amp;B1491, ""(?i)gmail|outlook|calenda"&amp;"r|slack|discord|telegram|whatsapp|notion|trello|drive|sheets?|meeting|scheduler|appointment|mattermost""), ""Productivity &amp; Communication"",
  REGEXMATCH(A1491&amp;B1491, ""(?i)github|api|webhook|http|mysql|supabase|mongodb|redis|rss|pr|code review|incident|p"&amp;"agerduty|jira""), ""Development &amp; Utilities"",
  TRUE, ""Others""
)"),"AI &amp; LLM")</f>
        <v>AI &amp; LLM</v>
      </c>
    </row>
    <row r="1492" ht="15.75" customHeight="1">
      <c r="A1492" s="14" t="s">
        <v>2957</v>
      </c>
      <c r="B1492" s="15" t="s">
        <v>2958</v>
      </c>
      <c r="C1492" s="16" t="s">
        <v>7</v>
      </c>
      <c r="D1492" s="12" t="str">
        <f>IFERROR(__xludf.DUMMYFUNCTION("IFS(
  REGEXMATCH(A1492&amp;B1492, ""(?i)openai|gpt|gemini|anthropic|claude|mistral|cohere|rag|vector|llm|chatbot|ai-powered""), ""AI &amp; LLM"",
  REGEXMATCH(A1492&amp;B1492, ""(?i)twitter|instagram|facebook|linkedin|youtube|tiktok|threads|bluesky|pinterest|social"&amp;" video|reels?|shorts?""), ""Social Media"",
  REGEXMATCH(A1492&amp;B1492, ""(?i)hubspot|pipedrive|stripe|shopify|woocommerce|sales|crm|invoice|order|leads?|recruitment|bamboohr|erpnext""), ""CRM &amp; Sales"",
  REGEXMATCH(A1492&amp;B1492, ""(?i)gmail|outlook|calenda"&amp;"r|slack|discord|telegram|whatsapp|notion|trello|drive|sheets?|meeting|scheduler|appointment|mattermost""), ""Productivity &amp; Communication"",
  REGEXMATCH(A1492&amp;B1492, ""(?i)github|api|webhook|http|mysql|supabase|mongodb|redis|rss|pr|code review|incident|p"&amp;"agerduty|jira""), ""Development &amp; Utilities"",
  TRUE, ""Others""
)"),"AI &amp; LLM")</f>
        <v>AI &amp; LLM</v>
      </c>
    </row>
    <row r="1493" ht="15.75" customHeight="1">
      <c r="A1493" s="14" t="s">
        <v>2959</v>
      </c>
      <c r="B1493" s="15" t="s">
        <v>2960</v>
      </c>
      <c r="C1493" s="16" t="s">
        <v>7</v>
      </c>
      <c r="D1493" s="12" t="str">
        <f>IFERROR(__xludf.DUMMYFUNCTION("IFS(
  REGEXMATCH(A1493&amp;B1493, ""(?i)openai|gpt|gemini|anthropic|claude|mistral|cohere|rag|vector|llm|chatbot|ai-powered""), ""AI &amp; LLM"",
  REGEXMATCH(A1493&amp;B1493, ""(?i)twitter|instagram|facebook|linkedin|youtube|tiktok|threads|bluesky|pinterest|social"&amp;" video|reels?|shorts?""), ""Social Media"",
  REGEXMATCH(A1493&amp;B1493, ""(?i)hubspot|pipedrive|stripe|shopify|woocommerce|sales|crm|invoice|order|leads?|recruitment|bamboohr|erpnext""), ""CRM &amp; Sales"",
  REGEXMATCH(A1493&amp;B1493, ""(?i)gmail|outlook|calenda"&amp;"r|slack|discord|telegram|whatsapp|notion|trello|drive|sheets?|meeting|scheduler|appointment|mattermost""), ""Productivity &amp; Communication"",
  REGEXMATCH(A1493&amp;B1493, ""(?i)github|api|webhook|http|mysql|supabase|mongodb|redis|rss|pr|code review|incident|p"&amp;"agerduty|jira""), ""Development &amp; Utilities"",
  TRUE, ""Others""
)"),"Social Media")</f>
        <v>Social Media</v>
      </c>
    </row>
    <row r="1494" ht="15.75" customHeight="1">
      <c r="A1494" s="14" t="s">
        <v>2961</v>
      </c>
      <c r="B1494" s="15" t="s">
        <v>2962</v>
      </c>
      <c r="C1494" s="16" t="s">
        <v>7</v>
      </c>
      <c r="D1494" s="12" t="str">
        <f>IFERROR(__xludf.DUMMYFUNCTION("IFS(
  REGEXMATCH(A1494&amp;B1494, ""(?i)openai|gpt|gemini|anthropic|claude|mistral|cohere|rag|vector|llm|chatbot|ai-powered""), ""AI &amp; LLM"",
  REGEXMATCH(A1494&amp;B1494, ""(?i)twitter|instagram|facebook|linkedin|youtube|tiktok|threads|bluesky|pinterest|social"&amp;" video|reels?|shorts?""), ""Social Media"",
  REGEXMATCH(A1494&amp;B1494, ""(?i)hubspot|pipedrive|stripe|shopify|woocommerce|sales|crm|invoice|order|leads?|recruitment|bamboohr|erpnext""), ""CRM &amp; Sales"",
  REGEXMATCH(A1494&amp;B1494, ""(?i)gmail|outlook|calenda"&amp;"r|slack|discord|telegram|whatsapp|notion|trello|drive|sheets?|meeting|scheduler|appointment|mattermost""), ""Productivity &amp; Communication"",
  REGEXMATCH(A1494&amp;B1494, ""(?i)github|api|webhook|http|mysql|supabase|mongodb|redis|rss|pr|code review|incident|p"&amp;"agerduty|jira""), ""Development &amp; Utilities"",
  TRUE, ""Others""
)"),"Development &amp; Utilities")</f>
        <v>Development &amp; Utilities</v>
      </c>
    </row>
    <row r="1495" ht="15.75" customHeight="1">
      <c r="A1495" s="14" t="s">
        <v>2963</v>
      </c>
      <c r="B1495" s="15" t="s">
        <v>2964</v>
      </c>
      <c r="C1495" s="16" t="s">
        <v>7</v>
      </c>
      <c r="D1495" s="12" t="str">
        <f>IFERROR(__xludf.DUMMYFUNCTION("IFS(
  REGEXMATCH(A1495&amp;B1495, ""(?i)openai|gpt|gemini|anthropic|claude|mistral|cohere|rag|vector|llm|chatbot|ai-powered""), ""AI &amp; LLM"",
  REGEXMATCH(A1495&amp;B1495, ""(?i)twitter|instagram|facebook|linkedin|youtube|tiktok|threads|bluesky|pinterest|social"&amp;" video|reels?|shorts?""), ""Social Media"",
  REGEXMATCH(A1495&amp;B1495, ""(?i)hubspot|pipedrive|stripe|shopify|woocommerce|sales|crm|invoice|order|leads?|recruitment|bamboohr|erpnext""), ""CRM &amp; Sales"",
  REGEXMATCH(A1495&amp;B1495, ""(?i)gmail|outlook|calenda"&amp;"r|slack|discord|telegram|whatsapp|notion|trello|drive|sheets?|meeting|scheduler|appointment|mattermost""), ""Productivity &amp; Communication"",
  REGEXMATCH(A1495&amp;B1495, ""(?i)github|api|webhook|http|mysql|supabase|mongodb|redis|rss|pr|code review|incident|p"&amp;"agerduty|jira""), ""Development &amp; Utilities"",
  TRUE, ""Others""
)"),"Development &amp; Utilities")</f>
        <v>Development &amp; Utilities</v>
      </c>
    </row>
    <row r="1496" ht="15.75" customHeight="1">
      <c r="A1496" s="14" t="s">
        <v>2965</v>
      </c>
      <c r="B1496" s="15" t="s">
        <v>2966</v>
      </c>
      <c r="C1496" s="16" t="s">
        <v>7</v>
      </c>
      <c r="D1496" s="12" t="str">
        <f>IFERROR(__xludf.DUMMYFUNCTION("IFS(
  REGEXMATCH(A1496&amp;B1496, ""(?i)openai|gpt|gemini|anthropic|claude|mistral|cohere|rag|vector|llm|chatbot|ai-powered""), ""AI &amp; LLM"",
  REGEXMATCH(A1496&amp;B1496, ""(?i)twitter|instagram|facebook|linkedin|youtube|tiktok|threads|bluesky|pinterest|social"&amp;" video|reels?|shorts?""), ""Social Media"",
  REGEXMATCH(A1496&amp;B1496, ""(?i)hubspot|pipedrive|stripe|shopify|woocommerce|sales|crm|invoice|order|leads?|recruitment|bamboohr|erpnext""), ""CRM &amp; Sales"",
  REGEXMATCH(A1496&amp;B1496, ""(?i)gmail|outlook|calenda"&amp;"r|slack|discord|telegram|whatsapp|notion|trello|drive|sheets?|meeting|scheduler|appointment|mattermost""), ""Productivity &amp; Communication"",
  REGEXMATCH(A1496&amp;B1496, ""(?i)github|api|webhook|http|mysql|supabase|mongodb|redis|rss|pr|code review|incident|p"&amp;"agerduty|jira""), ""Development &amp; Utilities"",
  TRUE, ""Others""
)"),"AI &amp; LLM")</f>
        <v>AI &amp; LLM</v>
      </c>
    </row>
    <row r="1497" ht="15.75" customHeight="1">
      <c r="A1497" s="14" t="s">
        <v>2967</v>
      </c>
      <c r="B1497" s="15" t="s">
        <v>2968</v>
      </c>
      <c r="C1497" s="16" t="s">
        <v>7</v>
      </c>
      <c r="D1497" s="12" t="str">
        <f>IFERROR(__xludf.DUMMYFUNCTION("IFS(
  REGEXMATCH(A1497&amp;B1497, ""(?i)openai|gpt|gemini|anthropic|claude|mistral|cohere|rag|vector|llm|chatbot|ai-powered""), ""AI &amp; LLM"",
  REGEXMATCH(A1497&amp;B1497, ""(?i)twitter|instagram|facebook|linkedin|youtube|tiktok|threads|bluesky|pinterest|social"&amp;" video|reels?|shorts?""), ""Social Media"",
  REGEXMATCH(A1497&amp;B1497, ""(?i)hubspot|pipedrive|stripe|shopify|woocommerce|sales|crm|invoice|order|leads?|recruitment|bamboohr|erpnext""), ""CRM &amp; Sales"",
  REGEXMATCH(A1497&amp;B1497, ""(?i)gmail|outlook|calenda"&amp;"r|slack|discord|telegram|whatsapp|notion|trello|drive|sheets?|meeting|scheduler|appointment|mattermost""), ""Productivity &amp; Communication"",
  REGEXMATCH(A1497&amp;B1497, ""(?i)github|api|webhook|http|mysql|supabase|mongodb|redis|rss|pr|code review|incident|p"&amp;"agerduty|jira""), ""Development &amp; Utilities"",
  TRUE, ""Others""
)"),"Development &amp; Utilities")</f>
        <v>Development &amp; Utilities</v>
      </c>
    </row>
    <row r="1498" ht="15.75" customHeight="1">
      <c r="A1498" s="14" t="s">
        <v>2969</v>
      </c>
      <c r="B1498" s="15" t="s">
        <v>2970</v>
      </c>
      <c r="C1498" s="16" t="s">
        <v>7</v>
      </c>
      <c r="D1498" s="12" t="str">
        <f>IFERROR(__xludf.DUMMYFUNCTION("IFS(
  REGEXMATCH(A1498&amp;B1498, ""(?i)openai|gpt|gemini|anthropic|claude|mistral|cohere|rag|vector|llm|chatbot|ai-powered""), ""AI &amp; LLM"",
  REGEXMATCH(A1498&amp;B1498, ""(?i)twitter|instagram|facebook|linkedin|youtube|tiktok|threads|bluesky|pinterest|social"&amp;" video|reels?|shorts?""), ""Social Media"",
  REGEXMATCH(A1498&amp;B1498, ""(?i)hubspot|pipedrive|stripe|shopify|woocommerce|sales|crm|invoice|order|leads?|recruitment|bamboohr|erpnext""), ""CRM &amp; Sales"",
  REGEXMATCH(A1498&amp;B1498, ""(?i)gmail|outlook|calenda"&amp;"r|slack|discord|telegram|whatsapp|notion|trello|drive|sheets?|meeting|scheduler|appointment|mattermost""), ""Productivity &amp; Communication"",
  REGEXMATCH(A1498&amp;B1498, ""(?i)github|api|webhook|http|mysql|supabase|mongodb|redis|rss|pr|code review|incident|p"&amp;"agerduty|jira""), ""Development &amp; Utilities"",
  TRUE, ""Others""
)"),"Productivity &amp; Communication")</f>
        <v>Productivity &amp; Communication</v>
      </c>
    </row>
    <row r="1499" ht="15.75" customHeight="1">
      <c r="A1499" s="14" t="s">
        <v>2971</v>
      </c>
      <c r="B1499" s="15" t="s">
        <v>2972</v>
      </c>
      <c r="C1499" s="16" t="s">
        <v>7</v>
      </c>
      <c r="D1499" s="12" t="str">
        <f>IFERROR(__xludf.DUMMYFUNCTION("IFS(
  REGEXMATCH(A1499&amp;B1499, ""(?i)openai|gpt|gemini|anthropic|claude|mistral|cohere|rag|vector|llm|chatbot|ai-powered""), ""AI &amp; LLM"",
  REGEXMATCH(A1499&amp;B1499, ""(?i)twitter|instagram|facebook|linkedin|youtube|tiktok|threads|bluesky|pinterest|social"&amp;" video|reels?|shorts?""), ""Social Media"",
  REGEXMATCH(A1499&amp;B1499, ""(?i)hubspot|pipedrive|stripe|shopify|woocommerce|sales|crm|invoice|order|leads?|recruitment|bamboohr|erpnext""), ""CRM &amp; Sales"",
  REGEXMATCH(A1499&amp;B1499, ""(?i)gmail|outlook|calenda"&amp;"r|slack|discord|telegram|whatsapp|notion|trello|drive|sheets?|meeting|scheduler|appointment|mattermost""), ""Productivity &amp; Communication"",
  REGEXMATCH(A1499&amp;B1499, ""(?i)github|api|webhook|http|mysql|supabase|mongodb|redis|rss|pr|code review|incident|p"&amp;"agerduty|jira""), ""Development &amp; Utilities"",
  TRUE, ""Others""
)"),"Productivity &amp; Communication")</f>
        <v>Productivity &amp; Communication</v>
      </c>
    </row>
    <row r="1500" ht="15.75" customHeight="1">
      <c r="A1500" s="14" t="s">
        <v>2973</v>
      </c>
      <c r="B1500" s="15" t="s">
        <v>2974</v>
      </c>
      <c r="C1500" s="16" t="s">
        <v>7</v>
      </c>
      <c r="D1500" s="12" t="str">
        <f>IFERROR(__xludf.DUMMYFUNCTION("IFS(
  REGEXMATCH(A1500&amp;B1500, ""(?i)openai|gpt|gemini|anthropic|claude|mistral|cohere|rag|vector|llm|chatbot|ai-powered""), ""AI &amp; LLM"",
  REGEXMATCH(A1500&amp;B1500, ""(?i)twitter|instagram|facebook|linkedin|youtube|tiktok|threads|bluesky|pinterest|social"&amp;" video|reels?|shorts?""), ""Social Media"",
  REGEXMATCH(A1500&amp;B1500, ""(?i)hubspot|pipedrive|stripe|shopify|woocommerce|sales|crm|invoice|order|leads?|recruitment|bamboohr|erpnext""), ""CRM &amp; Sales"",
  REGEXMATCH(A1500&amp;B1500, ""(?i)gmail|outlook|calenda"&amp;"r|slack|discord|telegram|whatsapp|notion|trello|drive|sheets?|meeting|scheduler|appointment|mattermost""), ""Productivity &amp; Communication"",
  REGEXMATCH(A1500&amp;B1500, ""(?i)github|api|webhook|http|mysql|supabase|mongodb|redis|rss|pr|code review|incident|p"&amp;"agerduty|jira""), ""Development &amp; Utilities"",
  TRUE, ""Others""
)"),"AI &amp; LLM")</f>
        <v>AI &amp; LLM</v>
      </c>
    </row>
    <row r="1501" ht="15.75" customHeight="1">
      <c r="A1501" s="14" t="s">
        <v>2975</v>
      </c>
      <c r="B1501" s="15" t="s">
        <v>2976</v>
      </c>
      <c r="C1501" s="16" t="s">
        <v>7</v>
      </c>
      <c r="D1501" s="12" t="str">
        <f>IFERROR(__xludf.DUMMYFUNCTION("IFS(
  REGEXMATCH(A1501&amp;B1501, ""(?i)openai|gpt|gemini|anthropic|claude|mistral|cohere|rag|vector|llm|chatbot|ai-powered""), ""AI &amp; LLM"",
  REGEXMATCH(A1501&amp;B1501, ""(?i)twitter|instagram|facebook|linkedin|youtube|tiktok|threads|bluesky|pinterest|social"&amp;" video|reels?|shorts?""), ""Social Media"",
  REGEXMATCH(A1501&amp;B1501, ""(?i)hubspot|pipedrive|stripe|shopify|woocommerce|sales|crm|invoice|order|leads?|recruitment|bamboohr|erpnext""), ""CRM &amp; Sales"",
  REGEXMATCH(A1501&amp;B1501, ""(?i)gmail|outlook|calenda"&amp;"r|slack|discord|telegram|whatsapp|notion|trello|drive|sheets?|meeting|scheduler|appointment|mattermost""), ""Productivity &amp; Communication"",
  REGEXMATCH(A1501&amp;B1501, ""(?i)github|api|webhook|http|mysql|supabase|mongodb|redis|rss|pr|code review|incident|p"&amp;"agerduty|jira""), ""Development &amp; Utilities"",
  TRUE, ""Others""
)"),"Productivity &amp; Communication")</f>
        <v>Productivity &amp; Communication</v>
      </c>
    </row>
    <row r="1502" ht="15.75" customHeight="1">
      <c r="A1502" s="14" t="s">
        <v>2977</v>
      </c>
      <c r="B1502" s="15" t="s">
        <v>2978</v>
      </c>
      <c r="C1502" s="16" t="s">
        <v>7</v>
      </c>
      <c r="D1502" s="12" t="str">
        <f>IFERROR(__xludf.DUMMYFUNCTION("IFS(
  REGEXMATCH(A1502&amp;B1502, ""(?i)openai|gpt|gemini|anthropic|claude|mistral|cohere|rag|vector|llm|chatbot|ai-powered""), ""AI &amp; LLM"",
  REGEXMATCH(A1502&amp;B1502, ""(?i)twitter|instagram|facebook|linkedin|youtube|tiktok|threads|bluesky|pinterest|social"&amp;" video|reels?|shorts?""), ""Social Media"",
  REGEXMATCH(A1502&amp;B1502, ""(?i)hubspot|pipedrive|stripe|shopify|woocommerce|sales|crm|invoice|order|leads?|recruitment|bamboohr|erpnext""), ""CRM &amp; Sales"",
  REGEXMATCH(A1502&amp;B1502, ""(?i)gmail|outlook|calenda"&amp;"r|slack|discord|telegram|whatsapp|notion|trello|drive|sheets?|meeting|scheduler|appointment|mattermost""), ""Productivity &amp; Communication"",
  REGEXMATCH(A1502&amp;B1502, ""(?i)github|api|webhook|http|mysql|supabase|mongodb|redis|rss|pr|code review|incident|p"&amp;"agerduty|jira""), ""Development &amp; Utilities"",
  TRUE, ""Others""
)"),"Development &amp; Utilities")</f>
        <v>Development &amp; Utilities</v>
      </c>
    </row>
    <row r="1503" ht="15.75" customHeight="1">
      <c r="A1503" s="14" t="s">
        <v>2979</v>
      </c>
      <c r="B1503" s="15" t="s">
        <v>2980</v>
      </c>
      <c r="C1503" s="16" t="s">
        <v>7</v>
      </c>
      <c r="D1503" s="12" t="str">
        <f>IFERROR(__xludf.DUMMYFUNCTION("IFS(
  REGEXMATCH(A1503&amp;B1503, ""(?i)openai|gpt|gemini|anthropic|claude|mistral|cohere|rag|vector|llm|chatbot|ai-powered""), ""AI &amp; LLM"",
  REGEXMATCH(A1503&amp;B1503, ""(?i)twitter|instagram|facebook|linkedin|youtube|tiktok|threads|bluesky|pinterest|social"&amp;" video|reels?|shorts?""), ""Social Media"",
  REGEXMATCH(A1503&amp;B1503, ""(?i)hubspot|pipedrive|stripe|shopify|woocommerce|sales|crm|invoice|order|leads?|recruitment|bamboohr|erpnext""), ""CRM &amp; Sales"",
  REGEXMATCH(A1503&amp;B1503, ""(?i)gmail|outlook|calenda"&amp;"r|slack|discord|telegram|whatsapp|notion|trello|drive|sheets?|meeting|scheduler|appointment|mattermost""), ""Productivity &amp; Communication"",
  REGEXMATCH(A1503&amp;B1503, ""(?i)github|api|webhook|http|mysql|supabase|mongodb|redis|rss|pr|code review|incident|p"&amp;"agerduty|jira""), ""Development &amp; Utilities"",
  TRUE, ""Others""
)"),"Development &amp; Utilities")</f>
        <v>Development &amp; Utilities</v>
      </c>
    </row>
    <row r="1504" ht="15.75" customHeight="1">
      <c r="A1504" s="14" t="s">
        <v>2981</v>
      </c>
      <c r="B1504" s="15" t="s">
        <v>2982</v>
      </c>
      <c r="C1504" s="16" t="s">
        <v>7</v>
      </c>
      <c r="D1504" s="12" t="str">
        <f>IFERROR(__xludf.DUMMYFUNCTION("IFS(
  REGEXMATCH(A1504&amp;B1504, ""(?i)openai|gpt|gemini|anthropic|claude|mistral|cohere|rag|vector|llm|chatbot|ai-powered""), ""AI &amp; LLM"",
  REGEXMATCH(A1504&amp;B1504, ""(?i)twitter|instagram|facebook|linkedin|youtube|tiktok|threads|bluesky|pinterest|social"&amp;" video|reels?|shorts?""), ""Social Media"",
  REGEXMATCH(A1504&amp;B1504, ""(?i)hubspot|pipedrive|stripe|shopify|woocommerce|sales|crm|invoice|order|leads?|recruitment|bamboohr|erpnext""), ""CRM &amp; Sales"",
  REGEXMATCH(A1504&amp;B1504, ""(?i)gmail|outlook|calenda"&amp;"r|slack|discord|telegram|whatsapp|notion|trello|drive|sheets?|meeting|scheduler|appointment|mattermost""), ""Productivity &amp; Communication"",
  REGEXMATCH(A1504&amp;B1504, ""(?i)github|api|webhook|http|mysql|supabase|mongodb|redis|rss|pr|code review|incident|p"&amp;"agerduty|jira""), ""Development &amp; Utilities"",
  TRUE, ""Others""
)"),"Development &amp; Utilities")</f>
        <v>Development &amp; Utilities</v>
      </c>
    </row>
    <row r="1505" ht="15.75" customHeight="1">
      <c r="A1505" s="14" t="s">
        <v>2983</v>
      </c>
      <c r="B1505" s="15" t="s">
        <v>2984</v>
      </c>
      <c r="C1505" s="16" t="s">
        <v>7</v>
      </c>
      <c r="D1505" s="12" t="str">
        <f>IFERROR(__xludf.DUMMYFUNCTION("IFS(
  REGEXMATCH(A1505&amp;B1505, ""(?i)openai|gpt|gemini|anthropic|claude|mistral|cohere|rag|vector|llm|chatbot|ai-powered""), ""AI &amp; LLM"",
  REGEXMATCH(A1505&amp;B1505, ""(?i)twitter|instagram|facebook|linkedin|youtube|tiktok|threads|bluesky|pinterest|social"&amp;" video|reels?|shorts?""), ""Social Media"",
  REGEXMATCH(A1505&amp;B1505, ""(?i)hubspot|pipedrive|stripe|shopify|woocommerce|sales|crm|invoice|order|leads?|recruitment|bamboohr|erpnext""), ""CRM &amp; Sales"",
  REGEXMATCH(A1505&amp;B1505, ""(?i)gmail|outlook|calenda"&amp;"r|slack|discord|telegram|whatsapp|notion|trello|drive|sheets?|meeting|scheduler|appointment|mattermost""), ""Productivity &amp; Communication"",
  REGEXMATCH(A1505&amp;B1505, ""(?i)github|api|webhook|http|mysql|supabase|mongodb|redis|rss|pr|code review|incident|p"&amp;"agerduty|jira""), ""Development &amp; Utilities"",
  TRUE, ""Others""
)"),"Social Media")</f>
        <v>Social Media</v>
      </c>
    </row>
    <row r="1506" ht="15.75" customHeight="1">
      <c r="A1506" s="14" t="s">
        <v>2985</v>
      </c>
      <c r="B1506" s="15" t="s">
        <v>2986</v>
      </c>
      <c r="C1506" s="16" t="s">
        <v>7</v>
      </c>
      <c r="D1506" s="12" t="str">
        <f>IFERROR(__xludf.DUMMYFUNCTION("IFS(
  REGEXMATCH(A1506&amp;B1506, ""(?i)openai|gpt|gemini|anthropic|claude|mistral|cohere|rag|vector|llm|chatbot|ai-powered""), ""AI &amp; LLM"",
  REGEXMATCH(A1506&amp;B1506, ""(?i)twitter|instagram|facebook|linkedin|youtube|tiktok|threads|bluesky|pinterest|social"&amp;" video|reels?|shorts?""), ""Social Media"",
  REGEXMATCH(A1506&amp;B1506, ""(?i)hubspot|pipedrive|stripe|shopify|woocommerce|sales|crm|invoice|order|leads?|recruitment|bamboohr|erpnext""), ""CRM &amp; Sales"",
  REGEXMATCH(A1506&amp;B1506, ""(?i)gmail|outlook|calenda"&amp;"r|slack|discord|telegram|whatsapp|notion|trello|drive|sheets?|meeting|scheduler|appointment|mattermost""), ""Productivity &amp; Communication"",
  REGEXMATCH(A1506&amp;B1506, ""(?i)github|api|webhook|http|mysql|supabase|mongodb|redis|rss|pr|code review|incident|p"&amp;"agerduty|jira""), ""Development &amp; Utilities"",
  TRUE, ""Others""
)"),"Productivity &amp; Communication")</f>
        <v>Productivity &amp; Communication</v>
      </c>
    </row>
    <row r="1507" ht="15.75" customHeight="1">
      <c r="A1507" s="14" t="s">
        <v>2987</v>
      </c>
      <c r="B1507" s="15" t="s">
        <v>2988</v>
      </c>
      <c r="C1507" s="16" t="s">
        <v>7</v>
      </c>
      <c r="D1507" s="12" t="str">
        <f>IFERROR(__xludf.DUMMYFUNCTION("IFS(
  REGEXMATCH(A1507&amp;B1507, ""(?i)openai|gpt|gemini|anthropic|claude|mistral|cohere|rag|vector|llm|chatbot|ai-powered""), ""AI &amp; LLM"",
  REGEXMATCH(A1507&amp;B1507, ""(?i)twitter|instagram|facebook|linkedin|youtube|tiktok|threads|bluesky|pinterest|social"&amp;" video|reels?|shorts?""), ""Social Media"",
  REGEXMATCH(A1507&amp;B1507, ""(?i)hubspot|pipedrive|stripe|shopify|woocommerce|sales|crm|invoice|order|leads?|recruitment|bamboohr|erpnext""), ""CRM &amp; Sales"",
  REGEXMATCH(A1507&amp;B1507, ""(?i)gmail|outlook|calenda"&amp;"r|slack|discord|telegram|whatsapp|notion|trello|drive|sheets?|meeting|scheduler|appointment|mattermost""), ""Productivity &amp; Communication"",
  REGEXMATCH(A1507&amp;B1507, ""(?i)github|api|webhook|http|mysql|supabase|mongodb|redis|rss|pr|code review|incident|p"&amp;"agerduty|jira""), ""Development &amp; Utilities"",
  TRUE, ""Others""
)"),"CRM &amp; Sales")</f>
        <v>CRM &amp; Sales</v>
      </c>
    </row>
    <row r="1508" ht="15.75" customHeight="1">
      <c r="A1508" s="14" t="s">
        <v>2989</v>
      </c>
      <c r="B1508" s="15" t="s">
        <v>2990</v>
      </c>
      <c r="C1508" s="16" t="s">
        <v>7</v>
      </c>
      <c r="D1508" s="12" t="str">
        <f>IFERROR(__xludf.DUMMYFUNCTION("IFS(
  REGEXMATCH(A1508&amp;B1508, ""(?i)openai|gpt|gemini|anthropic|claude|mistral|cohere|rag|vector|llm|chatbot|ai-powered""), ""AI &amp; LLM"",
  REGEXMATCH(A1508&amp;B1508, ""(?i)twitter|instagram|facebook|linkedin|youtube|tiktok|threads|bluesky|pinterest|social"&amp;" video|reels?|shorts?""), ""Social Media"",
  REGEXMATCH(A1508&amp;B1508, ""(?i)hubspot|pipedrive|stripe|shopify|woocommerce|sales|crm|invoice|order|leads?|recruitment|bamboohr|erpnext""), ""CRM &amp; Sales"",
  REGEXMATCH(A1508&amp;B1508, ""(?i)gmail|outlook|calenda"&amp;"r|slack|discord|telegram|whatsapp|notion|trello|drive|sheets?|meeting|scheduler|appointment|mattermost""), ""Productivity &amp; Communication"",
  REGEXMATCH(A1508&amp;B1508, ""(?i)github|api|webhook|http|mysql|supabase|mongodb|redis|rss|pr|code review|incident|p"&amp;"agerduty|jira""), ""Development &amp; Utilities"",
  TRUE, ""Others""
)"),"Productivity &amp; Communication")</f>
        <v>Productivity &amp; Communication</v>
      </c>
    </row>
    <row r="1509" ht="15.75" customHeight="1">
      <c r="A1509" s="14" t="s">
        <v>2991</v>
      </c>
      <c r="B1509" s="15" t="s">
        <v>2992</v>
      </c>
      <c r="C1509" s="16" t="s">
        <v>7</v>
      </c>
      <c r="D1509" s="12" t="str">
        <f>IFERROR(__xludf.DUMMYFUNCTION("IFS(
  REGEXMATCH(A1509&amp;B1509, ""(?i)openai|gpt|gemini|anthropic|claude|mistral|cohere|rag|vector|llm|chatbot|ai-powered""), ""AI &amp; LLM"",
  REGEXMATCH(A1509&amp;B1509, ""(?i)twitter|instagram|facebook|linkedin|youtube|tiktok|threads|bluesky|pinterest|social"&amp;" video|reels?|shorts?""), ""Social Media"",
  REGEXMATCH(A1509&amp;B1509, ""(?i)hubspot|pipedrive|stripe|shopify|woocommerce|sales|crm|invoice|order|leads?|recruitment|bamboohr|erpnext""), ""CRM &amp; Sales"",
  REGEXMATCH(A1509&amp;B1509, ""(?i)gmail|outlook|calenda"&amp;"r|slack|discord|telegram|whatsapp|notion|trello|drive|sheets?|meeting|scheduler|appointment|mattermost""), ""Productivity &amp; Communication"",
  REGEXMATCH(A1509&amp;B1509, ""(?i)github|api|webhook|http|mysql|supabase|mongodb|redis|rss|pr|code review|incident|p"&amp;"agerduty|jira""), ""Development &amp; Utilities"",
  TRUE, ""Others""
)"),"Development &amp; Utilities")</f>
        <v>Development &amp; Utilities</v>
      </c>
    </row>
    <row r="1510" ht="15.75" customHeight="1">
      <c r="A1510" s="14" t="s">
        <v>2993</v>
      </c>
      <c r="B1510" s="15" t="s">
        <v>2994</v>
      </c>
      <c r="C1510" s="16" t="s">
        <v>7</v>
      </c>
      <c r="D1510" s="12" t="str">
        <f>IFERROR(__xludf.DUMMYFUNCTION("IFS(
  REGEXMATCH(A1510&amp;B1510, ""(?i)openai|gpt|gemini|anthropic|claude|mistral|cohere|rag|vector|llm|chatbot|ai-powered""), ""AI &amp; LLM"",
  REGEXMATCH(A1510&amp;B1510, ""(?i)twitter|instagram|facebook|linkedin|youtube|tiktok|threads|bluesky|pinterest|social"&amp;" video|reels?|shorts?""), ""Social Media"",
  REGEXMATCH(A1510&amp;B1510, ""(?i)hubspot|pipedrive|stripe|shopify|woocommerce|sales|crm|invoice|order|leads?|recruitment|bamboohr|erpnext""), ""CRM &amp; Sales"",
  REGEXMATCH(A1510&amp;B1510, ""(?i)gmail|outlook|calenda"&amp;"r|slack|discord|telegram|whatsapp|notion|trello|drive|sheets?|meeting|scheduler|appointment|mattermost""), ""Productivity &amp; Communication"",
  REGEXMATCH(A1510&amp;B1510, ""(?i)github|api|webhook|http|mysql|supabase|mongodb|redis|rss|pr|code review|incident|p"&amp;"agerduty|jira""), ""Development &amp; Utilities"",
  TRUE, ""Others""
)"),"Development &amp; Utilities")</f>
        <v>Development &amp; Utilities</v>
      </c>
    </row>
    <row r="1511" ht="15.75" customHeight="1">
      <c r="A1511" s="14" t="s">
        <v>2995</v>
      </c>
      <c r="B1511" s="15" t="s">
        <v>2996</v>
      </c>
      <c r="C1511" s="16" t="s">
        <v>7</v>
      </c>
      <c r="D1511" s="12" t="str">
        <f>IFERROR(__xludf.DUMMYFUNCTION("IFS(
  REGEXMATCH(A1511&amp;B1511, ""(?i)openai|gpt|gemini|anthropic|claude|mistral|cohere|rag|vector|llm|chatbot|ai-powered""), ""AI &amp; LLM"",
  REGEXMATCH(A1511&amp;B1511, ""(?i)twitter|instagram|facebook|linkedin|youtube|tiktok|threads|bluesky|pinterest|social"&amp;" video|reels?|shorts?""), ""Social Media"",
  REGEXMATCH(A1511&amp;B1511, ""(?i)hubspot|pipedrive|stripe|shopify|woocommerce|sales|crm|invoice|order|leads?|recruitment|bamboohr|erpnext""), ""CRM &amp; Sales"",
  REGEXMATCH(A1511&amp;B1511, ""(?i)gmail|outlook|calenda"&amp;"r|slack|discord|telegram|whatsapp|notion|trello|drive|sheets?|meeting|scheduler|appointment|mattermost""), ""Productivity &amp; Communication"",
  REGEXMATCH(A1511&amp;B1511, ""(?i)github|api|webhook|http|mysql|supabase|mongodb|redis|rss|pr|code review|incident|p"&amp;"agerduty|jira""), ""Development &amp; Utilities"",
  TRUE, ""Others""
)"),"Others")</f>
        <v>Others</v>
      </c>
    </row>
    <row r="1512" ht="15.75" customHeight="1">
      <c r="A1512" s="14" t="s">
        <v>2997</v>
      </c>
      <c r="B1512" s="15" t="s">
        <v>2998</v>
      </c>
      <c r="C1512" s="16" t="s">
        <v>7</v>
      </c>
      <c r="D1512" s="12" t="str">
        <f>IFERROR(__xludf.DUMMYFUNCTION("IFS(
  REGEXMATCH(A1512&amp;B1512, ""(?i)openai|gpt|gemini|anthropic|claude|mistral|cohere|rag|vector|llm|chatbot|ai-powered""), ""AI &amp; LLM"",
  REGEXMATCH(A1512&amp;B1512, ""(?i)twitter|instagram|facebook|linkedin|youtube|tiktok|threads|bluesky|pinterest|social"&amp;" video|reels?|shorts?""), ""Social Media"",
  REGEXMATCH(A1512&amp;B1512, ""(?i)hubspot|pipedrive|stripe|shopify|woocommerce|sales|crm|invoice|order|leads?|recruitment|bamboohr|erpnext""), ""CRM &amp; Sales"",
  REGEXMATCH(A1512&amp;B1512, ""(?i)gmail|outlook|calenda"&amp;"r|slack|discord|telegram|whatsapp|notion|trello|drive|sheets?|meeting|scheduler|appointment|mattermost""), ""Productivity &amp; Communication"",
  REGEXMATCH(A1512&amp;B1512, ""(?i)github|api|webhook|http|mysql|supabase|mongodb|redis|rss|pr|code review|incident|p"&amp;"agerduty|jira""), ""Development &amp; Utilities"",
  TRUE, ""Others""
)"),"CRM &amp; Sales")</f>
        <v>CRM &amp; Sales</v>
      </c>
    </row>
    <row r="1513" ht="15.75" customHeight="1">
      <c r="A1513" s="14" t="s">
        <v>2999</v>
      </c>
      <c r="B1513" s="15" t="s">
        <v>3000</v>
      </c>
      <c r="C1513" s="16" t="s">
        <v>7</v>
      </c>
      <c r="D1513" s="12" t="str">
        <f>IFERROR(__xludf.DUMMYFUNCTION("IFS(
  REGEXMATCH(A1513&amp;B1513, ""(?i)openai|gpt|gemini|anthropic|claude|mistral|cohere|rag|vector|llm|chatbot|ai-powered""), ""AI &amp; LLM"",
  REGEXMATCH(A1513&amp;B1513, ""(?i)twitter|instagram|facebook|linkedin|youtube|tiktok|threads|bluesky|pinterest|social"&amp;" video|reels?|shorts?""), ""Social Media"",
  REGEXMATCH(A1513&amp;B1513, ""(?i)hubspot|pipedrive|stripe|shopify|woocommerce|sales|crm|invoice|order|leads?|recruitment|bamboohr|erpnext""), ""CRM &amp; Sales"",
  REGEXMATCH(A1513&amp;B1513, ""(?i)gmail|outlook|calenda"&amp;"r|slack|discord|telegram|whatsapp|notion|trello|drive|sheets?|meeting|scheduler|appointment|mattermost""), ""Productivity &amp; Communication"",
  REGEXMATCH(A1513&amp;B1513, ""(?i)github|api|webhook|http|mysql|supabase|mongodb|redis|rss|pr|code review|incident|p"&amp;"agerduty|jira""), ""Development &amp; Utilities"",
  TRUE, ""Others""
)"),"Productivity &amp; Communication")</f>
        <v>Productivity &amp; Communication</v>
      </c>
    </row>
    <row r="1514" ht="15.75" customHeight="1">
      <c r="A1514" s="14" t="s">
        <v>3001</v>
      </c>
      <c r="B1514" s="15" t="s">
        <v>3002</v>
      </c>
      <c r="C1514" s="16" t="s">
        <v>7</v>
      </c>
      <c r="D1514" s="12" t="str">
        <f>IFERROR(__xludf.DUMMYFUNCTION("IFS(
  REGEXMATCH(A1514&amp;B1514, ""(?i)openai|gpt|gemini|anthropic|claude|mistral|cohere|rag|vector|llm|chatbot|ai-powered""), ""AI &amp; LLM"",
  REGEXMATCH(A1514&amp;B1514, ""(?i)twitter|instagram|facebook|linkedin|youtube|tiktok|threads|bluesky|pinterest|social"&amp;" video|reels?|shorts?""), ""Social Media"",
  REGEXMATCH(A1514&amp;B1514, ""(?i)hubspot|pipedrive|stripe|shopify|woocommerce|sales|crm|invoice|order|leads?|recruitment|bamboohr|erpnext""), ""CRM &amp; Sales"",
  REGEXMATCH(A1514&amp;B1514, ""(?i)gmail|outlook|calenda"&amp;"r|slack|discord|telegram|whatsapp|notion|trello|drive|sheets?|meeting|scheduler|appointment|mattermost""), ""Productivity &amp; Communication"",
  REGEXMATCH(A1514&amp;B1514, ""(?i)github|api|webhook|http|mysql|supabase|mongodb|redis|rss|pr|code review|incident|p"&amp;"agerduty|jira""), ""Development &amp; Utilities"",
  TRUE, ""Others""
)"),"Development &amp; Utilities")</f>
        <v>Development &amp; Utilities</v>
      </c>
    </row>
    <row r="1515" ht="15.75" customHeight="1">
      <c r="A1515" s="14" t="s">
        <v>3003</v>
      </c>
      <c r="B1515" s="15" t="s">
        <v>3004</v>
      </c>
      <c r="C1515" s="16" t="s">
        <v>7</v>
      </c>
      <c r="D1515" s="12" t="str">
        <f>IFERROR(__xludf.DUMMYFUNCTION("IFS(
  REGEXMATCH(A1515&amp;B1515, ""(?i)openai|gpt|gemini|anthropic|claude|mistral|cohere|rag|vector|llm|chatbot|ai-powered""), ""AI &amp; LLM"",
  REGEXMATCH(A1515&amp;B1515, ""(?i)twitter|instagram|facebook|linkedin|youtube|tiktok|threads|bluesky|pinterest|social"&amp;" video|reels?|shorts?""), ""Social Media"",
  REGEXMATCH(A1515&amp;B1515, ""(?i)hubspot|pipedrive|stripe|shopify|woocommerce|sales|crm|invoice|order|leads?|recruitment|bamboohr|erpnext""), ""CRM &amp; Sales"",
  REGEXMATCH(A1515&amp;B1515, ""(?i)gmail|outlook|calenda"&amp;"r|slack|discord|telegram|whatsapp|notion|trello|drive|sheets?|meeting|scheduler|appointment|mattermost""), ""Productivity &amp; Communication"",
  REGEXMATCH(A1515&amp;B1515, ""(?i)github|api|webhook|http|mysql|supabase|mongodb|redis|rss|pr|code review|incident|p"&amp;"agerduty|jira""), ""Development &amp; Utilities"",
  TRUE, ""Others""
)"),"Others")</f>
        <v>Others</v>
      </c>
    </row>
    <row r="1516" ht="15.75" customHeight="1">
      <c r="A1516" s="14" t="s">
        <v>3005</v>
      </c>
      <c r="B1516" s="15" t="s">
        <v>3006</v>
      </c>
      <c r="C1516" s="16" t="s">
        <v>7</v>
      </c>
      <c r="D1516" s="12" t="str">
        <f>IFERROR(__xludf.DUMMYFUNCTION("IFS(
  REGEXMATCH(A1516&amp;B1516, ""(?i)openai|gpt|gemini|anthropic|claude|mistral|cohere|rag|vector|llm|chatbot|ai-powered""), ""AI &amp; LLM"",
  REGEXMATCH(A1516&amp;B1516, ""(?i)twitter|instagram|facebook|linkedin|youtube|tiktok|threads|bluesky|pinterest|social"&amp;" video|reels?|shorts?""), ""Social Media"",
  REGEXMATCH(A1516&amp;B1516, ""(?i)hubspot|pipedrive|stripe|shopify|woocommerce|sales|crm|invoice|order|leads?|recruitment|bamboohr|erpnext""), ""CRM &amp; Sales"",
  REGEXMATCH(A1516&amp;B1516, ""(?i)gmail|outlook|calenda"&amp;"r|slack|discord|telegram|whatsapp|notion|trello|drive|sheets?|meeting|scheduler|appointment|mattermost""), ""Productivity &amp; Communication"",
  REGEXMATCH(A1516&amp;B1516, ""(?i)github|api|webhook|http|mysql|supabase|mongodb|redis|rss|pr|code review|incident|p"&amp;"agerduty|jira""), ""Development &amp; Utilities"",
  TRUE, ""Others""
)"),"Development &amp; Utilities")</f>
        <v>Development &amp; Utilities</v>
      </c>
    </row>
    <row r="1517" ht="15.75" customHeight="1">
      <c r="A1517" s="14" t="s">
        <v>3007</v>
      </c>
      <c r="B1517" s="15" t="s">
        <v>3008</v>
      </c>
      <c r="C1517" s="16" t="s">
        <v>7</v>
      </c>
      <c r="D1517" s="12" t="str">
        <f>IFERROR(__xludf.DUMMYFUNCTION("IFS(
  REGEXMATCH(A1517&amp;B1517, ""(?i)openai|gpt|gemini|anthropic|claude|mistral|cohere|rag|vector|llm|chatbot|ai-powered""), ""AI &amp; LLM"",
  REGEXMATCH(A1517&amp;B1517, ""(?i)twitter|instagram|facebook|linkedin|youtube|tiktok|threads|bluesky|pinterest|social"&amp;" video|reels?|shorts?""), ""Social Media"",
  REGEXMATCH(A1517&amp;B1517, ""(?i)hubspot|pipedrive|stripe|shopify|woocommerce|sales|crm|invoice|order|leads?|recruitment|bamboohr|erpnext""), ""CRM &amp; Sales"",
  REGEXMATCH(A1517&amp;B1517, ""(?i)gmail|outlook|calenda"&amp;"r|slack|discord|telegram|whatsapp|notion|trello|drive|sheets?|meeting|scheduler|appointment|mattermost""), ""Productivity &amp; Communication"",
  REGEXMATCH(A1517&amp;B1517, ""(?i)github|api|webhook|http|mysql|supabase|mongodb|redis|rss|pr|code review|incident|p"&amp;"agerduty|jira""), ""Development &amp; Utilities"",
  TRUE, ""Others""
)"),"Development &amp; Utilities")</f>
        <v>Development &amp; Utilities</v>
      </c>
    </row>
    <row r="1518" ht="15.75" customHeight="1">
      <c r="A1518" s="14" t="s">
        <v>3009</v>
      </c>
      <c r="B1518" s="15" t="s">
        <v>3010</v>
      </c>
      <c r="C1518" s="16" t="s">
        <v>7</v>
      </c>
      <c r="D1518" s="12" t="str">
        <f>IFERROR(__xludf.DUMMYFUNCTION("IFS(
  REGEXMATCH(A1518&amp;B1518, ""(?i)openai|gpt|gemini|anthropic|claude|mistral|cohere|rag|vector|llm|chatbot|ai-powered""), ""AI &amp; LLM"",
  REGEXMATCH(A1518&amp;B1518, ""(?i)twitter|instagram|facebook|linkedin|youtube|tiktok|threads|bluesky|pinterest|social"&amp;" video|reels?|shorts?""), ""Social Media"",
  REGEXMATCH(A1518&amp;B1518, ""(?i)hubspot|pipedrive|stripe|shopify|woocommerce|sales|crm|invoice|order|leads?|recruitment|bamboohr|erpnext""), ""CRM &amp; Sales"",
  REGEXMATCH(A1518&amp;B1518, ""(?i)gmail|outlook|calenda"&amp;"r|slack|discord|telegram|whatsapp|notion|trello|drive|sheets?|meeting|scheduler|appointment|mattermost""), ""Productivity &amp; Communication"",
  REGEXMATCH(A1518&amp;B1518, ""(?i)github|api|webhook|http|mysql|supabase|mongodb|redis|rss|pr|code review|incident|p"&amp;"agerduty|jira""), ""Development &amp; Utilities"",
  TRUE, ""Others""
)"),"Productivity &amp; Communication")</f>
        <v>Productivity &amp; Communication</v>
      </c>
    </row>
    <row r="1519" ht="15.75" customHeight="1">
      <c r="A1519" s="14" t="s">
        <v>3011</v>
      </c>
      <c r="B1519" s="15" t="s">
        <v>3012</v>
      </c>
      <c r="C1519" s="16" t="s">
        <v>7</v>
      </c>
      <c r="D1519" s="12" t="str">
        <f>IFERROR(__xludf.DUMMYFUNCTION("IFS(
  REGEXMATCH(A1519&amp;B1519, ""(?i)openai|gpt|gemini|anthropic|claude|mistral|cohere|rag|vector|llm|chatbot|ai-powered""), ""AI &amp; LLM"",
  REGEXMATCH(A1519&amp;B1519, ""(?i)twitter|instagram|facebook|linkedin|youtube|tiktok|threads|bluesky|pinterest|social"&amp;" video|reels?|shorts?""), ""Social Media"",
  REGEXMATCH(A1519&amp;B1519, ""(?i)hubspot|pipedrive|stripe|shopify|woocommerce|sales|crm|invoice|order|leads?|recruitment|bamboohr|erpnext""), ""CRM &amp; Sales"",
  REGEXMATCH(A1519&amp;B1519, ""(?i)gmail|outlook|calenda"&amp;"r|slack|discord|telegram|whatsapp|notion|trello|drive|sheets?|meeting|scheduler|appointment|mattermost""), ""Productivity &amp; Communication"",
  REGEXMATCH(A1519&amp;B1519, ""(?i)github|api|webhook|http|mysql|supabase|mongodb|redis|rss|pr|code review|incident|p"&amp;"agerduty|jira""), ""Development &amp; Utilities"",
  TRUE, ""Others""
)"),"Productivity &amp; Communication")</f>
        <v>Productivity &amp; Communication</v>
      </c>
    </row>
    <row r="1520" ht="15.75" customHeight="1">
      <c r="A1520" s="14" t="s">
        <v>3013</v>
      </c>
      <c r="B1520" s="15" t="s">
        <v>3014</v>
      </c>
      <c r="C1520" s="16" t="s">
        <v>7</v>
      </c>
      <c r="D1520" s="12" t="str">
        <f>IFERROR(__xludf.DUMMYFUNCTION("IFS(
  REGEXMATCH(A1520&amp;B1520, ""(?i)openai|gpt|gemini|anthropic|claude|mistral|cohere|rag|vector|llm|chatbot|ai-powered""), ""AI &amp; LLM"",
  REGEXMATCH(A1520&amp;B1520, ""(?i)twitter|instagram|facebook|linkedin|youtube|tiktok|threads|bluesky|pinterest|social"&amp;" video|reels?|shorts?""), ""Social Media"",
  REGEXMATCH(A1520&amp;B1520, ""(?i)hubspot|pipedrive|stripe|shopify|woocommerce|sales|crm|invoice|order|leads?|recruitment|bamboohr|erpnext""), ""CRM &amp; Sales"",
  REGEXMATCH(A1520&amp;B1520, ""(?i)gmail|outlook|calenda"&amp;"r|slack|discord|telegram|whatsapp|notion|trello|drive|sheets?|meeting|scheduler|appointment|mattermost""), ""Productivity &amp; Communication"",
  REGEXMATCH(A1520&amp;B1520, ""(?i)github|api|webhook|http|mysql|supabase|mongodb|redis|rss|pr|code review|incident|p"&amp;"agerduty|jira""), ""Development &amp; Utilities"",
  TRUE, ""Others""
)"),"CRM &amp; Sales")</f>
        <v>CRM &amp; Sales</v>
      </c>
    </row>
    <row r="1521" ht="15.75" customHeight="1">
      <c r="A1521" s="14" t="s">
        <v>3015</v>
      </c>
      <c r="B1521" s="15" t="s">
        <v>3016</v>
      </c>
      <c r="C1521" s="16" t="s">
        <v>7</v>
      </c>
      <c r="D1521" s="12" t="str">
        <f>IFERROR(__xludf.DUMMYFUNCTION("IFS(
  REGEXMATCH(A1521&amp;B1521, ""(?i)openai|gpt|gemini|anthropic|claude|mistral|cohere|rag|vector|llm|chatbot|ai-powered""), ""AI &amp; LLM"",
  REGEXMATCH(A1521&amp;B1521, ""(?i)twitter|instagram|facebook|linkedin|youtube|tiktok|threads|bluesky|pinterest|social"&amp;" video|reels?|shorts?""), ""Social Media"",
  REGEXMATCH(A1521&amp;B1521, ""(?i)hubspot|pipedrive|stripe|shopify|woocommerce|sales|crm|invoice|order|leads?|recruitment|bamboohr|erpnext""), ""CRM &amp; Sales"",
  REGEXMATCH(A1521&amp;B1521, ""(?i)gmail|outlook|calenda"&amp;"r|slack|discord|telegram|whatsapp|notion|trello|drive|sheets?|meeting|scheduler|appointment|mattermost""), ""Productivity &amp; Communication"",
  REGEXMATCH(A1521&amp;B1521, ""(?i)github|api|webhook|http|mysql|supabase|mongodb|redis|rss|pr|code review|incident|p"&amp;"agerduty|jira""), ""Development &amp; Utilities"",
  TRUE, ""Others""
)"),"Development &amp; Utilities")</f>
        <v>Development &amp; Utilities</v>
      </c>
    </row>
    <row r="1522" ht="15.75" customHeight="1">
      <c r="A1522" s="14" t="s">
        <v>3017</v>
      </c>
      <c r="B1522" s="15" t="s">
        <v>3018</v>
      </c>
      <c r="C1522" s="16" t="s">
        <v>7</v>
      </c>
      <c r="D1522" s="12" t="str">
        <f>IFERROR(__xludf.DUMMYFUNCTION("IFS(
  REGEXMATCH(A1522&amp;B1522, ""(?i)openai|gpt|gemini|anthropic|claude|mistral|cohere|rag|vector|llm|chatbot|ai-powered""), ""AI &amp; LLM"",
  REGEXMATCH(A1522&amp;B1522, ""(?i)twitter|instagram|facebook|linkedin|youtube|tiktok|threads|bluesky|pinterest|social"&amp;" video|reels?|shorts?""), ""Social Media"",
  REGEXMATCH(A1522&amp;B1522, ""(?i)hubspot|pipedrive|stripe|shopify|woocommerce|sales|crm|invoice|order|leads?|recruitment|bamboohr|erpnext""), ""CRM &amp; Sales"",
  REGEXMATCH(A1522&amp;B1522, ""(?i)gmail|outlook|calenda"&amp;"r|slack|discord|telegram|whatsapp|notion|trello|drive|sheets?|meeting|scheduler|appointment|mattermost""), ""Productivity &amp; Communication"",
  REGEXMATCH(A1522&amp;B1522, ""(?i)github|api|webhook|http|mysql|supabase|mongodb|redis|rss|pr|code review|incident|p"&amp;"agerduty|jira""), ""Development &amp; Utilities"",
  TRUE, ""Others""
)"),"Development &amp; Utilities")</f>
        <v>Development &amp; Utilities</v>
      </c>
    </row>
    <row r="1523" ht="15.75" customHeight="1">
      <c r="A1523" s="14" t="s">
        <v>3019</v>
      </c>
      <c r="B1523" s="15" t="s">
        <v>3020</v>
      </c>
      <c r="C1523" s="16" t="s">
        <v>7</v>
      </c>
      <c r="D1523" s="12" t="str">
        <f>IFERROR(__xludf.DUMMYFUNCTION("IFS(
  REGEXMATCH(A1523&amp;B1523, ""(?i)openai|gpt|gemini|anthropic|claude|mistral|cohere|rag|vector|llm|chatbot|ai-powered""), ""AI &amp; LLM"",
  REGEXMATCH(A1523&amp;B1523, ""(?i)twitter|instagram|facebook|linkedin|youtube|tiktok|threads|bluesky|pinterest|social"&amp;" video|reels?|shorts?""), ""Social Media"",
  REGEXMATCH(A1523&amp;B1523, ""(?i)hubspot|pipedrive|stripe|shopify|woocommerce|sales|crm|invoice|order|leads?|recruitment|bamboohr|erpnext""), ""CRM &amp; Sales"",
  REGEXMATCH(A1523&amp;B1523, ""(?i)gmail|outlook|calenda"&amp;"r|slack|discord|telegram|whatsapp|notion|trello|drive|sheets?|meeting|scheduler|appointment|mattermost""), ""Productivity &amp; Communication"",
  REGEXMATCH(A1523&amp;B1523, ""(?i)github|api|webhook|http|mysql|supabase|mongodb|redis|rss|pr|code review|incident|p"&amp;"agerduty|jira""), ""Development &amp; Utilities"",
  TRUE, ""Others""
)"),"Development &amp; Utilities")</f>
        <v>Development &amp; Utilities</v>
      </c>
    </row>
    <row r="1524" ht="15.75" customHeight="1">
      <c r="A1524" s="14" t="s">
        <v>3021</v>
      </c>
      <c r="B1524" s="15" t="s">
        <v>3022</v>
      </c>
      <c r="C1524" s="16" t="s">
        <v>7</v>
      </c>
      <c r="D1524" s="12" t="str">
        <f>IFERROR(__xludf.DUMMYFUNCTION("IFS(
  REGEXMATCH(A1524&amp;B1524, ""(?i)openai|gpt|gemini|anthropic|claude|mistral|cohere|rag|vector|llm|chatbot|ai-powered""), ""AI &amp; LLM"",
  REGEXMATCH(A1524&amp;B1524, ""(?i)twitter|instagram|facebook|linkedin|youtube|tiktok|threads|bluesky|pinterest|social"&amp;" video|reels?|shorts?""), ""Social Media"",
  REGEXMATCH(A1524&amp;B1524, ""(?i)hubspot|pipedrive|stripe|shopify|woocommerce|sales|crm|invoice|order|leads?|recruitment|bamboohr|erpnext""), ""CRM &amp; Sales"",
  REGEXMATCH(A1524&amp;B1524, ""(?i)gmail|outlook|calenda"&amp;"r|slack|discord|telegram|whatsapp|notion|trello|drive|sheets?|meeting|scheduler|appointment|mattermost""), ""Productivity &amp; Communication"",
  REGEXMATCH(A1524&amp;B1524, ""(?i)github|api|webhook|http|mysql|supabase|mongodb|redis|rss|pr|code review|incident|p"&amp;"agerduty|jira""), ""Development &amp; Utilities"",
  TRUE, ""Others""
)"),"Development &amp; Utilities")</f>
        <v>Development &amp; Utilities</v>
      </c>
    </row>
    <row r="1525" ht="15.75" customHeight="1">
      <c r="A1525" s="14" t="s">
        <v>3023</v>
      </c>
      <c r="B1525" s="15" t="s">
        <v>3024</v>
      </c>
      <c r="C1525" s="16" t="s">
        <v>7</v>
      </c>
      <c r="D1525" s="12" t="str">
        <f>IFERROR(__xludf.DUMMYFUNCTION("IFS(
  REGEXMATCH(A1525&amp;B1525, ""(?i)openai|gpt|gemini|anthropic|claude|mistral|cohere|rag|vector|llm|chatbot|ai-powered""), ""AI &amp; LLM"",
  REGEXMATCH(A1525&amp;B1525, ""(?i)twitter|instagram|facebook|linkedin|youtube|tiktok|threads|bluesky|pinterest|social"&amp;" video|reels?|shorts?""), ""Social Media"",
  REGEXMATCH(A1525&amp;B1525, ""(?i)hubspot|pipedrive|stripe|shopify|woocommerce|sales|crm|invoice|order|leads?|recruitment|bamboohr|erpnext""), ""CRM &amp; Sales"",
  REGEXMATCH(A1525&amp;B1525, ""(?i)gmail|outlook|calenda"&amp;"r|slack|discord|telegram|whatsapp|notion|trello|drive|sheets?|meeting|scheduler|appointment|mattermost""), ""Productivity &amp; Communication"",
  REGEXMATCH(A1525&amp;B1525, ""(?i)github|api|webhook|http|mysql|supabase|mongodb|redis|rss|pr|code review|incident|p"&amp;"agerduty|jira""), ""Development &amp; Utilities"",
  TRUE, ""Others""
)"),"Productivity &amp; Communication")</f>
        <v>Productivity &amp; Communication</v>
      </c>
    </row>
    <row r="1526" ht="15.75" customHeight="1">
      <c r="A1526" s="14" t="s">
        <v>3025</v>
      </c>
      <c r="B1526" s="15" t="s">
        <v>3026</v>
      </c>
      <c r="C1526" s="16" t="s">
        <v>7</v>
      </c>
      <c r="D1526" s="12" t="str">
        <f>IFERROR(__xludf.DUMMYFUNCTION("IFS(
  REGEXMATCH(A1526&amp;B1526, ""(?i)openai|gpt|gemini|anthropic|claude|mistral|cohere|rag|vector|llm|chatbot|ai-powered""), ""AI &amp; LLM"",
  REGEXMATCH(A1526&amp;B1526, ""(?i)twitter|instagram|facebook|linkedin|youtube|tiktok|threads|bluesky|pinterest|social"&amp;" video|reels?|shorts?""), ""Social Media"",
  REGEXMATCH(A1526&amp;B1526, ""(?i)hubspot|pipedrive|stripe|shopify|woocommerce|sales|crm|invoice|order|leads?|recruitment|bamboohr|erpnext""), ""CRM &amp; Sales"",
  REGEXMATCH(A1526&amp;B1526, ""(?i)gmail|outlook|calenda"&amp;"r|slack|discord|telegram|whatsapp|notion|trello|drive|sheets?|meeting|scheduler|appointment|mattermost""), ""Productivity &amp; Communication"",
  REGEXMATCH(A1526&amp;B1526, ""(?i)github|api|webhook|http|mysql|supabase|mongodb|redis|rss|pr|code review|incident|p"&amp;"agerduty|jira""), ""Development &amp; Utilities"",
  TRUE, ""Others""
)"),"AI &amp; LLM")</f>
        <v>AI &amp; LLM</v>
      </c>
    </row>
    <row r="1527" ht="15.75" customHeight="1">
      <c r="A1527" s="14" t="s">
        <v>3027</v>
      </c>
      <c r="B1527" s="15" t="s">
        <v>3028</v>
      </c>
      <c r="C1527" s="16" t="s">
        <v>7</v>
      </c>
      <c r="D1527" s="12" t="str">
        <f>IFERROR(__xludf.DUMMYFUNCTION("IFS(
  REGEXMATCH(A1527&amp;B1527, ""(?i)openai|gpt|gemini|anthropic|claude|mistral|cohere|rag|vector|llm|chatbot|ai-powered""), ""AI &amp; LLM"",
  REGEXMATCH(A1527&amp;B1527, ""(?i)twitter|instagram|facebook|linkedin|youtube|tiktok|threads|bluesky|pinterest|social"&amp;" video|reels?|shorts?""), ""Social Media"",
  REGEXMATCH(A1527&amp;B1527, ""(?i)hubspot|pipedrive|stripe|shopify|woocommerce|sales|crm|invoice|order|leads?|recruitment|bamboohr|erpnext""), ""CRM &amp; Sales"",
  REGEXMATCH(A1527&amp;B1527, ""(?i)gmail|outlook|calenda"&amp;"r|slack|discord|telegram|whatsapp|notion|trello|drive|sheets?|meeting|scheduler|appointment|mattermost""), ""Productivity &amp; Communication"",
  REGEXMATCH(A1527&amp;B1527, ""(?i)github|api|webhook|http|mysql|supabase|mongodb|redis|rss|pr|code review|incident|p"&amp;"agerduty|jira""), ""Development &amp; Utilities"",
  TRUE, ""Others""
)"),"Development &amp; Utilities")</f>
        <v>Development &amp; Utilities</v>
      </c>
    </row>
    <row r="1528" ht="15.75" customHeight="1">
      <c r="A1528" s="14" t="s">
        <v>3029</v>
      </c>
      <c r="B1528" s="15" t="s">
        <v>3030</v>
      </c>
      <c r="C1528" s="16" t="s">
        <v>7</v>
      </c>
      <c r="D1528" s="12" t="str">
        <f>IFERROR(__xludf.DUMMYFUNCTION("IFS(
  REGEXMATCH(A1528&amp;B1528, ""(?i)openai|gpt|gemini|anthropic|claude|mistral|cohere|rag|vector|llm|chatbot|ai-powered""), ""AI &amp; LLM"",
  REGEXMATCH(A1528&amp;B1528, ""(?i)twitter|instagram|facebook|linkedin|youtube|tiktok|threads|bluesky|pinterest|social"&amp;" video|reels?|shorts?""), ""Social Media"",
  REGEXMATCH(A1528&amp;B1528, ""(?i)hubspot|pipedrive|stripe|shopify|woocommerce|sales|crm|invoice|order|leads?|recruitment|bamboohr|erpnext""), ""CRM &amp; Sales"",
  REGEXMATCH(A1528&amp;B1528, ""(?i)gmail|outlook|calenda"&amp;"r|slack|discord|telegram|whatsapp|notion|trello|drive|sheets?|meeting|scheduler|appointment|mattermost""), ""Productivity &amp; Communication"",
  REGEXMATCH(A1528&amp;B1528, ""(?i)github|api|webhook|http|mysql|supabase|mongodb|redis|rss|pr|code review|incident|p"&amp;"agerduty|jira""), ""Development &amp; Utilities"",
  TRUE, ""Others""
)"),"Development &amp; Utilities")</f>
        <v>Development &amp; Utilities</v>
      </c>
    </row>
    <row r="1529" ht="15.75" customHeight="1">
      <c r="A1529" s="14" t="s">
        <v>3031</v>
      </c>
      <c r="B1529" s="15" t="s">
        <v>3032</v>
      </c>
      <c r="C1529" s="16" t="s">
        <v>7</v>
      </c>
      <c r="D1529" s="12" t="str">
        <f>IFERROR(__xludf.DUMMYFUNCTION("IFS(
  REGEXMATCH(A1529&amp;B1529, ""(?i)openai|gpt|gemini|anthropic|claude|mistral|cohere|rag|vector|llm|chatbot|ai-powered""), ""AI &amp; LLM"",
  REGEXMATCH(A1529&amp;B1529, ""(?i)twitter|instagram|facebook|linkedin|youtube|tiktok|threads|bluesky|pinterest|social"&amp;" video|reels?|shorts?""), ""Social Media"",
  REGEXMATCH(A1529&amp;B1529, ""(?i)hubspot|pipedrive|stripe|shopify|woocommerce|sales|crm|invoice|order|leads?|recruitment|bamboohr|erpnext""), ""CRM &amp; Sales"",
  REGEXMATCH(A1529&amp;B1529, ""(?i)gmail|outlook|calenda"&amp;"r|slack|discord|telegram|whatsapp|notion|trello|drive|sheets?|meeting|scheduler|appointment|mattermost""), ""Productivity &amp; Communication"",
  REGEXMATCH(A1529&amp;B1529, ""(?i)github|api|webhook|http|mysql|supabase|mongodb|redis|rss|pr|code review|incident|p"&amp;"agerduty|jira""), ""Development &amp; Utilities"",
  TRUE, ""Others""
)"),"Productivity &amp; Communication")</f>
        <v>Productivity &amp; Communication</v>
      </c>
    </row>
    <row r="1530" ht="15.75" customHeight="1">
      <c r="A1530" s="14" t="s">
        <v>3033</v>
      </c>
      <c r="B1530" s="15" t="s">
        <v>3034</v>
      </c>
      <c r="C1530" s="16" t="s">
        <v>7</v>
      </c>
      <c r="D1530" s="12" t="str">
        <f>IFERROR(__xludf.DUMMYFUNCTION("IFS(
  REGEXMATCH(A1530&amp;B1530, ""(?i)openai|gpt|gemini|anthropic|claude|mistral|cohere|rag|vector|llm|chatbot|ai-powered""), ""AI &amp; LLM"",
  REGEXMATCH(A1530&amp;B1530, ""(?i)twitter|instagram|facebook|linkedin|youtube|tiktok|threads|bluesky|pinterest|social"&amp;" video|reels?|shorts?""), ""Social Media"",
  REGEXMATCH(A1530&amp;B1530, ""(?i)hubspot|pipedrive|stripe|shopify|woocommerce|sales|crm|invoice|order|leads?|recruitment|bamboohr|erpnext""), ""CRM &amp; Sales"",
  REGEXMATCH(A1530&amp;B1530, ""(?i)gmail|outlook|calenda"&amp;"r|slack|discord|telegram|whatsapp|notion|trello|drive|sheets?|meeting|scheduler|appointment|mattermost""), ""Productivity &amp; Communication"",
  REGEXMATCH(A1530&amp;B1530, ""(?i)github|api|webhook|http|mysql|supabase|mongodb|redis|rss|pr|code review|incident|p"&amp;"agerduty|jira""), ""Development &amp; Utilities"",
  TRUE, ""Others""
)"),"Development &amp; Utilities")</f>
        <v>Development &amp; Utilities</v>
      </c>
    </row>
    <row r="1531" ht="15.75" customHeight="1">
      <c r="A1531" s="14" t="s">
        <v>3035</v>
      </c>
      <c r="B1531" s="15" t="s">
        <v>3036</v>
      </c>
      <c r="C1531" s="16" t="s">
        <v>7</v>
      </c>
      <c r="D1531" s="12" t="str">
        <f>IFERROR(__xludf.DUMMYFUNCTION("IFS(
  REGEXMATCH(A1531&amp;B1531, ""(?i)openai|gpt|gemini|anthropic|claude|mistral|cohere|rag|vector|llm|chatbot|ai-powered""), ""AI &amp; LLM"",
  REGEXMATCH(A1531&amp;B1531, ""(?i)twitter|instagram|facebook|linkedin|youtube|tiktok|threads|bluesky|pinterest|social"&amp;" video|reels?|shorts?""), ""Social Media"",
  REGEXMATCH(A1531&amp;B1531, ""(?i)hubspot|pipedrive|stripe|shopify|woocommerce|sales|crm|invoice|order|leads?|recruitment|bamboohr|erpnext""), ""CRM &amp; Sales"",
  REGEXMATCH(A1531&amp;B1531, ""(?i)gmail|outlook|calenda"&amp;"r|slack|discord|telegram|whatsapp|notion|trello|drive|sheets?|meeting|scheduler|appointment|mattermost""), ""Productivity &amp; Communication"",
  REGEXMATCH(A1531&amp;B1531, ""(?i)github|api|webhook|http|mysql|supabase|mongodb|redis|rss|pr|code review|incident|p"&amp;"agerduty|jira""), ""Development &amp; Utilities"",
  TRUE, ""Others""
)"),"Development &amp; Utilities")</f>
        <v>Development &amp; Utilities</v>
      </c>
    </row>
    <row r="1532" ht="15.75" customHeight="1">
      <c r="A1532" s="14" t="s">
        <v>3037</v>
      </c>
      <c r="B1532" s="15" t="s">
        <v>3038</v>
      </c>
      <c r="C1532" s="16" t="s">
        <v>7</v>
      </c>
      <c r="D1532" s="12" t="str">
        <f>IFERROR(__xludf.DUMMYFUNCTION("IFS(
  REGEXMATCH(A1532&amp;B1532, ""(?i)openai|gpt|gemini|anthropic|claude|mistral|cohere|rag|vector|llm|chatbot|ai-powered""), ""AI &amp; LLM"",
  REGEXMATCH(A1532&amp;B1532, ""(?i)twitter|instagram|facebook|linkedin|youtube|tiktok|threads|bluesky|pinterest|social"&amp;" video|reels?|shorts?""), ""Social Media"",
  REGEXMATCH(A1532&amp;B1532, ""(?i)hubspot|pipedrive|stripe|shopify|woocommerce|sales|crm|invoice|order|leads?|recruitment|bamboohr|erpnext""), ""CRM &amp; Sales"",
  REGEXMATCH(A1532&amp;B1532, ""(?i)gmail|outlook|calenda"&amp;"r|slack|discord|telegram|whatsapp|notion|trello|drive|sheets?|meeting|scheduler|appointment|mattermost""), ""Productivity &amp; Communication"",
  REGEXMATCH(A1532&amp;B1532, ""(?i)github|api|webhook|http|mysql|supabase|mongodb|redis|rss|pr|code review|incident|p"&amp;"agerduty|jira""), ""Development &amp; Utilities"",
  TRUE, ""Others""
)"),"Development &amp; Utilities")</f>
        <v>Development &amp; Utilities</v>
      </c>
    </row>
    <row r="1533" ht="15.75" customHeight="1">
      <c r="A1533" s="14" t="s">
        <v>3039</v>
      </c>
      <c r="B1533" s="15" t="s">
        <v>3040</v>
      </c>
      <c r="C1533" s="16" t="s">
        <v>7</v>
      </c>
      <c r="D1533" s="12" t="str">
        <f>IFERROR(__xludf.DUMMYFUNCTION("IFS(
  REGEXMATCH(A1533&amp;B1533, ""(?i)openai|gpt|gemini|anthropic|claude|mistral|cohere|rag|vector|llm|chatbot|ai-powered""), ""AI &amp; LLM"",
  REGEXMATCH(A1533&amp;B1533, ""(?i)twitter|instagram|facebook|linkedin|youtube|tiktok|threads|bluesky|pinterest|social"&amp;" video|reels?|shorts?""), ""Social Media"",
  REGEXMATCH(A1533&amp;B1533, ""(?i)hubspot|pipedrive|stripe|shopify|woocommerce|sales|crm|invoice|order|leads?|recruitment|bamboohr|erpnext""), ""CRM &amp; Sales"",
  REGEXMATCH(A1533&amp;B1533, ""(?i)gmail|outlook|calenda"&amp;"r|slack|discord|telegram|whatsapp|notion|trello|drive|sheets?|meeting|scheduler|appointment|mattermost""), ""Productivity &amp; Communication"",
  REGEXMATCH(A1533&amp;B1533, ""(?i)github|api|webhook|http|mysql|supabase|mongodb|redis|rss|pr|code review|incident|p"&amp;"agerduty|jira""), ""Development &amp; Utilities"",
  TRUE, ""Others""
)"),"Development &amp; Utilities")</f>
        <v>Development &amp; Utilities</v>
      </c>
    </row>
    <row r="1534" ht="15.75" customHeight="1">
      <c r="A1534" s="14" t="s">
        <v>3041</v>
      </c>
      <c r="B1534" s="15" t="s">
        <v>3042</v>
      </c>
      <c r="C1534" s="16" t="s">
        <v>7</v>
      </c>
      <c r="D1534" s="12" t="str">
        <f>IFERROR(__xludf.DUMMYFUNCTION("IFS(
  REGEXMATCH(A1534&amp;B1534, ""(?i)openai|gpt|gemini|anthropic|claude|mistral|cohere|rag|vector|llm|chatbot|ai-powered""), ""AI &amp; LLM"",
  REGEXMATCH(A1534&amp;B1534, ""(?i)twitter|instagram|facebook|linkedin|youtube|tiktok|threads|bluesky|pinterest|social"&amp;" video|reels?|shorts?""), ""Social Media"",
  REGEXMATCH(A1534&amp;B1534, ""(?i)hubspot|pipedrive|stripe|shopify|woocommerce|sales|crm|invoice|order|leads?|recruitment|bamboohr|erpnext""), ""CRM &amp; Sales"",
  REGEXMATCH(A1534&amp;B1534, ""(?i)gmail|outlook|calenda"&amp;"r|slack|discord|telegram|whatsapp|notion|trello|drive|sheets?|meeting|scheduler|appointment|mattermost""), ""Productivity &amp; Communication"",
  REGEXMATCH(A1534&amp;B1534, ""(?i)github|api|webhook|http|mysql|supabase|mongodb|redis|rss|pr|code review|incident|p"&amp;"agerduty|jira""), ""Development &amp; Utilities"",
  TRUE, ""Others""
)"),"Development &amp; Utilities")</f>
        <v>Development &amp; Utilities</v>
      </c>
    </row>
    <row r="1535" ht="15.75" customHeight="1">
      <c r="A1535" s="14" t="s">
        <v>3043</v>
      </c>
      <c r="B1535" s="15" t="s">
        <v>3044</v>
      </c>
      <c r="C1535" s="16" t="s">
        <v>7</v>
      </c>
      <c r="D1535" s="12" t="str">
        <f>IFERROR(__xludf.DUMMYFUNCTION("IFS(
  REGEXMATCH(A1535&amp;B1535, ""(?i)openai|gpt|gemini|anthropic|claude|mistral|cohere|rag|vector|llm|chatbot|ai-powered""), ""AI &amp; LLM"",
  REGEXMATCH(A1535&amp;B1535, ""(?i)twitter|instagram|facebook|linkedin|youtube|tiktok|threads|bluesky|pinterest|social"&amp;" video|reels?|shorts?""), ""Social Media"",
  REGEXMATCH(A1535&amp;B1535, ""(?i)hubspot|pipedrive|stripe|shopify|woocommerce|sales|crm|invoice|order|leads?|recruitment|bamboohr|erpnext""), ""CRM &amp; Sales"",
  REGEXMATCH(A1535&amp;B1535, ""(?i)gmail|outlook|calenda"&amp;"r|slack|discord|telegram|whatsapp|notion|trello|drive|sheets?|meeting|scheduler|appointment|mattermost""), ""Productivity &amp; Communication"",
  REGEXMATCH(A1535&amp;B1535, ""(?i)github|api|webhook|http|mysql|supabase|mongodb|redis|rss|pr|code review|incident|p"&amp;"agerduty|jira""), ""Development &amp; Utilities"",
  TRUE, ""Others""
)"),"CRM &amp; Sales")</f>
        <v>CRM &amp; Sales</v>
      </c>
    </row>
    <row r="1536" ht="15.75" customHeight="1">
      <c r="A1536" s="14" t="s">
        <v>3045</v>
      </c>
      <c r="B1536" s="15" t="s">
        <v>3046</v>
      </c>
      <c r="C1536" s="16" t="s">
        <v>7</v>
      </c>
      <c r="D1536" s="12" t="str">
        <f>IFERROR(__xludf.DUMMYFUNCTION("IFS(
  REGEXMATCH(A1536&amp;B1536, ""(?i)openai|gpt|gemini|anthropic|claude|mistral|cohere|rag|vector|llm|chatbot|ai-powered""), ""AI &amp; LLM"",
  REGEXMATCH(A1536&amp;B1536, ""(?i)twitter|instagram|facebook|linkedin|youtube|tiktok|threads|bluesky|pinterest|social"&amp;" video|reels?|shorts?""), ""Social Media"",
  REGEXMATCH(A1536&amp;B1536, ""(?i)hubspot|pipedrive|stripe|shopify|woocommerce|sales|crm|invoice|order|leads?|recruitment|bamboohr|erpnext""), ""CRM &amp; Sales"",
  REGEXMATCH(A1536&amp;B1536, ""(?i)gmail|outlook|calenda"&amp;"r|slack|discord|telegram|whatsapp|notion|trello|drive|sheets?|meeting|scheduler|appointment|mattermost""), ""Productivity &amp; Communication"",
  REGEXMATCH(A1536&amp;B1536, ""(?i)github|api|webhook|http|mysql|supabase|mongodb|redis|rss|pr|code review|incident|p"&amp;"agerduty|jira""), ""Development &amp; Utilities"",
  TRUE, ""Others""
)"),"CRM &amp; Sales")</f>
        <v>CRM &amp; Sales</v>
      </c>
    </row>
    <row r="1537" ht="15.75" customHeight="1">
      <c r="A1537" s="14" t="s">
        <v>3047</v>
      </c>
      <c r="B1537" s="15" t="s">
        <v>3048</v>
      </c>
      <c r="C1537" s="16" t="s">
        <v>7</v>
      </c>
      <c r="D1537" s="12" t="str">
        <f>IFERROR(__xludf.DUMMYFUNCTION("IFS(
  REGEXMATCH(A1537&amp;B1537, ""(?i)openai|gpt|gemini|anthropic|claude|mistral|cohere|rag|vector|llm|chatbot|ai-powered""), ""AI &amp; LLM"",
  REGEXMATCH(A1537&amp;B1537, ""(?i)twitter|instagram|facebook|linkedin|youtube|tiktok|threads|bluesky|pinterest|social"&amp;" video|reels?|shorts?""), ""Social Media"",
  REGEXMATCH(A1537&amp;B1537, ""(?i)hubspot|pipedrive|stripe|shopify|woocommerce|sales|crm|invoice|order|leads?|recruitment|bamboohr|erpnext""), ""CRM &amp; Sales"",
  REGEXMATCH(A1537&amp;B1537, ""(?i)gmail|outlook|calenda"&amp;"r|slack|discord|telegram|whatsapp|notion|trello|drive|sheets?|meeting|scheduler|appointment|mattermost""), ""Productivity &amp; Communication"",
  REGEXMATCH(A1537&amp;B1537, ""(?i)github|api|webhook|http|mysql|supabase|mongodb|redis|rss|pr|code review|incident|p"&amp;"agerduty|jira""), ""Development &amp; Utilities"",
  TRUE, ""Others""
)"),"AI &amp; LLM")</f>
        <v>AI &amp; LLM</v>
      </c>
    </row>
    <row r="1538" ht="15.75" customHeight="1">
      <c r="A1538" s="14" t="s">
        <v>3049</v>
      </c>
      <c r="B1538" s="15" t="s">
        <v>3050</v>
      </c>
      <c r="C1538" s="16" t="s">
        <v>7</v>
      </c>
      <c r="D1538" s="12" t="str">
        <f>IFERROR(__xludf.DUMMYFUNCTION("IFS(
  REGEXMATCH(A1538&amp;B1538, ""(?i)openai|gpt|gemini|anthropic|claude|mistral|cohere|rag|vector|llm|chatbot|ai-powered""), ""AI &amp; LLM"",
  REGEXMATCH(A1538&amp;B1538, ""(?i)twitter|instagram|facebook|linkedin|youtube|tiktok|threads|bluesky|pinterest|social"&amp;" video|reels?|shorts?""), ""Social Media"",
  REGEXMATCH(A1538&amp;B1538, ""(?i)hubspot|pipedrive|stripe|shopify|woocommerce|sales|crm|invoice|order|leads?|recruitment|bamboohr|erpnext""), ""CRM &amp; Sales"",
  REGEXMATCH(A1538&amp;B1538, ""(?i)gmail|outlook|calenda"&amp;"r|slack|discord|telegram|whatsapp|notion|trello|drive|sheets?|meeting|scheduler|appointment|mattermost""), ""Productivity &amp; Communication"",
  REGEXMATCH(A1538&amp;B1538, ""(?i)github|api|webhook|http|mysql|supabase|mongodb|redis|rss|pr|code review|incident|p"&amp;"agerduty|jira""), ""Development &amp; Utilities"",
  TRUE, ""Others""
)"),"CRM &amp; Sales")</f>
        <v>CRM &amp; Sales</v>
      </c>
    </row>
    <row r="1539" ht="15.75" customHeight="1">
      <c r="A1539" s="14" t="s">
        <v>3051</v>
      </c>
      <c r="B1539" s="15" t="s">
        <v>3052</v>
      </c>
      <c r="C1539" s="16" t="s">
        <v>7</v>
      </c>
      <c r="D1539" s="12" t="str">
        <f>IFERROR(__xludf.DUMMYFUNCTION("IFS(
  REGEXMATCH(A1539&amp;B1539, ""(?i)openai|gpt|gemini|anthropic|claude|mistral|cohere|rag|vector|llm|chatbot|ai-powered""), ""AI &amp; LLM"",
  REGEXMATCH(A1539&amp;B1539, ""(?i)twitter|instagram|facebook|linkedin|youtube|tiktok|threads|bluesky|pinterest|social"&amp;" video|reels?|shorts?""), ""Social Media"",
  REGEXMATCH(A1539&amp;B1539, ""(?i)hubspot|pipedrive|stripe|shopify|woocommerce|sales|crm|invoice|order|leads?|recruitment|bamboohr|erpnext""), ""CRM &amp; Sales"",
  REGEXMATCH(A1539&amp;B1539, ""(?i)gmail|outlook|calenda"&amp;"r|slack|discord|telegram|whatsapp|notion|trello|drive|sheets?|meeting|scheduler|appointment|mattermost""), ""Productivity &amp; Communication"",
  REGEXMATCH(A1539&amp;B1539, ""(?i)github|api|webhook|http|mysql|supabase|mongodb|redis|rss|pr|code review|incident|p"&amp;"agerduty|jira""), ""Development &amp; Utilities"",
  TRUE, ""Others""
)"),"AI &amp; LLM")</f>
        <v>AI &amp; LLM</v>
      </c>
    </row>
    <row r="1540" ht="15.75" customHeight="1">
      <c r="A1540" s="14" t="s">
        <v>3053</v>
      </c>
      <c r="B1540" s="15" t="s">
        <v>3054</v>
      </c>
      <c r="C1540" s="16" t="s">
        <v>7</v>
      </c>
      <c r="D1540" s="12" t="str">
        <f>IFERROR(__xludf.DUMMYFUNCTION("IFS(
  REGEXMATCH(A1540&amp;B1540, ""(?i)openai|gpt|gemini|anthropic|claude|mistral|cohere|rag|vector|llm|chatbot|ai-powered""), ""AI &amp; LLM"",
  REGEXMATCH(A1540&amp;B1540, ""(?i)twitter|instagram|facebook|linkedin|youtube|tiktok|threads|bluesky|pinterest|social"&amp;" video|reels?|shorts?""), ""Social Media"",
  REGEXMATCH(A1540&amp;B1540, ""(?i)hubspot|pipedrive|stripe|shopify|woocommerce|sales|crm|invoice|order|leads?|recruitment|bamboohr|erpnext""), ""CRM &amp; Sales"",
  REGEXMATCH(A1540&amp;B1540, ""(?i)gmail|outlook|calenda"&amp;"r|slack|discord|telegram|whatsapp|notion|trello|drive|sheets?|meeting|scheduler|appointment|mattermost""), ""Productivity &amp; Communication"",
  REGEXMATCH(A1540&amp;B1540, ""(?i)github|api|webhook|http|mysql|supabase|mongodb|redis|rss|pr|code review|incident|p"&amp;"agerduty|jira""), ""Development &amp; Utilities"",
  TRUE, ""Others""
)"),"CRM &amp; Sales")</f>
        <v>CRM &amp; Sales</v>
      </c>
    </row>
    <row r="1541" ht="15.75" customHeight="1">
      <c r="A1541" s="14" t="s">
        <v>3055</v>
      </c>
      <c r="B1541" s="15" t="s">
        <v>3056</v>
      </c>
      <c r="C1541" s="16" t="s">
        <v>7</v>
      </c>
      <c r="D1541" s="12" t="str">
        <f>IFERROR(__xludf.DUMMYFUNCTION("IFS(
  REGEXMATCH(A1541&amp;B1541, ""(?i)openai|gpt|gemini|anthropic|claude|mistral|cohere|rag|vector|llm|chatbot|ai-powered""), ""AI &amp; LLM"",
  REGEXMATCH(A1541&amp;B1541, ""(?i)twitter|instagram|facebook|linkedin|youtube|tiktok|threads|bluesky|pinterest|social"&amp;" video|reels?|shorts?""), ""Social Media"",
  REGEXMATCH(A1541&amp;B1541, ""(?i)hubspot|pipedrive|stripe|shopify|woocommerce|sales|crm|invoice|order|leads?|recruitment|bamboohr|erpnext""), ""CRM &amp; Sales"",
  REGEXMATCH(A1541&amp;B1541, ""(?i)gmail|outlook|calenda"&amp;"r|slack|discord|telegram|whatsapp|notion|trello|drive|sheets?|meeting|scheduler|appointment|mattermost""), ""Productivity &amp; Communication"",
  REGEXMATCH(A1541&amp;B1541, ""(?i)github|api|webhook|http|mysql|supabase|mongodb|redis|rss|pr|code review|incident|p"&amp;"agerduty|jira""), ""Development &amp; Utilities"",
  TRUE, ""Others""
)"),"Productivity &amp; Communication")</f>
        <v>Productivity &amp; Communication</v>
      </c>
    </row>
    <row r="1542" ht="15.75" customHeight="1">
      <c r="A1542" s="14" t="s">
        <v>3057</v>
      </c>
      <c r="B1542" s="15" t="s">
        <v>3058</v>
      </c>
      <c r="C1542" s="16" t="s">
        <v>7</v>
      </c>
      <c r="D1542" s="12" t="str">
        <f>IFERROR(__xludf.DUMMYFUNCTION("IFS(
  REGEXMATCH(A1542&amp;B1542, ""(?i)openai|gpt|gemini|anthropic|claude|mistral|cohere|rag|vector|llm|chatbot|ai-powered""), ""AI &amp; LLM"",
  REGEXMATCH(A1542&amp;B1542, ""(?i)twitter|instagram|facebook|linkedin|youtube|tiktok|threads|bluesky|pinterest|social"&amp;" video|reels?|shorts?""), ""Social Media"",
  REGEXMATCH(A1542&amp;B1542, ""(?i)hubspot|pipedrive|stripe|shopify|woocommerce|sales|crm|invoice|order|leads?|recruitment|bamboohr|erpnext""), ""CRM &amp; Sales"",
  REGEXMATCH(A1542&amp;B1542, ""(?i)gmail|outlook|calenda"&amp;"r|slack|discord|telegram|whatsapp|notion|trello|drive|sheets?|meeting|scheduler|appointment|mattermost""), ""Productivity &amp; Communication"",
  REGEXMATCH(A1542&amp;B1542, ""(?i)github|api|webhook|http|mysql|supabase|mongodb|redis|rss|pr|code review|incident|p"&amp;"agerduty|jira""), ""Development &amp; Utilities"",
  TRUE, ""Others""
)"),"AI &amp; LLM")</f>
        <v>AI &amp; LLM</v>
      </c>
    </row>
    <row r="1543" ht="15.75" customHeight="1">
      <c r="A1543" s="14" t="s">
        <v>3059</v>
      </c>
      <c r="B1543" s="15" t="s">
        <v>3060</v>
      </c>
      <c r="C1543" s="16" t="s">
        <v>7</v>
      </c>
      <c r="D1543" s="12" t="str">
        <f>IFERROR(__xludf.DUMMYFUNCTION("IFS(
  REGEXMATCH(A1543&amp;B1543, ""(?i)openai|gpt|gemini|anthropic|claude|mistral|cohere|rag|vector|llm|chatbot|ai-powered""), ""AI &amp; LLM"",
  REGEXMATCH(A1543&amp;B1543, ""(?i)twitter|instagram|facebook|linkedin|youtube|tiktok|threads|bluesky|pinterest|social"&amp;" video|reels?|shorts?""), ""Social Media"",
  REGEXMATCH(A1543&amp;B1543, ""(?i)hubspot|pipedrive|stripe|shopify|woocommerce|sales|crm|invoice|order|leads?|recruitment|bamboohr|erpnext""), ""CRM &amp; Sales"",
  REGEXMATCH(A1543&amp;B1543, ""(?i)gmail|outlook|calenda"&amp;"r|slack|discord|telegram|whatsapp|notion|trello|drive|sheets?|meeting|scheduler|appointment|mattermost""), ""Productivity &amp; Communication"",
  REGEXMATCH(A1543&amp;B1543, ""(?i)github|api|webhook|http|mysql|supabase|mongodb|redis|rss|pr|code review|incident|p"&amp;"agerduty|jira""), ""Development &amp; Utilities"",
  TRUE, ""Others""
)"),"Productivity &amp; Communication")</f>
        <v>Productivity &amp; Communication</v>
      </c>
    </row>
    <row r="1544" ht="15.75" customHeight="1">
      <c r="A1544" s="14" t="s">
        <v>3061</v>
      </c>
      <c r="B1544" s="15" t="s">
        <v>3062</v>
      </c>
      <c r="C1544" s="16" t="s">
        <v>7</v>
      </c>
      <c r="D1544" s="12" t="str">
        <f>IFERROR(__xludf.DUMMYFUNCTION("IFS(
  REGEXMATCH(A1544&amp;B1544, ""(?i)openai|gpt|gemini|anthropic|claude|mistral|cohere|rag|vector|llm|chatbot|ai-powered""), ""AI &amp; LLM"",
  REGEXMATCH(A1544&amp;B1544, ""(?i)twitter|instagram|facebook|linkedin|youtube|tiktok|threads|bluesky|pinterest|social"&amp;" video|reels?|shorts?""), ""Social Media"",
  REGEXMATCH(A1544&amp;B1544, ""(?i)hubspot|pipedrive|stripe|shopify|woocommerce|sales|crm|invoice|order|leads?|recruitment|bamboohr|erpnext""), ""CRM &amp; Sales"",
  REGEXMATCH(A1544&amp;B1544, ""(?i)gmail|outlook|calenda"&amp;"r|slack|discord|telegram|whatsapp|notion|trello|drive|sheets?|meeting|scheduler|appointment|mattermost""), ""Productivity &amp; Communication"",
  REGEXMATCH(A1544&amp;B1544, ""(?i)github|api|webhook|http|mysql|supabase|mongodb|redis|rss|pr|code review|incident|p"&amp;"agerduty|jira""), ""Development &amp; Utilities"",
  TRUE, ""Others""
)"),"Development &amp; Utilities")</f>
        <v>Development &amp; Utilities</v>
      </c>
    </row>
    <row r="1545" ht="15.75" customHeight="1">
      <c r="A1545" s="14" t="s">
        <v>3063</v>
      </c>
      <c r="B1545" s="15" t="s">
        <v>3064</v>
      </c>
      <c r="C1545" s="16" t="s">
        <v>7</v>
      </c>
      <c r="D1545" s="12" t="str">
        <f>IFERROR(__xludf.DUMMYFUNCTION("IFS(
  REGEXMATCH(A1545&amp;B1545, ""(?i)openai|gpt|gemini|anthropic|claude|mistral|cohere|rag|vector|llm|chatbot|ai-powered""), ""AI &amp; LLM"",
  REGEXMATCH(A1545&amp;B1545, ""(?i)twitter|instagram|facebook|linkedin|youtube|tiktok|threads|bluesky|pinterest|social"&amp;" video|reels?|shorts?""), ""Social Media"",
  REGEXMATCH(A1545&amp;B1545, ""(?i)hubspot|pipedrive|stripe|shopify|woocommerce|sales|crm|invoice|order|leads?|recruitment|bamboohr|erpnext""), ""CRM &amp; Sales"",
  REGEXMATCH(A1545&amp;B1545, ""(?i)gmail|outlook|calenda"&amp;"r|slack|discord|telegram|whatsapp|notion|trello|drive|sheets?|meeting|scheduler|appointment|mattermost""), ""Productivity &amp; Communication"",
  REGEXMATCH(A1545&amp;B1545, ""(?i)github|api|webhook|http|mysql|supabase|mongodb|redis|rss|pr|code review|incident|p"&amp;"agerduty|jira""), ""Development &amp; Utilities"",
  TRUE, ""Others""
)"),"Development &amp; Utilities")</f>
        <v>Development &amp; Utilities</v>
      </c>
    </row>
    <row r="1546" ht="15.75" customHeight="1">
      <c r="A1546" s="14" t="s">
        <v>3065</v>
      </c>
      <c r="B1546" s="15" t="s">
        <v>3066</v>
      </c>
      <c r="C1546" s="16" t="s">
        <v>7</v>
      </c>
      <c r="D1546" s="12" t="str">
        <f>IFERROR(__xludf.DUMMYFUNCTION("IFS(
  REGEXMATCH(A1546&amp;B1546, ""(?i)openai|gpt|gemini|anthropic|claude|mistral|cohere|rag|vector|llm|chatbot|ai-powered""), ""AI &amp; LLM"",
  REGEXMATCH(A1546&amp;B1546, ""(?i)twitter|instagram|facebook|linkedin|youtube|tiktok|threads|bluesky|pinterest|social"&amp;" video|reels?|shorts?""), ""Social Media"",
  REGEXMATCH(A1546&amp;B1546, ""(?i)hubspot|pipedrive|stripe|shopify|woocommerce|sales|crm|invoice|order|leads?|recruitment|bamboohr|erpnext""), ""CRM &amp; Sales"",
  REGEXMATCH(A1546&amp;B1546, ""(?i)gmail|outlook|calenda"&amp;"r|slack|discord|telegram|whatsapp|notion|trello|drive|sheets?|meeting|scheduler|appointment|mattermost""), ""Productivity &amp; Communication"",
  REGEXMATCH(A1546&amp;B1546, ""(?i)github|api|webhook|http|mysql|supabase|mongodb|redis|rss|pr|code review|incident|p"&amp;"agerduty|jira""), ""Development &amp; Utilities"",
  TRUE, ""Others""
)"),"Development &amp; Utilities")</f>
        <v>Development &amp; Utilities</v>
      </c>
    </row>
    <row r="1547" ht="15.75" customHeight="1">
      <c r="A1547" s="14" t="s">
        <v>3067</v>
      </c>
      <c r="B1547" s="15" t="s">
        <v>3068</v>
      </c>
      <c r="C1547" s="16" t="s">
        <v>7</v>
      </c>
      <c r="D1547" s="12" t="str">
        <f>IFERROR(__xludf.DUMMYFUNCTION("IFS(
  REGEXMATCH(A1547&amp;B1547, ""(?i)openai|gpt|gemini|anthropic|claude|mistral|cohere|rag|vector|llm|chatbot|ai-powered""), ""AI &amp; LLM"",
  REGEXMATCH(A1547&amp;B1547, ""(?i)twitter|instagram|facebook|linkedin|youtube|tiktok|threads|bluesky|pinterest|social"&amp;" video|reels?|shorts?""), ""Social Media"",
  REGEXMATCH(A1547&amp;B1547, ""(?i)hubspot|pipedrive|stripe|shopify|woocommerce|sales|crm|invoice|order|leads?|recruitment|bamboohr|erpnext""), ""CRM &amp; Sales"",
  REGEXMATCH(A1547&amp;B1547, ""(?i)gmail|outlook|calenda"&amp;"r|slack|discord|telegram|whatsapp|notion|trello|drive|sheets?|meeting|scheduler|appointment|mattermost""), ""Productivity &amp; Communication"",
  REGEXMATCH(A1547&amp;B1547, ""(?i)github|api|webhook|http|mysql|supabase|mongodb|redis|rss|pr|code review|incident|p"&amp;"agerduty|jira""), ""Development &amp; Utilities"",
  TRUE, ""Others""
)"),"Development &amp; Utilities")</f>
        <v>Development &amp; Utilities</v>
      </c>
    </row>
    <row r="1548" ht="15.75" customHeight="1">
      <c r="A1548" s="14" t="s">
        <v>3069</v>
      </c>
      <c r="B1548" s="15" t="s">
        <v>3070</v>
      </c>
      <c r="C1548" s="16" t="s">
        <v>7</v>
      </c>
      <c r="D1548" s="12" t="str">
        <f>IFERROR(__xludf.DUMMYFUNCTION("IFS(
  REGEXMATCH(A1548&amp;B1548, ""(?i)openai|gpt|gemini|anthropic|claude|mistral|cohere|rag|vector|llm|chatbot|ai-powered""), ""AI &amp; LLM"",
  REGEXMATCH(A1548&amp;B1548, ""(?i)twitter|instagram|facebook|linkedin|youtube|tiktok|threads|bluesky|pinterest|social"&amp;" video|reels?|shorts?""), ""Social Media"",
  REGEXMATCH(A1548&amp;B1548, ""(?i)hubspot|pipedrive|stripe|shopify|woocommerce|sales|crm|invoice|order|leads?|recruitment|bamboohr|erpnext""), ""CRM &amp; Sales"",
  REGEXMATCH(A1548&amp;B1548, ""(?i)gmail|outlook|calenda"&amp;"r|slack|discord|telegram|whatsapp|notion|trello|drive|sheets?|meeting|scheduler|appointment|mattermost""), ""Productivity &amp; Communication"",
  REGEXMATCH(A1548&amp;B1548, ""(?i)github|api|webhook|http|mysql|supabase|mongodb|redis|rss|pr|code review|incident|p"&amp;"agerduty|jira""), ""Development &amp; Utilities"",
  TRUE, ""Others""
)"),"CRM &amp; Sales")</f>
        <v>CRM &amp; Sales</v>
      </c>
    </row>
    <row r="1549" ht="15.75" customHeight="1">
      <c r="A1549" s="14" t="s">
        <v>3071</v>
      </c>
      <c r="B1549" s="15" t="s">
        <v>3072</v>
      </c>
      <c r="C1549" s="16" t="s">
        <v>7</v>
      </c>
      <c r="D1549" s="12" t="str">
        <f>IFERROR(__xludf.DUMMYFUNCTION("IFS(
  REGEXMATCH(A1549&amp;B1549, ""(?i)openai|gpt|gemini|anthropic|claude|mistral|cohere|rag|vector|llm|chatbot|ai-powered""), ""AI &amp; LLM"",
  REGEXMATCH(A1549&amp;B1549, ""(?i)twitter|instagram|facebook|linkedin|youtube|tiktok|threads|bluesky|pinterest|social"&amp;" video|reels?|shorts?""), ""Social Media"",
  REGEXMATCH(A1549&amp;B1549, ""(?i)hubspot|pipedrive|stripe|shopify|woocommerce|sales|crm|invoice|order|leads?|recruitment|bamboohr|erpnext""), ""CRM &amp; Sales"",
  REGEXMATCH(A1549&amp;B1549, ""(?i)gmail|outlook|calenda"&amp;"r|slack|discord|telegram|whatsapp|notion|trello|drive|sheets?|meeting|scheduler|appointment|mattermost""), ""Productivity &amp; Communication"",
  REGEXMATCH(A1549&amp;B1549, ""(?i)github|api|webhook|http|mysql|supabase|mongodb|redis|rss|pr|code review|incident|p"&amp;"agerduty|jira""), ""Development &amp; Utilities"",
  TRUE, ""Others""
)"),"AI &amp; LLM")</f>
        <v>AI &amp; LLM</v>
      </c>
    </row>
    <row r="1550" ht="15.75" customHeight="1">
      <c r="A1550" s="14" t="s">
        <v>3073</v>
      </c>
      <c r="B1550" s="15" t="s">
        <v>3074</v>
      </c>
      <c r="C1550" s="16" t="s">
        <v>7</v>
      </c>
      <c r="D1550" s="12" t="str">
        <f>IFERROR(__xludf.DUMMYFUNCTION("IFS(
  REGEXMATCH(A1550&amp;B1550, ""(?i)openai|gpt|gemini|anthropic|claude|mistral|cohere|rag|vector|llm|chatbot|ai-powered""), ""AI &amp; LLM"",
  REGEXMATCH(A1550&amp;B1550, ""(?i)twitter|instagram|facebook|linkedin|youtube|tiktok|threads|bluesky|pinterest|social"&amp;" video|reels?|shorts?""), ""Social Media"",
  REGEXMATCH(A1550&amp;B1550, ""(?i)hubspot|pipedrive|stripe|shopify|woocommerce|sales|crm|invoice|order|leads?|recruitment|bamboohr|erpnext""), ""CRM &amp; Sales"",
  REGEXMATCH(A1550&amp;B1550, ""(?i)gmail|outlook|calenda"&amp;"r|slack|discord|telegram|whatsapp|notion|trello|drive|sheets?|meeting|scheduler|appointment|mattermost""), ""Productivity &amp; Communication"",
  REGEXMATCH(A1550&amp;B1550, ""(?i)github|api|webhook|http|mysql|supabase|mongodb|redis|rss|pr|code review|incident|p"&amp;"agerduty|jira""), ""Development &amp; Utilities"",
  TRUE, ""Others""
)"),"CRM &amp; Sales")</f>
        <v>CRM &amp; Sales</v>
      </c>
    </row>
    <row r="1551" ht="15.75" customHeight="1">
      <c r="A1551" s="14" t="s">
        <v>3075</v>
      </c>
      <c r="B1551" s="15" t="s">
        <v>3076</v>
      </c>
      <c r="C1551" s="16" t="s">
        <v>7</v>
      </c>
      <c r="D1551" s="12" t="str">
        <f>IFERROR(__xludf.DUMMYFUNCTION("IFS(
  REGEXMATCH(A1551&amp;B1551, ""(?i)openai|gpt|gemini|anthropic|claude|mistral|cohere|rag|vector|llm|chatbot|ai-powered""), ""AI &amp; LLM"",
  REGEXMATCH(A1551&amp;B1551, ""(?i)twitter|instagram|facebook|linkedin|youtube|tiktok|threads|bluesky|pinterest|social"&amp;" video|reels?|shorts?""), ""Social Media"",
  REGEXMATCH(A1551&amp;B1551, ""(?i)hubspot|pipedrive|stripe|shopify|woocommerce|sales|crm|invoice|order|leads?|recruitment|bamboohr|erpnext""), ""CRM &amp; Sales"",
  REGEXMATCH(A1551&amp;B1551, ""(?i)gmail|outlook|calenda"&amp;"r|slack|discord|telegram|whatsapp|notion|trello|drive|sheets?|meeting|scheduler|appointment|mattermost""), ""Productivity &amp; Communication"",
  REGEXMATCH(A1551&amp;B1551, ""(?i)github|api|webhook|http|mysql|supabase|mongodb|redis|rss|pr|code review|incident|p"&amp;"agerduty|jira""), ""Development &amp; Utilities"",
  TRUE, ""Others""
)"),"Development &amp; Utilities")</f>
        <v>Development &amp; Utilities</v>
      </c>
    </row>
    <row r="1552" ht="15.75" customHeight="1">
      <c r="A1552" s="14" t="s">
        <v>3077</v>
      </c>
      <c r="B1552" s="15" t="s">
        <v>3078</v>
      </c>
      <c r="C1552" s="16" t="s">
        <v>7</v>
      </c>
      <c r="D1552" s="12" t="str">
        <f>IFERROR(__xludf.DUMMYFUNCTION("IFS(
  REGEXMATCH(A1552&amp;B1552, ""(?i)openai|gpt|gemini|anthropic|claude|mistral|cohere|rag|vector|llm|chatbot|ai-powered""), ""AI &amp; LLM"",
  REGEXMATCH(A1552&amp;B1552, ""(?i)twitter|instagram|facebook|linkedin|youtube|tiktok|threads|bluesky|pinterest|social"&amp;" video|reels?|shorts?""), ""Social Media"",
  REGEXMATCH(A1552&amp;B1552, ""(?i)hubspot|pipedrive|stripe|shopify|woocommerce|sales|crm|invoice|order|leads?|recruitment|bamboohr|erpnext""), ""CRM &amp; Sales"",
  REGEXMATCH(A1552&amp;B1552, ""(?i)gmail|outlook|calenda"&amp;"r|slack|discord|telegram|whatsapp|notion|trello|drive|sheets?|meeting|scheduler|appointment|mattermost""), ""Productivity &amp; Communication"",
  REGEXMATCH(A1552&amp;B1552, ""(?i)github|api|webhook|http|mysql|supabase|mongodb|redis|rss|pr|code review|incident|p"&amp;"agerduty|jira""), ""Development &amp; Utilities"",
  TRUE, ""Others""
)"),"Social Media")</f>
        <v>Social Media</v>
      </c>
    </row>
    <row r="1553" ht="15.75" customHeight="1">
      <c r="A1553" s="14" t="s">
        <v>3079</v>
      </c>
      <c r="B1553" s="15" t="s">
        <v>3080</v>
      </c>
      <c r="C1553" s="16" t="s">
        <v>7</v>
      </c>
      <c r="D1553" s="12" t="str">
        <f>IFERROR(__xludf.DUMMYFUNCTION("IFS(
  REGEXMATCH(A1553&amp;B1553, ""(?i)openai|gpt|gemini|anthropic|claude|mistral|cohere|rag|vector|llm|chatbot|ai-powered""), ""AI &amp; LLM"",
  REGEXMATCH(A1553&amp;B1553, ""(?i)twitter|instagram|facebook|linkedin|youtube|tiktok|threads|bluesky|pinterest|social"&amp;" video|reels?|shorts?""), ""Social Media"",
  REGEXMATCH(A1553&amp;B1553, ""(?i)hubspot|pipedrive|stripe|shopify|woocommerce|sales|crm|invoice|order|leads?|recruitment|bamboohr|erpnext""), ""CRM &amp; Sales"",
  REGEXMATCH(A1553&amp;B1553, ""(?i)gmail|outlook|calenda"&amp;"r|slack|discord|telegram|whatsapp|notion|trello|drive|sheets?|meeting|scheduler|appointment|mattermost""), ""Productivity &amp; Communication"",
  REGEXMATCH(A1553&amp;B1553, ""(?i)github|api|webhook|http|mysql|supabase|mongodb|redis|rss|pr|code review|incident|p"&amp;"agerduty|jira""), ""Development &amp; Utilities"",
  TRUE, ""Others""
)"),"Development &amp; Utilities")</f>
        <v>Development &amp; Utilities</v>
      </c>
    </row>
    <row r="1554" ht="15.75" customHeight="1">
      <c r="A1554" s="14" t="s">
        <v>3081</v>
      </c>
      <c r="B1554" s="15" t="s">
        <v>3082</v>
      </c>
      <c r="C1554" s="16" t="s">
        <v>7</v>
      </c>
      <c r="D1554" s="12" t="str">
        <f>IFERROR(__xludf.DUMMYFUNCTION("IFS(
  REGEXMATCH(A1554&amp;B1554, ""(?i)openai|gpt|gemini|anthropic|claude|mistral|cohere|rag|vector|llm|chatbot|ai-powered""), ""AI &amp; LLM"",
  REGEXMATCH(A1554&amp;B1554, ""(?i)twitter|instagram|facebook|linkedin|youtube|tiktok|threads|bluesky|pinterest|social"&amp;" video|reels?|shorts?""), ""Social Media"",
  REGEXMATCH(A1554&amp;B1554, ""(?i)hubspot|pipedrive|stripe|shopify|woocommerce|sales|crm|invoice|order|leads?|recruitment|bamboohr|erpnext""), ""CRM &amp; Sales"",
  REGEXMATCH(A1554&amp;B1554, ""(?i)gmail|outlook|calenda"&amp;"r|slack|discord|telegram|whatsapp|notion|trello|drive|sheets?|meeting|scheduler|appointment|mattermost""), ""Productivity &amp; Communication"",
  REGEXMATCH(A1554&amp;B1554, ""(?i)github|api|webhook|http|mysql|supabase|mongodb|redis|rss|pr|code review|incident|p"&amp;"agerduty|jira""), ""Development &amp; Utilities"",
  TRUE, ""Others""
)"),"Development &amp; Utilities")</f>
        <v>Development &amp; Utilities</v>
      </c>
    </row>
    <row r="1555" ht="15.75" customHeight="1">
      <c r="A1555" s="14" t="s">
        <v>3083</v>
      </c>
      <c r="B1555" s="15" t="s">
        <v>3084</v>
      </c>
      <c r="C1555" s="16" t="s">
        <v>7</v>
      </c>
      <c r="D1555" s="12" t="str">
        <f>IFERROR(__xludf.DUMMYFUNCTION("IFS(
  REGEXMATCH(A1555&amp;B1555, ""(?i)openai|gpt|gemini|anthropic|claude|mistral|cohere|rag|vector|llm|chatbot|ai-powered""), ""AI &amp; LLM"",
  REGEXMATCH(A1555&amp;B1555, ""(?i)twitter|instagram|facebook|linkedin|youtube|tiktok|threads|bluesky|pinterest|social"&amp;" video|reels?|shorts?""), ""Social Media"",
  REGEXMATCH(A1555&amp;B1555, ""(?i)hubspot|pipedrive|stripe|shopify|woocommerce|sales|crm|invoice|order|leads?|recruitment|bamboohr|erpnext""), ""CRM &amp; Sales"",
  REGEXMATCH(A1555&amp;B1555, ""(?i)gmail|outlook|calenda"&amp;"r|slack|discord|telegram|whatsapp|notion|trello|drive|sheets?|meeting|scheduler|appointment|mattermost""), ""Productivity &amp; Communication"",
  REGEXMATCH(A1555&amp;B1555, ""(?i)github|api|webhook|http|mysql|supabase|mongodb|redis|rss|pr|code review|incident|p"&amp;"agerduty|jira""), ""Development &amp; Utilities"",
  TRUE, ""Others""
)"),"Productivity &amp; Communication")</f>
        <v>Productivity &amp; Communication</v>
      </c>
    </row>
    <row r="1556" ht="15.75" customHeight="1">
      <c r="A1556" s="14" t="s">
        <v>3085</v>
      </c>
      <c r="B1556" s="15" t="s">
        <v>3086</v>
      </c>
      <c r="C1556" s="16" t="s">
        <v>7</v>
      </c>
      <c r="D1556" s="12" t="str">
        <f>IFERROR(__xludf.DUMMYFUNCTION("IFS(
  REGEXMATCH(A1556&amp;B1556, ""(?i)openai|gpt|gemini|anthropic|claude|mistral|cohere|rag|vector|llm|chatbot|ai-powered""), ""AI &amp; LLM"",
  REGEXMATCH(A1556&amp;B1556, ""(?i)twitter|instagram|facebook|linkedin|youtube|tiktok|threads|bluesky|pinterest|social"&amp;" video|reels?|shorts?""), ""Social Media"",
  REGEXMATCH(A1556&amp;B1556, ""(?i)hubspot|pipedrive|stripe|shopify|woocommerce|sales|crm|invoice|order|leads?|recruitment|bamboohr|erpnext""), ""CRM &amp; Sales"",
  REGEXMATCH(A1556&amp;B1556, ""(?i)gmail|outlook|calenda"&amp;"r|slack|discord|telegram|whatsapp|notion|trello|drive|sheets?|meeting|scheduler|appointment|mattermost""), ""Productivity &amp; Communication"",
  REGEXMATCH(A1556&amp;B1556, ""(?i)github|api|webhook|http|mysql|supabase|mongodb|redis|rss|pr|code review|incident|p"&amp;"agerduty|jira""), ""Development &amp; Utilities"",
  TRUE, ""Others""
)"),"Development &amp; Utilities")</f>
        <v>Development &amp; Utilities</v>
      </c>
    </row>
    <row r="1557" ht="15.75" customHeight="1">
      <c r="A1557" s="14" t="s">
        <v>3087</v>
      </c>
      <c r="B1557" s="15" t="s">
        <v>3088</v>
      </c>
      <c r="C1557" s="16" t="s">
        <v>7</v>
      </c>
      <c r="D1557" s="12" t="str">
        <f>IFERROR(__xludf.DUMMYFUNCTION("IFS(
  REGEXMATCH(A1557&amp;B1557, ""(?i)openai|gpt|gemini|anthropic|claude|mistral|cohere|rag|vector|llm|chatbot|ai-powered""), ""AI &amp; LLM"",
  REGEXMATCH(A1557&amp;B1557, ""(?i)twitter|instagram|facebook|linkedin|youtube|tiktok|threads|bluesky|pinterest|social"&amp;" video|reels?|shorts?""), ""Social Media"",
  REGEXMATCH(A1557&amp;B1557, ""(?i)hubspot|pipedrive|stripe|shopify|woocommerce|sales|crm|invoice|order|leads?|recruitment|bamboohr|erpnext""), ""CRM &amp; Sales"",
  REGEXMATCH(A1557&amp;B1557, ""(?i)gmail|outlook|calenda"&amp;"r|slack|discord|telegram|whatsapp|notion|trello|drive|sheets?|meeting|scheduler|appointment|mattermost""), ""Productivity &amp; Communication"",
  REGEXMATCH(A1557&amp;B1557, ""(?i)github|api|webhook|http|mysql|supabase|mongodb|redis|rss|pr|code review|incident|p"&amp;"agerduty|jira""), ""Development &amp; Utilities"",
  TRUE, ""Others""
)"),"Productivity &amp; Communication")</f>
        <v>Productivity &amp; Communication</v>
      </c>
    </row>
    <row r="1558" ht="15.75" customHeight="1">
      <c r="A1558" s="14" t="s">
        <v>3089</v>
      </c>
      <c r="B1558" s="15" t="s">
        <v>3090</v>
      </c>
      <c r="C1558" s="16" t="s">
        <v>7</v>
      </c>
      <c r="D1558" s="12" t="str">
        <f>IFERROR(__xludf.DUMMYFUNCTION("IFS(
  REGEXMATCH(A1558&amp;B1558, ""(?i)openai|gpt|gemini|anthropic|claude|mistral|cohere|rag|vector|llm|chatbot|ai-powered""), ""AI &amp; LLM"",
  REGEXMATCH(A1558&amp;B1558, ""(?i)twitter|instagram|facebook|linkedin|youtube|tiktok|threads|bluesky|pinterest|social"&amp;" video|reels?|shorts?""), ""Social Media"",
  REGEXMATCH(A1558&amp;B1558, ""(?i)hubspot|pipedrive|stripe|shopify|woocommerce|sales|crm|invoice|order|leads?|recruitment|bamboohr|erpnext""), ""CRM &amp; Sales"",
  REGEXMATCH(A1558&amp;B1558, ""(?i)gmail|outlook|calenda"&amp;"r|slack|discord|telegram|whatsapp|notion|trello|drive|sheets?|meeting|scheduler|appointment|mattermost""), ""Productivity &amp; Communication"",
  REGEXMATCH(A1558&amp;B1558, ""(?i)github|api|webhook|http|mysql|supabase|mongodb|redis|rss|pr|code review|incident|p"&amp;"agerduty|jira""), ""Development &amp; Utilities"",
  TRUE, ""Others""
)"),"Development &amp; Utilities")</f>
        <v>Development &amp; Utilities</v>
      </c>
    </row>
    <row r="1559" ht="15.75" customHeight="1">
      <c r="A1559" s="14" t="s">
        <v>3091</v>
      </c>
      <c r="B1559" s="15" t="s">
        <v>3092</v>
      </c>
      <c r="C1559" s="16" t="s">
        <v>7</v>
      </c>
      <c r="D1559" s="12" t="str">
        <f>IFERROR(__xludf.DUMMYFUNCTION("IFS(
  REGEXMATCH(A1559&amp;B1559, ""(?i)openai|gpt|gemini|anthropic|claude|mistral|cohere|rag|vector|llm|chatbot|ai-powered""), ""AI &amp; LLM"",
  REGEXMATCH(A1559&amp;B1559, ""(?i)twitter|instagram|facebook|linkedin|youtube|tiktok|threads|bluesky|pinterest|social"&amp;" video|reels?|shorts?""), ""Social Media"",
  REGEXMATCH(A1559&amp;B1559, ""(?i)hubspot|pipedrive|stripe|shopify|woocommerce|sales|crm|invoice|order|leads?|recruitment|bamboohr|erpnext""), ""CRM &amp; Sales"",
  REGEXMATCH(A1559&amp;B1559, ""(?i)gmail|outlook|calenda"&amp;"r|slack|discord|telegram|whatsapp|notion|trello|drive|sheets?|meeting|scheduler|appointment|mattermost""), ""Productivity &amp; Communication"",
  REGEXMATCH(A1559&amp;B1559, ""(?i)github|api|webhook|http|mysql|supabase|mongodb|redis|rss|pr|code review|incident|p"&amp;"agerduty|jira""), ""Development &amp; Utilities"",
  TRUE, ""Others""
)"),"Development &amp; Utilities")</f>
        <v>Development &amp; Utilities</v>
      </c>
    </row>
    <row r="1560" ht="15.75" customHeight="1">
      <c r="A1560" s="14" t="s">
        <v>3093</v>
      </c>
      <c r="B1560" s="15" t="s">
        <v>3094</v>
      </c>
      <c r="C1560" s="16" t="s">
        <v>7</v>
      </c>
      <c r="D1560" s="12" t="str">
        <f>IFERROR(__xludf.DUMMYFUNCTION("IFS(
  REGEXMATCH(A1560&amp;B1560, ""(?i)openai|gpt|gemini|anthropic|claude|mistral|cohere|rag|vector|llm|chatbot|ai-powered""), ""AI &amp; LLM"",
  REGEXMATCH(A1560&amp;B1560, ""(?i)twitter|instagram|facebook|linkedin|youtube|tiktok|threads|bluesky|pinterest|social"&amp;" video|reels?|shorts?""), ""Social Media"",
  REGEXMATCH(A1560&amp;B1560, ""(?i)hubspot|pipedrive|stripe|shopify|woocommerce|sales|crm|invoice|order|leads?|recruitment|bamboohr|erpnext""), ""CRM &amp; Sales"",
  REGEXMATCH(A1560&amp;B1560, ""(?i)gmail|outlook|calenda"&amp;"r|slack|discord|telegram|whatsapp|notion|trello|drive|sheets?|meeting|scheduler|appointment|mattermost""), ""Productivity &amp; Communication"",
  REGEXMATCH(A1560&amp;B1560, ""(?i)github|api|webhook|http|mysql|supabase|mongodb|redis|rss|pr|code review|incident|p"&amp;"agerduty|jira""), ""Development &amp; Utilities"",
  TRUE, ""Others""
)"),"Development &amp; Utilities")</f>
        <v>Development &amp; Utilities</v>
      </c>
    </row>
    <row r="1561" ht="15.75" customHeight="1">
      <c r="A1561" s="14" t="s">
        <v>3095</v>
      </c>
      <c r="B1561" s="15" t="s">
        <v>3096</v>
      </c>
      <c r="C1561" s="16" t="s">
        <v>7</v>
      </c>
      <c r="D1561" s="12" t="str">
        <f>IFERROR(__xludf.DUMMYFUNCTION("IFS(
  REGEXMATCH(A1561&amp;B1561, ""(?i)openai|gpt|gemini|anthropic|claude|mistral|cohere|rag|vector|llm|chatbot|ai-powered""), ""AI &amp; LLM"",
  REGEXMATCH(A1561&amp;B1561, ""(?i)twitter|instagram|facebook|linkedin|youtube|tiktok|threads|bluesky|pinterest|social"&amp;" video|reels?|shorts?""), ""Social Media"",
  REGEXMATCH(A1561&amp;B1561, ""(?i)hubspot|pipedrive|stripe|shopify|woocommerce|sales|crm|invoice|order|leads?|recruitment|bamboohr|erpnext""), ""CRM &amp; Sales"",
  REGEXMATCH(A1561&amp;B1561, ""(?i)gmail|outlook|calenda"&amp;"r|slack|discord|telegram|whatsapp|notion|trello|drive|sheets?|meeting|scheduler|appointment|mattermost""), ""Productivity &amp; Communication"",
  REGEXMATCH(A1561&amp;B1561, ""(?i)github|api|webhook|http|mysql|supabase|mongodb|redis|rss|pr|code review|incident|p"&amp;"agerduty|jira""), ""Development &amp; Utilities"",
  TRUE, ""Others""
)"),"Social Media")</f>
        <v>Social Media</v>
      </c>
    </row>
    <row r="1562" ht="15.75" customHeight="1">
      <c r="A1562" s="14" t="s">
        <v>3097</v>
      </c>
      <c r="B1562" s="15" t="s">
        <v>3098</v>
      </c>
      <c r="C1562" s="16" t="s">
        <v>7</v>
      </c>
      <c r="D1562" s="12" t="str">
        <f>IFERROR(__xludf.DUMMYFUNCTION("IFS(
  REGEXMATCH(A1562&amp;B1562, ""(?i)openai|gpt|gemini|anthropic|claude|mistral|cohere|rag|vector|llm|chatbot|ai-powered""), ""AI &amp; LLM"",
  REGEXMATCH(A1562&amp;B1562, ""(?i)twitter|instagram|facebook|linkedin|youtube|tiktok|threads|bluesky|pinterest|social"&amp;" video|reels?|shorts?""), ""Social Media"",
  REGEXMATCH(A1562&amp;B1562, ""(?i)hubspot|pipedrive|stripe|shopify|woocommerce|sales|crm|invoice|order|leads?|recruitment|bamboohr|erpnext""), ""CRM &amp; Sales"",
  REGEXMATCH(A1562&amp;B1562, ""(?i)gmail|outlook|calenda"&amp;"r|slack|discord|telegram|whatsapp|notion|trello|drive|sheets?|meeting|scheduler|appointment|mattermost""), ""Productivity &amp; Communication"",
  REGEXMATCH(A1562&amp;B1562, ""(?i)github|api|webhook|http|mysql|supabase|mongodb|redis|rss|pr|code review|incident|p"&amp;"agerduty|jira""), ""Development &amp; Utilities"",
  TRUE, ""Others""
)"),"Others")</f>
        <v>Others</v>
      </c>
    </row>
    <row r="1563" ht="15.75" customHeight="1">
      <c r="A1563" s="14" t="s">
        <v>3099</v>
      </c>
      <c r="B1563" s="15" t="s">
        <v>3100</v>
      </c>
      <c r="C1563" s="16" t="s">
        <v>7</v>
      </c>
      <c r="D1563" s="12" t="str">
        <f>IFERROR(__xludf.DUMMYFUNCTION("IFS(
  REGEXMATCH(A1563&amp;B1563, ""(?i)openai|gpt|gemini|anthropic|claude|mistral|cohere|rag|vector|llm|chatbot|ai-powered""), ""AI &amp; LLM"",
  REGEXMATCH(A1563&amp;B1563, ""(?i)twitter|instagram|facebook|linkedin|youtube|tiktok|threads|bluesky|pinterest|social"&amp;" video|reels?|shorts?""), ""Social Media"",
  REGEXMATCH(A1563&amp;B1563, ""(?i)hubspot|pipedrive|stripe|shopify|woocommerce|sales|crm|invoice|order|leads?|recruitment|bamboohr|erpnext""), ""CRM &amp; Sales"",
  REGEXMATCH(A1563&amp;B1563, ""(?i)gmail|outlook|calenda"&amp;"r|slack|discord|telegram|whatsapp|notion|trello|drive|sheets?|meeting|scheduler|appointment|mattermost""), ""Productivity &amp; Communication"",
  REGEXMATCH(A1563&amp;B1563, ""(?i)github|api|webhook|http|mysql|supabase|mongodb|redis|rss|pr|code review|incident|p"&amp;"agerduty|jira""), ""Development &amp; Utilities"",
  TRUE, ""Others""
)"),"CRM &amp; Sales")</f>
        <v>CRM &amp; Sales</v>
      </c>
    </row>
    <row r="1564" ht="15.75" customHeight="1">
      <c r="A1564" s="14" t="s">
        <v>3101</v>
      </c>
      <c r="B1564" s="15" t="s">
        <v>3102</v>
      </c>
      <c r="C1564" s="16" t="s">
        <v>7</v>
      </c>
      <c r="D1564" s="12" t="str">
        <f>IFERROR(__xludf.DUMMYFUNCTION("IFS(
  REGEXMATCH(A1564&amp;B1564, ""(?i)openai|gpt|gemini|anthropic|claude|mistral|cohere|rag|vector|llm|chatbot|ai-powered""), ""AI &amp; LLM"",
  REGEXMATCH(A1564&amp;B1564, ""(?i)twitter|instagram|facebook|linkedin|youtube|tiktok|threads|bluesky|pinterest|social"&amp;" video|reels?|shorts?""), ""Social Media"",
  REGEXMATCH(A1564&amp;B1564, ""(?i)hubspot|pipedrive|stripe|shopify|woocommerce|sales|crm|invoice|order|leads?|recruitment|bamboohr|erpnext""), ""CRM &amp; Sales"",
  REGEXMATCH(A1564&amp;B1564, ""(?i)gmail|outlook|calenda"&amp;"r|slack|discord|telegram|whatsapp|notion|trello|drive|sheets?|meeting|scheduler|appointment|mattermost""), ""Productivity &amp; Communication"",
  REGEXMATCH(A1564&amp;B1564, ""(?i)github|api|webhook|http|mysql|supabase|mongodb|redis|rss|pr|code review|incident|p"&amp;"agerduty|jira""), ""Development &amp; Utilities"",
  TRUE, ""Others""
)"),"AI &amp; LLM")</f>
        <v>AI &amp; LLM</v>
      </c>
    </row>
    <row r="1565" ht="15.75" customHeight="1">
      <c r="A1565" s="14" t="s">
        <v>3103</v>
      </c>
      <c r="B1565" s="15" t="s">
        <v>3104</v>
      </c>
      <c r="C1565" s="16" t="s">
        <v>7</v>
      </c>
      <c r="D1565" s="12" t="str">
        <f>IFERROR(__xludf.DUMMYFUNCTION("IFS(
  REGEXMATCH(A1565&amp;B1565, ""(?i)openai|gpt|gemini|anthropic|claude|mistral|cohere|rag|vector|llm|chatbot|ai-powered""), ""AI &amp; LLM"",
  REGEXMATCH(A1565&amp;B1565, ""(?i)twitter|instagram|facebook|linkedin|youtube|tiktok|threads|bluesky|pinterest|social"&amp;" video|reels?|shorts?""), ""Social Media"",
  REGEXMATCH(A1565&amp;B1565, ""(?i)hubspot|pipedrive|stripe|shopify|woocommerce|sales|crm|invoice|order|leads?|recruitment|bamboohr|erpnext""), ""CRM &amp; Sales"",
  REGEXMATCH(A1565&amp;B1565, ""(?i)gmail|outlook|calenda"&amp;"r|slack|discord|telegram|whatsapp|notion|trello|drive|sheets?|meeting|scheduler|appointment|mattermost""), ""Productivity &amp; Communication"",
  REGEXMATCH(A1565&amp;B1565, ""(?i)github|api|webhook|http|mysql|supabase|mongodb|redis|rss|pr|code review|incident|p"&amp;"agerduty|jira""), ""Development &amp; Utilities"",
  TRUE, ""Others""
)"),"CRM &amp; Sales")</f>
        <v>CRM &amp; Sales</v>
      </c>
    </row>
    <row r="1566" ht="15.75" customHeight="1">
      <c r="A1566" s="14" t="s">
        <v>3105</v>
      </c>
      <c r="B1566" s="15" t="s">
        <v>3106</v>
      </c>
      <c r="C1566" s="16" t="s">
        <v>7</v>
      </c>
      <c r="D1566" s="12" t="str">
        <f>IFERROR(__xludf.DUMMYFUNCTION("IFS(
  REGEXMATCH(A1566&amp;B1566, ""(?i)openai|gpt|gemini|anthropic|claude|mistral|cohere|rag|vector|llm|chatbot|ai-powered""), ""AI &amp; LLM"",
  REGEXMATCH(A1566&amp;B1566, ""(?i)twitter|instagram|facebook|linkedin|youtube|tiktok|threads|bluesky|pinterest|social"&amp;" video|reels?|shorts?""), ""Social Media"",
  REGEXMATCH(A1566&amp;B1566, ""(?i)hubspot|pipedrive|stripe|shopify|woocommerce|sales|crm|invoice|order|leads?|recruitment|bamboohr|erpnext""), ""CRM &amp; Sales"",
  REGEXMATCH(A1566&amp;B1566, ""(?i)gmail|outlook|calenda"&amp;"r|slack|discord|telegram|whatsapp|notion|trello|drive|sheets?|meeting|scheduler|appointment|mattermost""), ""Productivity &amp; Communication"",
  REGEXMATCH(A1566&amp;B1566, ""(?i)github|api|webhook|http|mysql|supabase|mongodb|redis|rss|pr|code review|incident|p"&amp;"agerduty|jira""), ""Development &amp; Utilities"",
  TRUE, ""Others""
)"),"Development &amp; Utilities")</f>
        <v>Development &amp; Utilities</v>
      </c>
    </row>
    <row r="1567" ht="15.75" customHeight="1">
      <c r="A1567" s="14" t="s">
        <v>3107</v>
      </c>
      <c r="B1567" s="15" t="s">
        <v>3108</v>
      </c>
      <c r="C1567" s="16" t="s">
        <v>7</v>
      </c>
      <c r="D1567" s="12" t="str">
        <f>IFERROR(__xludf.DUMMYFUNCTION("IFS(
  REGEXMATCH(A1567&amp;B1567, ""(?i)openai|gpt|gemini|anthropic|claude|mistral|cohere|rag|vector|llm|chatbot|ai-powered""), ""AI &amp; LLM"",
  REGEXMATCH(A1567&amp;B1567, ""(?i)twitter|instagram|facebook|linkedin|youtube|tiktok|threads|bluesky|pinterest|social"&amp;" video|reels?|shorts?""), ""Social Media"",
  REGEXMATCH(A1567&amp;B1567, ""(?i)hubspot|pipedrive|stripe|shopify|woocommerce|sales|crm|invoice|order|leads?|recruitment|bamboohr|erpnext""), ""CRM &amp; Sales"",
  REGEXMATCH(A1567&amp;B1567, ""(?i)gmail|outlook|calenda"&amp;"r|slack|discord|telegram|whatsapp|notion|trello|drive|sheets?|meeting|scheduler|appointment|mattermost""), ""Productivity &amp; Communication"",
  REGEXMATCH(A1567&amp;B1567, ""(?i)github|api|webhook|http|mysql|supabase|mongodb|redis|rss|pr|code review|incident|p"&amp;"agerduty|jira""), ""Development &amp; Utilities"",
  TRUE, ""Others""
)"),"Development &amp; Utilities")</f>
        <v>Development &amp; Utilities</v>
      </c>
    </row>
    <row r="1568" ht="15.75" customHeight="1">
      <c r="A1568" s="14" t="s">
        <v>3109</v>
      </c>
      <c r="B1568" s="15" t="s">
        <v>3110</v>
      </c>
      <c r="C1568" s="16" t="s">
        <v>7</v>
      </c>
      <c r="D1568" s="12" t="str">
        <f>IFERROR(__xludf.DUMMYFUNCTION("IFS(
  REGEXMATCH(A1568&amp;B1568, ""(?i)openai|gpt|gemini|anthropic|claude|mistral|cohere|rag|vector|llm|chatbot|ai-powered""), ""AI &amp; LLM"",
  REGEXMATCH(A1568&amp;B1568, ""(?i)twitter|instagram|facebook|linkedin|youtube|tiktok|threads|bluesky|pinterest|social"&amp;" video|reels?|shorts?""), ""Social Media"",
  REGEXMATCH(A1568&amp;B1568, ""(?i)hubspot|pipedrive|stripe|shopify|woocommerce|sales|crm|invoice|order|leads?|recruitment|bamboohr|erpnext""), ""CRM &amp; Sales"",
  REGEXMATCH(A1568&amp;B1568, ""(?i)gmail|outlook|calenda"&amp;"r|slack|discord|telegram|whatsapp|notion|trello|drive|sheets?|meeting|scheduler|appointment|mattermost""), ""Productivity &amp; Communication"",
  REGEXMATCH(A1568&amp;B1568, ""(?i)github|api|webhook|http|mysql|supabase|mongodb|redis|rss|pr|code review|incident|p"&amp;"agerduty|jira""), ""Development &amp; Utilities"",
  TRUE, ""Others""
)"),"Development &amp; Utilities")</f>
        <v>Development &amp; Utilities</v>
      </c>
    </row>
    <row r="1569" ht="15.75" customHeight="1">
      <c r="A1569" s="14" t="s">
        <v>3111</v>
      </c>
      <c r="B1569" s="15" t="s">
        <v>3112</v>
      </c>
      <c r="C1569" s="16" t="s">
        <v>7</v>
      </c>
      <c r="D1569" s="12" t="str">
        <f>IFERROR(__xludf.DUMMYFUNCTION("IFS(
  REGEXMATCH(A1569&amp;B1569, ""(?i)openai|gpt|gemini|anthropic|claude|mistral|cohere|rag|vector|llm|chatbot|ai-powered""), ""AI &amp; LLM"",
  REGEXMATCH(A1569&amp;B1569, ""(?i)twitter|instagram|facebook|linkedin|youtube|tiktok|threads|bluesky|pinterest|social"&amp;" video|reels?|shorts?""), ""Social Media"",
  REGEXMATCH(A1569&amp;B1569, ""(?i)hubspot|pipedrive|stripe|shopify|woocommerce|sales|crm|invoice|order|leads?|recruitment|bamboohr|erpnext""), ""CRM &amp; Sales"",
  REGEXMATCH(A1569&amp;B1569, ""(?i)gmail|outlook|calenda"&amp;"r|slack|discord|telegram|whatsapp|notion|trello|drive|sheets?|meeting|scheduler|appointment|mattermost""), ""Productivity &amp; Communication"",
  REGEXMATCH(A1569&amp;B1569, ""(?i)github|api|webhook|http|mysql|supabase|mongodb|redis|rss|pr|code review|incident|p"&amp;"agerduty|jira""), ""Development &amp; Utilities"",
  TRUE, ""Others""
)"),"Development &amp; Utilities")</f>
        <v>Development &amp; Utilities</v>
      </c>
    </row>
    <row r="1570" ht="15.75" customHeight="1">
      <c r="A1570" s="14" t="s">
        <v>3113</v>
      </c>
      <c r="B1570" s="15" t="s">
        <v>3114</v>
      </c>
      <c r="C1570" s="16" t="s">
        <v>7</v>
      </c>
      <c r="D1570" s="12" t="str">
        <f>IFERROR(__xludf.DUMMYFUNCTION("IFS(
  REGEXMATCH(A1570&amp;B1570, ""(?i)openai|gpt|gemini|anthropic|claude|mistral|cohere|rag|vector|llm|chatbot|ai-powered""), ""AI &amp; LLM"",
  REGEXMATCH(A1570&amp;B1570, ""(?i)twitter|instagram|facebook|linkedin|youtube|tiktok|threads|bluesky|pinterest|social"&amp;" video|reels?|shorts?""), ""Social Media"",
  REGEXMATCH(A1570&amp;B1570, ""(?i)hubspot|pipedrive|stripe|shopify|woocommerce|sales|crm|invoice|order|leads?|recruitment|bamboohr|erpnext""), ""CRM &amp; Sales"",
  REGEXMATCH(A1570&amp;B1570, ""(?i)gmail|outlook|calenda"&amp;"r|slack|discord|telegram|whatsapp|notion|trello|drive|sheets?|meeting|scheduler|appointment|mattermost""), ""Productivity &amp; Communication"",
  REGEXMATCH(A1570&amp;B1570, ""(?i)github|api|webhook|http|mysql|supabase|mongodb|redis|rss|pr|code review|incident|p"&amp;"agerduty|jira""), ""Development &amp; Utilities"",
  TRUE, ""Others""
)"),"Development &amp; Utilities")</f>
        <v>Development &amp; Utilities</v>
      </c>
    </row>
    <row r="1571" ht="15.75" customHeight="1">
      <c r="A1571" s="14" t="s">
        <v>3115</v>
      </c>
      <c r="B1571" s="15" t="s">
        <v>3116</v>
      </c>
      <c r="C1571" s="16" t="s">
        <v>7</v>
      </c>
      <c r="D1571" s="12" t="str">
        <f>IFERROR(__xludf.DUMMYFUNCTION("IFS(
  REGEXMATCH(A1571&amp;B1571, ""(?i)openai|gpt|gemini|anthropic|claude|mistral|cohere|rag|vector|llm|chatbot|ai-powered""), ""AI &amp; LLM"",
  REGEXMATCH(A1571&amp;B1571, ""(?i)twitter|instagram|facebook|linkedin|youtube|tiktok|threads|bluesky|pinterest|social"&amp;" video|reels?|shorts?""), ""Social Media"",
  REGEXMATCH(A1571&amp;B1571, ""(?i)hubspot|pipedrive|stripe|shopify|woocommerce|sales|crm|invoice|order|leads?|recruitment|bamboohr|erpnext""), ""CRM &amp; Sales"",
  REGEXMATCH(A1571&amp;B1571, ""(?i)gmail|outlook|calenda"&amp;"r|slack|discord|telegram|whatsapp|notion|trello|drive|sheets?|meeting|scheduler|appointment|mattermost""), ""Productivity &amp; Communication"",
  REGEXMATCH(A1571&amp;B1571, ""(?i)github|api|webhook|http|mysql|supabase|mongodb|redis|rss|pr|code review|incident|p"&amp;"agerduty|jira""), ""Development &amp; Utilities"",
  TRUE, ""Others""
)"),"Development &amp; Utilities")</f>
        <v>Development &amp; Utilities</v>
      </c>
    </row>
    <row r="1572" ht="15.75" customHeight="1">
      <c r="A1572" s="14" t="s">
        <v>3117</v>
      </c>
      <c r="B1572" s="15" t="s">
        <v>3118</v>
      </c>
      <c r="C1572" s="16" t="s">
        <v>7</v>
      </c>
      <c r="D1572" s="12" t="str">
        <f>IFERROR(__xludf.DUMMYFUNCTION("IFS(
  REGEXMATCH(A1572&amp;B1572, ""(?i)openai|gpt|gemini|anthropic|claude|mistral|cohere|rag|vector|llm|chatbot|ai-powered""), ""AI &amp; LLM"",
  REGEXMATCH(A1572&amp;B1572, ""(?i)twitter|instagram|facebook|linkedin|youtube|tiktok|threads|bluesky|pinterest|social"&amp;" video|reels?|shorts?""), ""Social Media"",
  REGEXMATCH(A1572&amp;B1572, ""(?i)hubspot|pipedrive|stripe|shopify|woocommerce|sales|crm|invoice|order|leads?|recruitment|bamboohr|erpnext""), ""CRM &amp; Sales"",
  REGEXMATCH(A1572&amp;B1572, ""(?i)gmail|outlook|calenda"&amp;"r|slack|discord|telegram|whatsapp|notion|trello|drive|sheets?|meeting|scheduler|appointment|mattermost""), ""Productivity &amp; Communication"",
  REGEXMATCH(A1572&amp;B1572, ""(?i)github|api|webhook|http|mysql|supabase|mongodb|redis|rss|pr|code review|incident|p"&amp;"agerduty|jira""), ""Development &amp; Utilities"",
  TRUE, ""Others""
)"),"Development &amp; Utilities")</f>
        <v>Development &amp; Utilities</v>
      </c>
    </row>
    <row r="1573" ht="15.75" customHeight="1">
      <c r="A1573" s="14" t="s">
        <v>3119</v>
      </c>
      <c r="B1573" s="15" t="s">
        <v>3120</v>
      </c>
      <c r="C1573" s="16" t="s">
        <v>7</v>
      </c>
      <c r="D1573" s="12" t="str">
        <f>IFERROR(__xludf.DUMMYFUNCTION("IFS(
  REGEXMATCH(A1573&amp;B1573, ""(?i)openai|gpt|gemini|anthropic|claude|mistral|cohere|rag|vector|llm|chatbot|ai-powered""), ""AI &amp; LLM"",
  REGEXMATCH(A1573&amp;B1573, ""(?i)twitter|instagram|facebook|linkedin|youtube|tiktok|threads|bluesky|pinterest|social"&amp;" video|reels?|shorts?""), ""Social Media"",
  REGEXMATCH(A1573&amp;B1573, ""(?i)hubspot|pipedrive|stripe|shopify|woocommerce|sales|crm|invoice|order|leads?|recruitment|bamboohr|erpnext""), ""CRM &amp; Sales"",
  REGEXMATCH(A1573&amp;B1573, ""(?i)gmail|outlook|calenda"&amp;"r|slack|discord|telegram|whatsapp|notion|trello|drive|sheets?|meeting|scheduler|appointment|mattermost""), ""Productivity &amp; Communication"",
  REGEXMATCH(A1573&amp;B1573, ""(?i)github|api|webhook|http|mysql|supabase|mongodb|redis|rss|pr|code review|incident|p"&amp;"agerduty|jira""), ""Development &amp; Utilities"",
  TRUE, ""Others""
)"),"CRM &amp; Sales")</f>
        <v>CRM &amp; Sales</v>
      </c>
    </row>
    <row r="1574" ht="15.75" customHeight="1">
      <c r="A1574" s="14" t="s">
        <v>3121</v>
      </c>
      <c r="B1574" s="15" t="s">
        <v>3122</v>
      </c>
      <c r="C1574" s="16" t="s">
        <v>7</v>
      </c>
      <c r="D1574" s="12" t="str">
        <f>IFERROR(__xludf.DUMMYFUNCTION("IFS(
  REGEXMATCH(A1574&amp;B1574, ""(?i)openai|gpt|gemini|anthropic|claude|mistral|cohere|rag|vector|llm|chatbot|ai-powered""), ""AI &amp; LLM"",
  REGEXMATCH(A1574&amp;B1574, ""(?i)twitter|instagram|facebook|linkedin|youtube|tiktok|threads|bluesky|pinterest|social"&amp;" video|reels?|shorts?""), ""Social Media"",
  REGEXMATCH(A1574&amp;B1574, ""(?i)hubspot|pipedrive|stripe|shopify|woocommerce|sales|crm|invoice|order|leads?|recruitment|bamboohr|erpnext""), ""CRM &amp; Sales"",
  REGEXMATCH(A1574&amp;B1574, ""(?i)gmail|outlook|calenda"&amp;"r|slack|discord|telegram|whatsapp|notion|trello|drive|sheets?|meeting|scheduler|appointment|mattermost""), ""Productivity &amp; Communication"",
  REGEXMATCH(A1574&amp;B1574, ""(?i)github|api|webhook|http|mysql|supabase|mongodb|redis|rss|pr|code review|incident|p"&amp;"agerduty|jira""), ""Development &amp; Utilities"",
  TRUE, ""Others""
)"),"Development &amp; Utilities")</f>
        <v>Development &amp; Utilities</v>
      </c>
    </row>
    <row r="1575" ht="15.75" customHeight="1">
      <c r="A1575" s="14" t="s">
        <v>3123</v>
      </c>
      <c r="B1575" s="15" t="s">
        <v>3124</v>
      </c>
      <c r="C1575" s="16" t="s">
        <v>7</v>
      </c>
      <c r="D1575" s="12" t="str">
        <f>IFERROR(__xludf.DUMMYFUNCTION("IFS(
  REGEXMATCH(A1575&amp;B1575, ""(?i)openai|gpt|gemini|anthropic|claude|mistral|cohere|rag|vector|llm|chatbot|ai-powered""), ""AI &amp; LLM"",
  REGEXMATCH(A1575&amp;B1575, ""(?i)twitter|instagram|facebook|linkedin|youtube|tiktok|threads|bluesky|pinterest|social"&amp;" video|reels?|shorts?""), ""Social Media"",
  REGEXMATCH(A1575&amp;B1575, ""(?i)hubspot|pipedrive|stripe|shopify|woocommerce|sales|crm|invoice|order|leads?|recruitment|bamboohr|erpnext""), ""CRM &amp; Sales"",
  REGEXMATCH(A1575&amp;B1575, ""(?i)gmail|outlook|calenda"&amp;"r|slack|discord|telegram|whatsapp|notion|trello|drive|sheets?|meeting|scheduler|appointment|mattermost""), ""Productivity &amp; Communication"",
  REGEXMATCH(A1575&amp;B1575, ""(?i)github|api|webhook|http|mysql|supabase|mongodb|redis|rss|pr|code review|incident|p"&amp;"agerduty|jira""), ""Development &amp; Utilities"",
  TRUE, ""Others""
)"),"Social Media")</f>
        <v>Social Media</v>
      </c>
    </row>
    <row r="1576" ht="15.75" customHeight="1">
      <c r="A1576" s="14" t="s">
        <v>3125</v>
      </c>
      <c r="B1576" s="15" t="s">
        <v>3126</v>
      </c>
      <c r="C1576" s="16" t="s">
        <v>7</v>
      </c>
      <c r="D1576" s="12" t="str">
        <f>IFERROR(__xludf.DUMMYFUNCTION("IFS(
  REGEXMATCH(A1576&amp;B1576, ""(?i)openai|gpt|gemini|anthropic|claude|mistral|cohere|rag|vector|llm|chatbot|ai-powered""), ""AI &amp; LLM"",
  REGEXMATCH(A1576&amp;B1576, ""(?i)twitter|instagram|facebook|linkedin|youtube|tiktok|threads|bluesky|pinterest|social"&amp;" video|reels?|shorts?""), ""Social Media"",
  REGEXMATCH(A1576&amp;B1576, ""(?i)hubspot|pipedrive|stripe|shopify|woocommerce|sales|crm|invoice|order|leads?|recruitment|bamboohr|erpnext""), ""CRM &amp; Sales"",
  REGEXMATCH(A1576&amp;B1576, ""(?i)gmail|outlook|calenda"&amp;"r|slack|discord|telegram|whatsapp|notion|trello|drive|sheets?|meeting|scheduler|appointment|mattermost""), ""Productivity &amp; Communication"",
  REGEXMATCH(A1576&amp;B1576, ""(?i)github|api|webhook|http|mysql|supabase|mongodb|redis|rss|pr|code review|incident|p"&amp;"agerduty|jira""), ""Development &amp; Utilities"",
  TRUE, ""Others""
)"),"Development &amp; Utilities")</f>
        <v>Development &amp; Utilities</v>
      </c>
    </row>
    <row r="1577" ht="15.75" customHeight="1">
      <c r="A1577" s="14" t="s">
        <v>3127</v>
      </c>
      <c r="B1577" s="15" t="s">
        <v>3128</v>
      </c>
      <c r="C1577" s="16" t="s">
        <v>7</v>
      </c>
      <c r="D1577" s="12" t="str">
        <f>IFERROR(__xludf.DUMMYFUNCTION("IFS(
  REGEXMATCH(A1577&amp;B1577, ""(?i)openai|gpt|gemini|anthropic|claude|mistral|cohere|rag|vector|llm|chatbot|ai-powered""), ""AI &amp; LLM"",
  REGEXMATCH(A1577&amp;B1577, ""(?i)twitter|instagram|facebook|linkedin|youtube|tiktok|threads|bluesky|pinterest|social"&amp;" video|reels?|shorts?""), ""Social Media"",
  REGEXMATCH(A1577&amp;B1577, ""(?i)hubspot|pipedrive|stripe|shopify|woocommerce|sales|crm|invoice|order|leads?|recruitment|bamboohr|erpnext""), ""CRM &amp; Sales"",
  REGEXMATCH(A1577&amp;B1577, ""(?i)gmail|outlook|calenda"&amp;"r|slack|discord|telegram|whatsapp|notion|trello|drive|sheets?|meeting|scheduler|appointment|mattermost""), ""Productivity &amp; Communication"",
  REGEXMATCH(A1577&amp;B1577, ""(?i)github|api|webhook|http|mysql|supabase|mongodb|redis|rss|pr|code review|incident|p"&amp;"agerduty|jira""), ""Development &amp; Utilities"",
  TRUE, ""Others""
)"),"Development &amp; Utilities")</f>
        <v>Development &amp; Utilities</v>
      </c>
    </row>
    <row r="1578" ht="15.75" customHeight="1">
      <c r="A1578" s="14" t="s">
        <v>3129</v>
      </c>
      <c r="B1578" s="15" t="s">
        <v>3130</v>
      </c>
      <c r="C1578" s="16" t="s">
        <v>7</v>
      </c>
      <c r="D1578" s="12" t="str">
        <f>IFERROR(__xludf.DUMMYFUNCTION("IFS(
  REGEXMATCH(A1578&amp;B1578, ""(?i)openai|gpt|gemini|anthropic|claude|mistral|cohere|rag|vector|llm|chatbot|ai-powered""), ""AI &amp; LLM"",
  REGEXMATCH(A1578&amp;B1578, ""(?i)twitter|instagram|facebook|linkedin|youtube|tiktok|threads|bluesky|pinterest|social"&amp;" video|reels?|shorts?""), ""Social Media"",
  REGEXMATCH(A1578&amp;B1578, ""(?i)hubspot|pipedrive|stripe|shopify|woocommerce|sales|crm|invoice|order|leads?|recruitment|bamboohr|erpnext""), ""CRM &amp; Sales"",
  REGEXMATCH(A1578&amp;B1578, ""(?i)gmail|outlook|calenda"&amp;"r|slack|discord|telegram|whatsapp|notion|trello|drive|sheets?|meeting|scheduler|appointment|mattermost""), ""Productivity &amp; Communication"",
  REGEXMATCH(A1578&amp;B1578, ""(?i)github|api|webhook|http|mysql|supabase|mongodb|redis|rss|pr|code review|incident|p"&amp;"agerduty|jira""), ""Development &amp; Utilities"",
  TRUE, ""Others""
)"),"Development &amp; Utilities")</f>
        <v>Development &amp; Utilities</v>
      </c>
    </row>
    <row r="1579" ht="15.75" customHeight="1">
      <c r="A1579" s="14" t="s">
        <v>3131</v>
      </c>
      <c r="B1579" s="15" t="s">
        <v>3132</v>
      </c>
      <c r="C1579" s="16" t="s">
        <v>7</v>
      </c>
      <c r="D1579" s="12" t="str">
        <f>IFERROR(__xludf.DUMMYFUNCTION("IFS(
  REGEXMATCH(A1579&amp;B1579, ""(?i)openai|gpt|gemini|anthropic|claude|mistral|cohere|rag|vector|llm|chatbot|ai-powered""), ""AI &amp; LLM"",
  REGEXMATCH(A1579&amp;B1579, ""(?i)twitter|instagram|facebook|linkedin|youtube|tiktok|threads|bluesky|pinterest|social"&amp;" video|reels?|shorts?""), ""Social Media"",
  REGEXMATCH(A1579&amp;B1579, ""(?i)hubspot|pipedrive|stripe|shopify|woocommerce|sales|crm|invoice|order|leads?|recruitment|bamboohr|erpnext""), ""CRM &amp; Sales"",
  REGEXMATCH(A1579&amp;B1579, ""(?i)gmail|outlook|calenda"&amp;"r|slack|discord|telegram|whatsapp|notion|trello|drive|sheets?|meeting|scheduler|appointment|mattermost""), ""Productivity &amp; Communication"",
  REGEXMATCH(A1579&amp;B1579, ""(?i)github|api|webhook|http|mysql|supabase|mongodb|redis|rss|pr|code review|incident|p"&amp;"agerduty|jira""), ""Development &amp; Utilities"",
  TRUE, ""Others""
)"),"CRM &amp; Sales")</f>
        <v>CRM &amp; Sales</v>
      </c>
    </row>
    <row r="1580" ht="15.75" customHeight="1">
      <c r="A1580" s="14" t="s">
        <v>3133</v>
      </c>
      <c r="B1580" s="15" t="s">
        <v>3134</v>
      </c>
      <c r="C1580" s="16" t="s">
        <v>7</v>
      </c>
      <c r="D1580" s="12" t="str">
        <f>IFERROR(__xludf.DUMMYFUNCTION("IFS(
  REGEXMATCH(A1580&amp;B1580, ""(?i)openai|gpt|gemini|anthropic|claude|mistral|cohere|rag|vector|llm|chatbot|ai-powered""), ""AI &amp; LLM"",
  REGEXMATCH(A1580&amp;B1580, ""(?i)twitter|instagram|facebook|linkedin|youtube|tiktok|threads|bluesky|pinterest|social"&amp;" video|reels?|shorts?""), ""Social Media"",
  REGEXMATCH(A1580&amp;B1580, ""(?i)hubspot|pipedrive|stripe|shopify|woocommerce|sales|crm|invoice|order|leads?|recruitment|bamboohr|erpnext""), ""CRM &amp; Sales"",
  REGEXMATCH(A1580&amp;B1580, ""(?i)gmail|outlook|calenda"&amp;"r|slack|discord|telegram|whatsapp|notion|trello|drive|sheets?|meeting|scheduler|appointment|mattermost""), ""Productivity &amp; Communication"",
  REGEXMATCH(A1580&amp;B1580, ""(?i)github|api|webhook|http|mysql|supabase|mongodb|redis|rss|pr|code review|incident|p"&amp;"agerduty|jira""), ""Development &amp; Utilities"",
  TRUE, ""Others""
)"),"CRM &amp; Sales")</f>
        <v>CRM &amp; Sales</v>
      </c>
    </row>
    <row r="1581" ht="15.75" customHeight="1">
      <c r="A1581" s="14" t="s">
        <v>3135</v>
      </c>
      <c r="B1581" s="15" t="s">
        <v>3136</v>
      </c>
      <c r="C1581" s="16" t="s">
        <v>7</v>
      </c>
      <c r="D1581" s="12" t="str">
        <f>IFERROR(__xludf.DUMMYFUNCTION("IFS(
  REGEXMATCH(A1581&amp;B1581, ""(?i)openai|gpt|gemini|anthropic|claude|mistral|cohere|rag|vector|llm|chatbot|ai-powered""), ""AI &amp; LLM"",
  REGEXMATCH(A1581&amp;B1581, ""(?i)twitter|instagram|facebook|linkedin|youtube|tiktok|threads|bluesky|pinterest|social"&amp;" video|reels?|shorts?""), ""Social Media"",
  REGEXMATCH(A1581&amp;B1581, ""(?i)hubspot|pipedrive|stripe|shopify|woocommerce|sales|crm|invoice|order|leads?|recruitment|bamboohr|erpnext""), ""CRM &amp; Sales"",
  REGEXMATCH(A1581&amp;B1581, ""(?i)gmail|outlook|calenda"&amp;"r|slack|discord|telegram|whatsapp|notion|trello|drive|sheets?|meeting|scheduler|appointment|mattermost""), ""Productivity &amp; Communication"",
  REGEXMATCH(A1581&amp;B1581, ""(?i)github|api|webhook|http|mysql|supabase|mongodb|redis|rss|pr|code review|incident|p"&amp;"agerduty|jira""), ""Development &amp; Utilities"",
  TRUE, ""Others""
)"),"Development &amp; Utilities")</f>
        <v>Development &amp; Utilities</v>
      </c>
    </row>
    <row r="1582" ht="15.75" customHeight="1">
      <c r="A1582" s="14" t="s">
        <v>3137</v>
      </c>
      <c r="B1582" s="15" t="s">
        <v>3138</v>
      </c>
      <c r="C1582" s="16" t="s">
        <v>7</v>
      </c>
      <c r="D1582" s="12" t="str">
        <f>IFERROR(__xludf.DUMMYFUNCTION("IFS(
  REGEXMATCH(A1582&amp;B1582, ""(?i)openai|gpt|gemini|anthropic|claude|mistral|cohere|rag|vector|llm|chatbot|ai-powered""), ""AI &amp; LLM"",
  REGEXMATCH(A1582&amp;B1582, ""(?i)twitter|instagram|facebook|linkedin|youtube|tiktok|threads|bluesky|pinterest|social"&amp;" video|reels?|shorts?""), ""Social Media"",
  REGEXMATCH(A1582&amp;B1582, ""(?i)hubspot|pipedrive|stripe|shopify|woocommerce|sales|crm|invoice|order|leads?|recruitment|bamboohr|erpnext""), ""CRM &amp; Sales"",
  REGEXMATCH(A1582&amp;B1582, ""(?i)gmail|outlook|calenda"&amp;"r|slack|discord|telegram|whatsapp|notion|trello|drive|sheets?|meeting|scheduler|appointment|mattermost""), ""Productivity &amp; Communication"",
  REGEXMATCH(A1582&amp;B1582, ""(?i)github|api|webhook|http|mysql|supabase|mongodb|redis|rss|pr|code review|incident|p"&amp;"agerduty|jira""), ""Development &amp; Utilities"",
  TRUE, ""Others""
)"),"Development &amp; Utilities")</f>
        <v>Development &amp; Utilities</v>
      </c>
    </row>
    <row r="1583" ht="15.75" customHeight="1">
      <c r="A1583" s="14" t="s">
        <v>3139</v>
      </c>
      <c r="B1583" s="15" t="s">
        <v>3140</v>
      </c>
      <c r="C1583" s="16" t="s">
        <v>7</v>
      </c>
      <c r="D1583" s="12" t="str">
        <f>IFERROR(__xludf.DUMMYFUNCTION("IFS(
  REGEXMATCH(A1583&amp;B1583, ""(?i)openai|gpt|gemini|anthropic|claude|mistral|cohere|rag|vector|llm|chatbot|ai-powered""), ""AI &amp; LLM"",
  REGEXMATCH(A1583&amp;B1583, ""(?i)twitter|instagram|facebook|linkedin|youtube|tiktok|threads|bluesky|pinterest|social"&amp;" video|reels?|shorts?""), ""Social Media"",
  REGEXMATCH(A1583&amp;B1583, ""(?i)hubspot|pipedrive|stripe|shopify|woocommerce|sales|crm|invoice|order|leads?|recruitment|bamboohr|erpnext""), ""CRM &amp; Sales"",
  REGEXMATCH(A1583&amp;B1583, ""(?i)gmail|outlook|calenda"&amp;"r|slack|discord|telegram|whatsapp|notion|trello|drive|sheets?|meeting|scheduler|appointment|mattermost""), ""Productivity &amp; Communication"",
  REGEXMATCH(A1583&amp;B1583, ""(?i)github|api|webhook|http|mysql|supabase|mongodb|redis|rss|pr|code review|incident|p"&amp;"agerduty|jira""), ""Development &amp; Utilities"",
  TRUE, ""Others""
)"),"CRM &amp; Sales")</f>
        <v>CRM &amp; Sales</v>
      </c>
    </row>
    <row r="1584" ht="15.75" customHeight="1">
      <c r="A1584" s="14" t="s">
        <v>3141</v>
      </c>
      <c r="B1584" s="15" t="s">
        <v>3142</v>
      </c>
      <c r="C1584" s="16" t="s">
        <v>7</v>
      </c>
      <c r="D1584" s="12" t="str">
        <f>IFERROR(__xludf.DUMMYFUNCTION("IFS(
  REGEXMATCH(A1584&amp;B1584, ""(?i)openai|gpt|gemini|anthropic|claude|mistral|cohere|rag|vector|llm|chatbot|ai-powered""), ""AI &amp; LLM"",
  REGEXMATCH(A1584&amp;B1584, ""(?i)twitter|instagram|facebook|linkedin|youtube|tiktok|threads|bluesky|pinterest|social"&amp;" video|reels?|shorts?""), ""Social Media"",
  REGEXMATCH(A1584&amp;B1584, ""(?i)hubspot|pipedrive|stripe|shopify|woocommerce|sales|crm|invoice|order|leads?|recruitment|bamboohr|erpnext""), ""CRM &amp; Sales"",
  REGEXMATCH(A1584&amp;B1584, ""(?i)gmail|outlook|calenda"&amp;"r|slack|discord|telegram|whatsapp|notion|trello|drive|sheets?|meeting|scheduler|appointment|mattermost""), ""Productivity &amp; Communication"",
  REGEXMATCH(A1584&amp;B1584, ""(?i)github|api|webhook|http|mysql|supabase|mongodb|redis|rss|pr|code review|incident|p"&amp;"agerduty|jira""), ""Development &amp; Utilities"",
  TRUE, ""Others""
)"),"Development &amp; Utilities")</f>
        <v>Development &amp; Utilities</v>
      </c>
    </row>
    <row r="1585" ht="15.75" customHeight="1">
      <c r="A1585" s="14" t="s">
        <v>3143</v>
      </c>
      <c r="B1585" s="15" t="s">
        <v>3144</v>
      </c>
      <c r="C1585" s="16" t="s">
        <v>7</v>
      </c>
      <c r="D1585" s="12" t="str">
        <f>IFERROR(__xludf.DUMMYFUNCTION("IFS(
  REGEXMATCH(A1585&amp;B1585, ""(?i)openai|gpt|gemini|anthropic|claude|mistral|cohere|rag|vector|llm|chatbot|ai-powered""), ""AI &amp; LLM"",
  REGEXMATCH(A1585&amp;B1585, ""(?i)twitter|instagram|facebook|linkedin|youtube|tiktok|threads|bluesky|pinterest|social"&amp;" video|reels?|shorts?""), ""Social Media"",
  REGEXMATCH(A1585&amp;B1585, ""(?i)hubspot|pipedrive|stripe|shopify|woocommerce|sales|crm|invoice|order|leads?|recruitment|bamboohr|erpnext""), ""CRM &amp; Sales"",
  REGEXMATCH(A1585&amp;B1585, ""(?i)gmail|outlook|calenda"&amp;"r|slack|discord|telegram|whatsapp|notion|trello|drive|sheets?|meeting|scheduler|appointment|mattermost""), ""Productivity &amp; Communication"",
  REGEXMATCH(A1585&amp;B1585, ""(?i)github|api|webhook|http|mysql|supabase|mongodb|redis|rss|pr|code review|incident|p"&amp;"agerduty|jira""), ""Development &amp; Utilities"",
  TRUE, ""Others""
)"),"Others")</f>
        <v>Others</v>
      </c>
    </row>
    <row r="1586" ht="15.75" customHeight="1">
      <c r="A1586" s="14" t="s">
        <v>3145</v>
      </c>
      <c r="B1586" s="15" t="s">
        <v>3146</v>
      </c>
      <c r="C1586" s="16" t="s">
        <v>7</v>
      </c>
      <c r="D1586" s="12" t="str">
        <f>IFERROR(__xludf.DUMMYFUNCTION("IFS(
  REGEXMATCH(A1586&amp;B1586, ""(?i)openai|gpt|gemini|anthropic|claude|mistral|cohere|rag|vector|llm|chatbot|ai-powered""), ""AI &amp; LLM"",
  REGEXMATCH(A1586&amp;B1586, ""(?i)twitter|instagram|facebook|linkedin|youtube|tiktok|threads|bluesky|pinterest|social"&amp;" video|reels?|shorts?""), ""Social Media"",
  REGEXMATCH(A1586&amp;B1586, ""(?i)hubspot|pipedrive|stripe|shopify|woocommerce|sales|crm|invoice|order|leads?|recruitment|bamboohr|erpnext""), ""CRM &amp; Sales"",
  REGEXMATCH(A1586&amp;B1586, ""(?i)gmail|outlook|calenda"&amp;"r|slack|discord|telegram|whatsapp|notion|trello|drive|sheets?|meeting|scheduler|appointment|mattermost""), ""Productivity &amp; Communication"",
  REGEXMATCH(A1586&amp;B1586, ""(?i)github|api|webhook|http|mysql|supabase|mongodb|redis|rss|pr|code review|incident|p"&amp;"agerduty|jira""), ""Development &amp; Utilities"",
  TRUE, ""Others""
)"),"AI &amp; LLM")</f>
        <v>AI &amp; LLM</v>
      </c>
    </row>
    <row r="1587" ht="15.75" customHeight="1">
      <c r="A1587" s="14" t="s">
        <v>3147</v>
      </c>
      <c r="B1587" s="15" t="s">
        <v>3148</v>
      </c>
      <c r="C1587" s="16" t="s">
        <v>7</v>
      </c>
      <c r="D1587" s="12" t="str">
        <f>IFERROR(__xludf.DUMMYFUNCTION("IFS(
  REGEXMATCH(A1587&amp;B1587, ""(?i)openai|gpt|gemini|anthropic|claude|mistral|cohere|rag|vector|llm|chatbot|ai-powered""), ""AI &amp; LLM"",
  REGEXMATCH(A1587&amp;B1587, ""(?i)twitter|instagram|facebook|linkedin|youtube|tiktok|threads|bluesky|pinterest|social"&amp;" video|reels?|shorts?""), ""Social Media"",
  REGEXMATCH(A1587&amp;B1587, ""(?i)hubspot|pipedrive|stripe|shopify|woocommerce|sales|crm|invoice|order|leads?|recruitment|bamboohr|erpnext""), ""CRM &amp; Sales"",
  REGEXMATCH(A1587&amp;B1587, ""(?i)gmail|outlook|calenda"&amp;"r|slack|discord|telegram|whatsapp|notion|trello|drive|sheets?|meeting|scheduler|appointment|mattermost""), ""Productivity &amp; Communication"",
  REGEXMATCH(A1587&amp;B1587, ""(?i)github|api|webhook|http|mysql|supabase|mongodb|redis|rss|pr|code review|incident|p"&amp;"agerduty|jira""), ""Development &amp; Utilities"",
  TRUE, ""Others""
)"),"Development &amp; Utilities")</f>
        <v>Development &amp; Utilities</v>
      </c>
    </row>
    <row r="1588" ht="15.75" customHeight="1">
      <c r="A1588" s="14" t="s">
        <v>3149</v>
      </c>
      <c r="B1588" s="15" t="s">
        <v>3150</v>
      </c>
      <c r="C1588" s="16" t="s">
        <v>7</v>
      </c>
      <c r="D1588" s="12" t="str">
        <f>IFERROR(__xludf.DUMMYFUNCTION("IFS(
  REGEXMATCH(A1588&amp;B1588, ""(?i)openai|gpt|gemini|anthropic|claude|mistral|cohere|rag|vector|llm|chatbot|ai-powered""), ""AI &amp; LLM"",
  REGEXMATCH(A1588&amp;B1588, ""(?i)twitter|instagram|facebook|linkedin|youtube|tiktok|threads|bluesky|pinterest|social"&amp;" video|reels?|shorts?""), ""Social Media"",
  REGEXMATCH(A1588&amp;B1588, ""(?i)hubspot|pipedrive|stripe|shopify|woocommerce|sales|crm|invoice|order|leads?|recruitment|bamboohr|erpnext""), ""CRM &amp; Sales"",
  REGEXMATCH(A1588&amp;B1588, ""(?i)gmail|outlook|calenda"&amp;"r|slack|discord|telegram|whatsapp|notion|trello|drive|sheets?|meeting|scheduler|appointment|mattermost""), ""Productivity &amp; Communication"",
  REGEXMATCH(A1588&amp;B1588, ""(?i)github|api|webhook|http|mysql|supabase|mongodb|redis|rss|pr|code review|incident|p"&amp;"agerduty|jira""), ""Development &amp; Utilities"",
  TRUE, ""Others""
)"),"AI &amp; LLM")</f>
        <v>AI &amp; LLM</v>
      </c>
    </row>
    <row r="1589" ht="15.75" customHeight="1">
      <c r="A1589" s="14" t="s">
        <v>3151</v>
      </c>
      <c r="B1589" s="15" t="s">
        <v>3152</v>
      </c>
      <c r="C1589" s="16" t="s">
        <v>7</v>
      </c>
      <c r="D1589" s="12" t="str">
        <f>IFERROR(__xludf.DUMMYFUNCTION("IFS(
  REGEXMATCH(A1589&amp;B1589, ""(?i)openai|gpt|gemini|anthropic|claude|mistral|cohere|rag|vector|llm|chatbot|ai-powered""), ""AI &amp; LLM"",
  REGEXMATCH(A1589&amp;B1589, ""(?i)twitter|instagram|facebook|linkedin|youtube|tiktok|threads|bluesky|pinterest|social"&amp;" video|reels?|shorts?""), ""Social Media"",
  REGEXMATCH(A1589&amp;B1589, ""(?i)hubspot|pipedrive|stripe|shopify|woocommerce|sales|crm|invoice|order|leads?|recruitment|bamboohr|erpnext""), ""CRM &amp; Sales"",
  REGEXMATCH(A1589&amp;B1589, ""(?i)gmail|outlook|calenda"&amp;"r|slack|discord|telegram|whatsapp|notion|trello|drive|sheets?|meeting|scheduler|appointment|mattermost""), ""Productivity &amp; Communication"",
  REGEXMATCH(A1589&amp;B1589, ""(?i)github|api|webhook|http|mysql|supabase|mongodb|redis|rss|pr|code review|incident|p"&amp;"agerduty|jira""), ""Development &amp; Utilities"",
  TRUE, ""Others""
)"),"AI &amp; LLM")</f>
        <v>AI &amp; LLM</v>
      </c>
    </row>
    <row r="1590" ht="15.75" customHeight="1">
      <c r="A1590" s="14" t="s">
        <v>3153</v>
      </c>
      <c r="B1590" s="15" t="s">
        <v>3154</v>
      </c>
      <c r="C1590" s="16" t="s">
        <v>7</v>
      </c>
      <c r="D1590" s="12" t="str">
        <f>IFERROR(__xludf.DUMMYFUNCTION("IFS(
  REGEXMATCH(A1590&amp;B1590, ""(?i)openai|gpt|gemini|anthropic|claude|mistral|cohere|rag|vector|llm|chatbot|ai-powered""), ""AI &amp; LLM"",
  REGEXMATCH(A1590&amp;B1590, ""(?i)twitter|instagram|facebook|linkedin|youtube|tiktok|threads|bluesky|pinterest|social"&amp;" video|reels?|shorts?""), ""Social Media"",
  REGEXMATCH(A1590&amp;B1590, ""(?i)hubspot|pipedrive|stripe|shopify|woocommerce|sales|crm|invoice|order|leads?|recruitment|bamboohr|erpnext""), ""CRM &amp; Sales"",
  REGEXMATCH(A1590&amp;B1590, ""(?i)gmail|outlook|calenda"&amp;"r|slack|discord|telegram|whatsapp|notion|trello|drive|sheets?|meeting|scheduler|appointment|mattermost""), ""Productivity &amp; Communication"",
  REGEXMATCH(A1590&amp;B1590, ""(?i)github|api|webhook|http|mysql|supabase|mongodb|redis|rss|pr|code review|incident|p"&amp;"agerduty|jira""), ""Development &amp; Utilities"",
  TRUE, ""Others""
)"),"Productivity &amp; Communication")</f>
        <v>Productivity &amp; Communication</v>
      </c>
    </row>
    <row r="1591" ht="15.75" customHeight="1">
      <c r="A1591" s="14" t="s">
        <v>3155</v>
      </c>
      <c r="B1591" s="15" t="s">
        <v>3156</v>
      </c>
      <c r="C1591" s="16" t="s">
        <v>7</v>
      </c>
      <c r="D1591" s="12" t="str">
        <f>IFERROR(__xludf.DUMMYFUNCTION("IFS(
  REGEXMATCH(A1591&amp;B1591, ""(?i)openai|gpt|gemini|anthropic|claude|mistral|cohere|rag|vector|llm|chatbot|ai-powered""), ""AI &amp; LLM"",
  REGEXMATCH(A1591&amp;B1591, ""(?i)twitter|instagram|facebook|linkedin|youtube|tiktok|threads|bluesky|pinterest|social"&amp;" video|reels?|shorts?""), ""Social Media"",
  REGEXMATCH(A1591&amp;B1591, ""(?i)hubspot|pipedrive|stripe|shopify|woocommerce|sales|crm|invoice|order|leads?|recruitment|bamboohr|erpnext""), ""CRM &amp; Sales"",
  REGEXMATCH(A1591&amp;B1591, ""(?i)gmail|outlook|calenda"&amp;"r|slack|discord|telegram|whatsapp|notion|trello|drive|sheets?|meeting|scheduler|appointment|mattermost""), ""Productivity &amp; Communication"",
  REGEXMATCH(A1591&amp;B1591, ""(?i)github|api|webhook|http|mysql|supabase|mongodb|redis|rss|pr|code review|incident|p"&amp;"agerduty|jira""), ""Development &amp; Utilities"",
  TRUE, ""Others""
)"),"AI &amp; LLM")</f>
        <v>AI &amp; LLM</v>
      </c>
    </row>
    <row r="1592" ht="15.75" customHeight="1">
      <c r="A1592" s="14" t="s">
        <v>3157</v>
      </c>
      <c r="B1592" s="15" t="s">
        <v>3158</v>
      </c>
      <c r="C1592" s="16" t="s">
        <v>7</v>
      </c>
      <c r="D1592" s="12" t="str">
        <f>IFERROR(__xludf.DUMMYFUNCTION("IFS(
  REGEXMATCH(A1592&amp;B1592, ""(?i)openai|gpt|gemini|anthropic|claude|mistral|cohere|rag|vector|llm|chatbot|ai-powered""), ""AI &amp; LLM"",
  REGEXMATCH(A1592&amp;B1592, ""(?i)twitter|instagram|facebook|linkedin|youtube|tiktok|threads|bluesky|pinterest|social"&amp;" video|reels?|shorts?""), ""Social Media"",
  REGEXMATCH(A1592&amp;B1592, ""(?i)hubspot|pipedrive|stripe|shopify|woocommerce|sales|crm|invoice|order|leads?|recruitment|bamboohr|erpnext""), ""CRM &amp; Sales"",
  REGEXMATCH(A1592&amp;B1592, ""(?i)gmail|outlook|calenda"&amp;"r|slack|discord|telegram|whatsapp|notion|trello|drive|sheets?|meeting|scheduler|appointment|mattermost""), ""Productivity &amp; Communication"",
  REGEXMATCH(A1592&amp;B1592, ""(?i)github|api|webhook|http|mysql|supabase|mongodb|redis|rss|pr|code review|incident|p"&amp;"agerduty|jira""), ""Development &amp; Utilities"",
  TRUE, ""Others""
)"),"AI &amp; LLM")</f>
        <v>AI &amp; LLM</v>
      </c>
    </row>
    <row r="1593" ht="15.75" customHeight="1">
      <c r="A1593" s="14" t="s">
        <v>3159</v>
      </c>
      <c r="B1593" s="15" t="s">
        <v>3160</v>
      </c>
      <c r="C1593" s="16" t="s">
        <v>7</v>
      </c>
      <c r="D1593" s="12" t="str">
        <f>IFERROR(__xludf.DUMMYFUNCTION("IFS(
  REGEXMATCH(A1593&amp;B1593, ""(?i)openai|gpt|gemini|anthropic|claude|mistral|cohere|rag|vector|llm|chatbot|ai-powered""), ""AI &amp; LLM"",
  REGEXMATCH(A1593&amp;B1593, ""(?i)twitter|instagram|facebook|linkedin|youtube|tiktok|threads|bluesky|pinterest|social"&amp;" video|reels?|shorts?""), ""Social Media"",
  REGEXMATCH(A1593&amp;B1593, ""(?i)hubspot|pipedrive|stripe|shopify|woocommerce|sales|crm|invoice|order|leads?|recruitment|bamboohr|erpnext""), ""CRM &amp; Sales"",
  REGEXMATCH(A1593&amp;B1593, ""(?i)gmail|outlook|calenda"&amp;"r|slack|discord|telegram|whatsapp|notion|trello|drive|sheets?|meeting|scheduler|appointment|mattermost""), ""Productivity &amp; Communication"",
  REGEXMATCH(A1593&amp;B1593, ""(?i)github|api|webhook|http|mysql|supabase|mongodb|redis|rss|pr|code review|incident|p"&amp;"agerduty|jira""), ""Development &amp; Utilities"",
  TRUE, ""Others""
)"),"Productivity &amp; Communication")</f>
        <v>Productivity &amp; Communication</v>
      </c>
    </row>
    <row r="1594" ht="15.75" customHeight="1">
      <c r="A1594" s="14" t="s">
        <v>3161</v>
      </c>
      <c r="B1594" s="15" t="s">
        <v>3162</v>
      </c>
      <c r="C1594" s="16" t="s">
        <v>7</v>
      </c>
      <c r="D1594" s="12" t="str">
        <f>IFERROR(__xludf.DUMMYFUNCTION("IFS(
  REGEXMATCH(A1594&amp;B1594, ""(?i)openai|gpt|gemini|anthropic|claude|mistral|cohere|rag|vector|llm|chatbot|ai-powered""), ""AI &amp; LLM"",
  REGEXMATCH(A1594&amp;B1594, ""(?i)twitter|instagram|facebook|linkedin|youtube|tiktok|threads|bluesky|pinterest|social"&amp;" video|reels?|shorts?""), ""Social Media"",
  REGEXMATCH(A1594&amp;B1594, ""(?i)hubspot|pipedrive|stripe|shopify|woocommerce|sales|crm|invoice|order|leads?|recruitment|bamboohr|erpnext""), ""CRM &amp; Sales"",
  REGEXMATCH(A1594&amp;B1594, ""(?i)gmail|outlook|calenda"&amp;"r|slack|discord|telegram|whatsapp|notion|trello|drive|sheets?|meeting|scheduler|appointment|mattermost""), ""Productivity &amp; Communication"",
  REGEXMATCH(A1594&amp;B1594, ""(?i)github|api|webhook|http|mysql|supabase|mongodb|redis|rss|pr|code review|incident|p"&amp;"agerduty|jira""), ""Development &amp; Utilities"",
  TRUE, ""Others""
)"),"AI &amp; LLM")</f>
        <v>AI &amp; LLM</v>
      </c>
    </row>
    <row r="1595" ht="15.75" customHeight="1">
      <c r="A1595" s="14" t="s">
        <v>3163</v>
      </c>
      <c r="B1595" s="15" t="s">
        <v>3164</v>
      </c>
      <c r="C1595" s="16" t="s">
        <v>7</v>
      </c>
      <c r="D1595" s="12" t="str">
        <f>IFERROR(__xludf.DUMMYFUNCTION("IFS(
  REGEXMATCH(A1595&amp;B1595, ""(?i)openai|gpt|gemini|anthropic|claude|mistral|cohere|rag|vector|llm|chatbot|ai-powered""), ""AI &amp; LLM"",
  REGEXMATCH(A1595&amp;B1595, ""(?i)twitter|instagram|facebook|linkedin|youtube|tiktok|threads|bluesky|pinterest|social"&amp;" video|reels?|shorts?""), ""Social Media"",
  REGEXMATCH(A1595&amp;B1595, ""(?i)hubspot|pipedrive|stripe|shopify|woocommerce|sales|crm|invoice|order|leads?|recruitment|bamboohr|erpnext""), ""CRM &amp; Sales"",
  REGEXMATCH(A1595&amp;B1595, ""(?i)gmail|outlook|calenda"&amp;"r|slack|discord|telegram|whatsapp|notion|trello|drive|sheets?|meeting|scheduler|appointment|mattermost""), ""Productivity &amp; Communication"",
  REGEXMATCH(A1595&amp;B1595, ""(?i)github|api|webhook|http|mysql|supabase|mongodb|redis|rss|pr|code review|incident|p"&amp;"agerduty|jira""), ""Development &amp; Utilities"",
  TRUE, ""Others""
)"),"Social Media")</f>
        <v>Social Media</v>
      </c>
    </row>
    <row r="1596" ht="15.75" customHeight="1">
      <c r="A1596" s="14" t="s">
        <v>3165</v>
      </c>
      <c r="B1596" s="15" t="s">
        <v>3166</v>
      </c>
      <c r="C1596" s="16" t="s">
        <v>7</v>
      </c>
      <c r="D1596" s="12" t="str">
        <f>IFERROR(__xludf.DUMMYFUNCTION("IFS(
  REGEXMATCH(A1596&amp;B1596, ""(?i)openai|gpt|gemini|anthropic|claude|mistral|cohere|rag|vector|llm|chatbot|ai-powered""), ""AI &amp; LLM"",
  REGEXMATCH(A1596&amp;B1596, ""(?i)twitter|instagram|facebook|linkedin|youtube|tiktok|threads|bluesky|pinterest|social"&amp;" video|reels?|shorts?""), ""Social Media"",
  REGEXMATCH(A1596&amp;B1596, ""(?i)hubspot|pipedrive|stripe|shopify|woocommerce|sales|crm|invoice|order|leads?|recruitment|bamboohr|erpnext""), ""CRM &amp; Sales"",
  REGEXMATCH(A1596&amp;B1596, ""(?i)gmail|outlook|calenda"&amp;"r|slack|discord|telegram|whatsapp|notion|trello|drive|sheets?|meeting|scheduler|appointment|mattermost""), ""Productivity &amp; Communication"",
  REGEXMATCH(A1596&amp;B1596, ""(?i)github|api|webhook|http|mysql|supabase|mongodb|redis|rss|pr|code review|incident|p"&amp;"agerduty|jira""), ""Development &amp; Utilities"",
  TRUE, ""Others""
)"),"AI &amp; LLM")</f>
        <v>AI &amp; LLM</v>
      </c>
    </row>
    <row r="1597" ht="15.75" customHeight="1">
      <c r="A1597" s="14" t="s">
        <v>3167</v>
      </c>
      <c r="B1597" s="15" t="s">
        <v>3168</v>
      </c>
      <c r="C1597" s="16" t="s">
        <v>7</v>
      </c>
      <c r="D1597" s="12" t="str">
        <f>IFERROR(__xludf.DUMMYFUNCTION("IFS(
  REGEXMATCH(A1597&amp;B1597, ""(?i)openai|gpt|gemini|anthropic|claude|mistral|cohere|rag|vector|llm|chatbot|ai-powered""), ""AI &amp; LLM"",
  REGEXMATCH(A1597&amp;B1597, ""(?i)twitter|instagram|facebook|linkedin|youtube|tiktok|threads|bluesky|pinterest|social"&amp;" video|reels?|shorts?""), ""Social Media"",
  REGEXMATCH(A1597&amp;B1597, ""(?i)hubspot|pipedrive|stripe|shopify|woocommerce|sales|crm|invoice|order|leads?|recruitment|bamboohr|erpnext""), ""CRM &amp; Sales"",
  REGEXMATCH(A1597&amp;B1597, ""(?i)gmail|outlook|calenda"&amp;"r|slack|discord|telegram|whatsapp|notion|trello|drive|sheets?|meeting|scheduler|appointment|mattermost""), ""Productivity &amp; Communication"",
  REGEXMATCH(A1597&amp;B1597, ""(?i)github|api|webhook|http|mysql|supabase|mongodb|redis|rss|pr|code review|incident|p"&amp;"agerduty|jira""), ""Development &amp; Utilities"",
  TRUE, ""Others""
)"),"Development &amp; Utilities")</f>
        <v>Development &amp; Utilities</v>
      </c>
    </row>
    <row r="1598" ht="15.75" customHeight="1">
      <c r="A1598" s="14" t="s">
        <v>3169</v>
      </c>
      <c r="B1598" s="15" t="s">
        <v>3170</v>
      </c>
      <c r="C1598" s="16" t="s">
        <v>7</v>
      </c>
      <c r="D1598" s="12" t="str">
        <f>IFERROR(__xludf.DUMMYFUNCTION("IFS(
  REGEXMATCH(A1598&amp;B1598, ""(?i)openai|gpt|gemini|anthropic|claude|mistral|cohere|rag|vector|llm|chatbot|ai-powered""), ""AI &amp; LLM"",
  REGEXMATCH(A1598&amp;B1598, ""(?i)twitter|instagram|facebook|linkedin|youtube|tiktok|threads|bluesky|pinterest|social"&amp;" video|reels?|shorts?""), ""Social Media"",
  REGEXMATCH(A1598&amp;B1598, ""(?i)hubspot|pipedrive|stripe|shopify|woocommerce|sales|crm|invoice|order|leads?|recruitment|bamboohr|erpnext""), ""CRM &amp; Sales"",
  REGEXMATCH(A1598&amp;B1598, ""(?i)gmail|outlook|calenda"&amp;"r|slack|discord|telegram|whatsapp|notion|trello|drive|sheets?|meeting|scheduler|appointment|mattermost""), ""Productivity &amp; Communication"",
  REGEXMATCH(A1598&amp;B1598, ""(?i)github|api|webhook|http|mysql|supabase|mongodb|redis|rss|pr|code review|incident|p"&amp;"agerduty|jira""), ""Development &amp; Utilities"",
  TRUE, ""Others""
)"),"Productivity &amp; Communication")</f>
        <v>Productivity &amp; Communication</v>
      </c>
    </row>
    <row r="1599" ht="15.75" customHeight="1">
      <c r="A1599" s="14" t="s">
        <v>3171</v>
      </c>
      <c r="B1599" s="15" t="s">
        <v>3172</v>
      </c>
      <c r="C1599" s="16" t="s">
        <v>7</v>
      </c>
      <c r="D1599" s="12" t="str">
        <f>IFERROR(__xludf.DUMMYFUNCTION("IFS(
  REGEXMATCH(A1599&amp;B1599, ""(?i)openai|gpt|gemini|anthropic|claude|mistral|cohere|rag|vector|llm|chatbot|ai-powered""), ""AI &amp; LLM"",
  REGEXMATCH(A1599&amp;B1599, ""(?i)twitter|instagram|facebook|linkedin|youtube|tiktok|threads|bluesky|pinterest|social"&amp;" video|reels?|shorts?""), ""Social Media"",
  REGEXMATCH(A1599&amp;B1599, ""(?i)hubspot|pipedrive|stripe|shopify|woocommerce|sales|crm|invoice|order|leads?|recruitment|bamboohr|erpnext""), ""CRM &amp; Sales"",
  REGEXMATCH(A1599&amp;B1599, ""(?i)gmail|outlook|calenda"&amp;"r|slack|discord|telegram|whatsapp|notion|trello|drive|sheets?|meeting|scheduler|appointment|mattermost""), ""Productivity &amp; Communication"",
  REGEXMATCH(A1599&amp;B1599, ""(?i)github|api|webhook|http|mysql|supabase|mongodb|redis|rss|pr|code review|incident|p"&amp;"agerduty|jira""), ""Development &amp; Utilities"",
  TRUE, ""Others""
)"),"AI &amp; LLM")</f>
        <v>AI &amp; LLM</v>
      </c>
    </row>
    <row r="1600" ht="15.75" customHeight="1">
      <c r="A1600" s="14" t="s">
        <v>3173</v>
      </c>
      <c r="B1600" s="15" t="s">
        <v>3174</v>
      </c>
      <c r="C1600" s="16" t="s">
        <v>7</v>
      </c>
      <c r="D1600" s="12" t="str">
        <f>IFERROR(__xludf.DUMMYFUNCTION("IFS(
  REGEXMATCH(A1600&amp;B1600, ""(?i)openai|gpt|gemini|anthropic|claude|mistral|cohere|rag|vector|llm|chatbot|ai-powered""), ""AI &amp; LLM"",
  REGEXMATCH(A1600&amp;B1600, ""(?i)twitter|instagram|facebook|linkedin|youtube|tiktok|threads|bluesky|pinterest|social"&amp;" video|reels?|shorts?""), ""Social Media"",
  REGEXMATCH(A1600&amp;B1600, ""(?i)hubspot|pipedrive|stripe|shopify|woocommerce|sales|crm|invoice|order|leads?|recruitment|bamboohr|erpnext""), ""CRM &amp; Sales"",
  REGEXMATCH(A1600&amp;B1600, ""(?i)gmail|outlook|calenda"&amp;"r|slack|discord|telegram|whatsapp|notion|trello|drive|sheets?|meeting|scheduler|appointment|mattermost""), ""Productivity &amp; Communication"",
  REGEXMATCH(A1600&amp;B1600, ""(?i)github|api|webhook|http|mysql|supabase|mongodb|redis|rss|pr|code review|incident|p"&amp;"agerduty|jira""), ""Development &amp; Utilities"",
  TRUE, ""Others""
)"),"Development &amp; Utilities")</f>
        <v>Development &amp; Utilities</v>
      </c>
    </row>
    <row r="1601" ht="15.75" customHeight="1">
      <c r="A1601" s="14" t="s">
        <v>3175</v>
      </c>
      <c r="B1601" s="15" t="s">
        <v>3176</v>
      </c>
      <c r="C1601" s="16" t="s">
        <v>7</v>
      </c>
      <c r="D1601" s="12" t="str">
        <f>IFERROR(__xludf.DUMMYFUNCTION("IFS(
  REGEXMATCH(A1601&amp;B1601, ""(?i)openai|gpt|gemini|anthropic|claude|mistral|cohere|rag|vector|llm|chatbot|ai-powered""), ""AI &amp; LLM"",
  REGEXMATCH(A1601&amp;B1601, ""(?i)twitter|instagram|facebook|linkedin|youtube|tiktok|threads|bluesky|pinterest|social"&amp;" video|reels?|shorts?""), ""Social Media"",
  REGEXMATCH(A1601&amp;B1601, ""(?i)hubspot|pipedrive|stripe|shopify|woocommerce|sales|crm|invoice|order|leads?|recruitment|bamboohr|erpnext""), ""CRM &amp; Sales"",
  REGEXMATCH(A1601&amp;B1601, ""(?i)gmail|outlook|calenda"&amp;"r|slack|discord|telegram|whatsapp|notion|trello|drive|sheets?|meeting|scheduler|appointment|mattermost""), ""Productivity &amp; Communication"",
  REGEXMATCH(A1601&amp;B1601, ""(?i)github|api|webhook|http|mysql|supabase|mongodb|redis|rss|pr|code review|incident|p"&amp;"agerduty|jira""), ""Development &amp; Utilities"",
  TRUE, ""Others""
)"),"Development &amp; Utilities")</f>
        <v>Development &amp; Utilities</v>
      </c>
    </row>
    <row r="1602" ht="15.75" customHeight="1">
      <c r="A1602" s="14" t="s">
        <v>3177</v>
      </c>
      <c r="B1602" s="15" t="s">
        <v>3178</v>
      </c>
      <c r="C1602" s="16" t="s">
        <v>7</v>
      </c>
      <c r="D1602" s="12" t="str">
        <f>IFERROR(__xludf.DUMMYFUNCTION("IFS(
  REGEXMATCH(A1602&amp;B1602, ""(?i)openai|gpt|gemini|anthropic|claude|mistral|cohere|rag|vector|llm|chatbot|ai-powered""), ""AI &amp; LLM"",
  REGEXMATCH(A1602&amp;B1602, ""(?i)twitter|instagram|facebook|linkedin|youtube|tiktok|threads|bluesky|pinterest|social"&amp;" video|reels?|shorts?""), ""Social Media"",
  REGEXMATCH(A1602&amp;B1602, ""(?i)hubspot|pipedrive|stripe|shopify|woocommerce|sales|crm|invoice|order|leads?|recruitment|bamboohr|erpnext""), ""CRM &amp; Sales"",
  REGEXMATCH(A1602&amp;B1602, ""(?i)gmail|outlook|calenda"&amp;"r|slack|discord|telegram|whatsapp|notion|trello|drive|sheets?|meeting|scheduler|appointment|mattermost""), ""Productivity &amp; Communication"",
  REGEXMATCH(A1602&amp;B1602, ""(?i)github|api|webhook|http|mysql|supabase|mongodb|redis|rss|pr|code review|incident|p"&amp;"agerduty|jira""), ""Development &amp; Utilities"",
  TRUE, ""Others""
)"),"Development &amp; Utilities")</f>
        <v>Development &amp; Utilities</v>
      </c>
    </row>
    <row r="1603" ht="15.75" customHeight="1">
      <c r="A1603" s="14" t="s">
        <v>3179</v>
      </c>
      <c r="B1603" s="15" t="s">
        <v>3180</v>
      </c>
      <c r="C1603" s="16" t="s">
        <v>7</v>
      </c>
      <c r="D1603" s="12" t="str">
        <f>IFERROR(__xludf.DUMMYFUNCTION("IFS(
  REGEXMATCH(A1603&amp;B1603, ""(?i)openai|gpt|gemini|anthropic|claude|mistral|cohere|rag|vector|llm|chatbot|ai-powered""), ""AI &amp; LLM"",
  REGEXMATCH(A1603&amp;B1603, ""(?i)twitter|instagram|facebook|linkedin|youtube|tiktok|threads|bluesky|pinterest|social"&amp;" video|reels?|shorts?""), ""Social Media"",
  REGEXMATCH(A1603&amp;B1603, ""(?i)hubspot|pipedrive|stripe|shopify|woocommerce|sales|crm|invoice|order|leads?|recruitment|bamboohr|erpnext""), ""CRM &amp; Sales"",
  REGEXMATCH(A1603&amp;B1603, ""(?i)gmail|outlook|calenda"&amp;"r|slack|discord|telegram|whatsapp|notion|trello|drive|sheets?|meeting|scheduler|appointment|mattermost""), ""Productivity &amp; Communication"",
  REGEXMATCH(A1603&amp;B1603, ""(?i)github|api|webhook|http|mysql|supabase|mongodb|redis|rss|pr|code review|incident|p"&amp;"agerduty|jira""), ""Development &amp; Utilities"",
  TRUE, ""Others""
)"),"CRM &amp; Sales")</f>
        <v>CRM &amp; Sales</v>
      </c>
    </row>
    <row r="1604" ht="15.75" customHeight="1">
      <c r="A1604" s="14" t="s">
        <v>2729</v>
      </c>
      <c r="B1604" s="15" t="s">
        <v>3181</v>
      </c>
      <c r="C1604" s="16" t="s">
        <v>7</v>
      </c>
      <c r="D1604" s="12" t="str">
        <f>IFERROR(__xludf.DUMMYFUNCTION("IFS(
  REGEXMATCH(A1604&amp;B1604, ""(?i)openai|gpt|gemini|anthropic|claude|mistral|cohere|rag|vector|llm|chatbot|ai-powered""), ""AI &amp; LLM"",
  REGEXMATCH(A1604&amp;B1604, ""(?i)twitter|instagram|facebook|linkedin|youtube|tiktok|threads|bluesky|pinterest|social"&amp;" video|reels?|shorts?""), ""Social Media"",
  REGEXMATCH(A1604&amp;B1604, ""(?i)hubspot|pipedrive|stripe|shopify|woocommerce|sales|crm|invoice|order|leads?|recruitment|bamboohr|erpnext""), ""CRM &amp; Sales"",
  REGEXMATCH(A1604&amp;B1604, ""(?i)gmail|outlook|calenda"&amp;"r|slack|discord|telegram|whatsapp|notion|trello|drive|sheets?|meeting|scheduler|appointment|mattermost""), ""Productivity &amp; Communication"",
  REGEXMATCH(A1604&amp;B1604, ""(?i)github|api|webhook|http|mysql|supabase|mongodb|redis|rss|pr|code review|incident|p"&amp;"agerduty|jira""), ""Development &amp; Utilities"",
  TRUE, ""Others""
)"),"Productivity &amp; Communication")</f>
        <v>Productivity &amp; Communication</v>
      </c>
    </row>
    <row r="1605" ht="15.75" customHeight="1">
      <c r="A1605" s="14" t="s">
        <v>3182</v>
      </c>
      <c r="B1605" s="15" t="s">
        <v>3183</v>
      </c>
      <c r="C1605" s="16" t="s">
        <v>7</v>
      </c>
      <c r="D1605" s="12" t="str">
        <f>IFERROR(__xludf.DUMMYFUNCTION("IFS(
  REGEXMATCH(A1605&amp;B1605, ""(?i)openai|gpt|gemini|anthropic|claude|mistral|cohere|rag|vector|llm|chatbot|ai-powered""), ""AI &amp; LLM"",
  REGEXMATCH(A1605&amp;B1605, ""(?i)twitter|instagram|facebook|linkedin|youtube|tiktok|threads|bluesky|pinterest|social"&amp;" video|reels?|shorts?""), ""Social Media"",
  REGEXMATCH(A1605&amp;B1605, ""(?i)hubspot|pipedrive|stripe|shopify|woocommerce|sales|crm|invoice|order|leads?|recruitment|bamboohr|erpnext""), ""CRM &amp; Sales"",
  REGEXMATCH(A1605&amp;B1605, ""(?i)gmail|outlook|calenda"&amp;"r|slack|discord|telegram|whatsapp|notion|trello|drive|sheets?|meeting|scheduler|appointment|mattermost""), ""Productivity &amp; Communication"",
  REGEXMATCH(A1605&amp;B1605, ""(?i)github|api|webhook|http|mysql|supabase|mongodb|redis|rss|pr|code review|incident|p"&amp;"agerduty|jira""), ""Development &amp; Utilities"",
  TRUE, ""Others""
)"),"Development &amp; Utilities")</f>
        <v>Development &amp; Utilities</v>
      </c>
    </row>
    <row r="1606" ht="15.75" customHeight="1">
      <c r="A1606" s="14" t="s">
        <v>3184</v>
      </c>
      <c r="B1606" s="15" t="s">
        <v>3185</v>
      </c>
      <c r="C1606" s="16" t="s">
        <v>7</v>
      </c>
      <c r="D1606" s="12" t="str">
        <f>IFERROR(__xludf.DUMMYFUNCTION("IFS(
  REGEXMATCH(A1606&amp;B1606, ""(?i)openai|gpt|gemini|anthropic|claude|mistral|cohere|rag|vector|llm|chatbot|ai-powered""), ""AI &amp; LLM"",
  REGEXMATCH(A1606&amp;B1606, ""(?i)twitter|instagram|facebook|linkedin|youtube|tiktok|threads|bluesky|pinterest|social"&amp;" video|reels?|shorts?""), ""Social Media"",
  REGEXMATCH(A1606&amp;B1606, ""(?i)hubspot|pipedrive|stripe|shopify|woocommerce|sales|crm|invoice|order|leads?|recruitment|bamboohr|erpnext""), ""CRM &amp; Sales"",
  REGEXMATCH(A1606&amp;B1606, ""(?i)gmail|outlook|calenda"&amp;"r|slack|discord|telegram|whatsapp|notion|trello|drive|sheets?|meeting|scheduler|appointment|mattermost""), ""Productivity &amp; Communication"",
  REGEXMATCH(A1606&amp;B1606, ""(?i)github|api|webhook|http|mysql|supabase|mongodb|redis|rss|pr|code review|incident|p"&amp;"agerduty|jira""), ""Development &amp; Utilities"",
  TRUE, ""Others""
)"),"AI &amp; LLM")</f>
        <v>AI &amp; LLM</v>
      </c>
    </row>
    <row r="1607" ht="15.75" customHeight="1">
      <c r="A1607" s="14" t="s">
        <v>3186</v>
      </c>
      <c r="B1607" s="15" t="s">
        <v>3187</v>
      </c>
      <c r="C1607" s="16" t="s">
        <v>7</v>
      </c>
      <c r="D1607" s="12" t="str">
        <f>IFERROR(__xludf.DUMMYFUNCTION("IFS(
  REGEXMATCH(A1607&amp;B1607, ""(?i)openai|gpt|gemini|anthropic|claude|mistral|cohere|rag|vector|llm|chatbot|ai-powered""), ""AI &amp; LLM"",
  REGEXMATCH(A1607&amp;B1607, ""(?i)twitter|instagram|facebook|linkedin|youtube|tiktok|threads|bluesky|pinterest|social"&amp;" video|reels?|shorts?""), ""Social Media"",
  REGEXMATCH(A1607&amp;B1607, ""(?i)hubspot|pipedrive|stripe|shopify|woocommerce|sales|crm|invoice|order|leads?|recruitment|bamboohr|erpnext""), ""CRM &amp; Sales"",
  REGEXMATCH(A1607&amp;B1607, ""(?i)gmail|outlook|calenda"&amp;"r|slack|discord|telegram|whatsapp|notion|trello|drive|sheets?|meeting|scheduler|appointment|mattermost""), ""Productivity &amp; Communication"",
  REGEXMATCH(A1607&amp;B1607, ""(?i)github|api|webhook|http|mysql|supabase|mongodb|redis|rss|pr|code review|incident|p"&amp;"agerduty|jira""), ""Development &amp; Utilities"",
  TRUE, ""Others""
)"),"Development &amp; Utilities")</f>
        <v>Development &amp; Utilities</v>
      </c>
    </row>
    <row r="1608" ht="15.75" customHeight="1">
      <c r="A1608" s="14" t="s">
        <v>3188</v>
      </c>
      <c r="B1608" s="15" t="s">
        <v>3189</v>
      </c>
      <c r="C1608" s="16" t="s">
        <v>7</v>
      </c>
      <c r="D1608" s="12" t="str">
        <f>IFERROR(__xludf.DUMMYFUNCTION("IFS(
  REGEXMATCH(A1608&amp;B1608, ""(?i)openai|gpt|gemini|anthropic|claude|mistral|cohere|rag|vector|llm|chatbot|ai-powered""), ""AI &amp; LLM"",
  REGEXMATCH(A1608&amp;B1608, ""(?i)twitter|instagram|facebook|linkedin|youtube|tiktok|threads|bluesky|pinterest|social"&amp;" video|reels?|shorts?""), ""Social Media"",
  REGEXMATCH(A1608&amp;B1608, ""(?i)hubspot|pipedrive|stripe|shopify|woocommerce|sales|crm|invoice|order|leads?|recruitment|bamboohr|erpnext""), ""CRM &amp; Sales"",
  REGEXMATCH(A1608&amp;B1608, ""(?i)gmail|outlook|calenda"&amp;"r|slack|discord|telegram|whatsapp|notion|trello|drive|sheets?|meeting|scheduler|appointment|mattermost""), ""Productivity &amp; Communication"",
  REGEXMATCH(A1608&amp;B1608, ""(?i)github|api|webhook|http|mysql|supabase|mongodb|redis|rss|pr|code review|incident|p"&amp;"agerduty|jira""), ""Development &amp; Utilities"",
  TRUE, ""Others""
)"),"Development &amp; Utilities")</f>
        <v>Development &amp; Utilities</v>
      </c>
    </row>
    <row r="1609" ht="15.75" customHeight="1">
      <c r="A1609" s="14" t="s">
        <v>3190</v>
      </c>
      <c r="B1609" s="15" t="s">
        <v>3191</v>
      </c>
      <c r="C1609" s="16" t="s">
        <v>7</v>
      </c>
      <c r="D1609" s="12" t="str">
        <f>IFERROR(__xludf.DUMMYFUNCTION("IFS(
  REGEXMATCH(A1609&amp;B1609, ""(?i)openai|gpt|gemini|anthropic|claude|mistral|cohere|rag|vector|llm|chatbot|ai-powered""), ""AI &amp; LLM"",
  REGEXMATCH(A1609&amp;B1609, ""(?i)twitter|instagram|facebook|linkedin|youtube|tiktok|threads|bluesky|pinterest|social"&amp;" video|reels?|shorts?""), ""Social Media"",
  REGEXMATCH(A1609&amp;B1609, ""(?i)hubspot|pipedrive|stripe|shopify|woocommerce|sales|crm|invoice|order|leads?|recruitment|bamboohr|erpnext""), ""CRM &amp; Sales"",
  REGEXMATCH(A1609&amp;B1609, ""(?i)gmail|outlook|calenda"&amp;"r|slack|discord|telegram|whatsapp|notion|trello|drive|sheets?|meeting|scheduler|appointment|mattermost""), ""Productivity &amp; Communication"",
  REGEXMATCH(A1609&amp;B1609, ""(?i)github|api|webhook|http|mysql|supabase|mongodb|redis|rss|pr|code review|incident|p"&amp;"agerduty|jira""), ""Development &amp; Utilities"",
  TRUE, ""Others""
)"),"Productivity &amp; Communication")</f>
        <v>Productivity &amp; Communication</v>
      </c>
    </row>
    <row r="1610" ht="15.75" customHeight="1">
      <c r="A1610" s="14" t="s">
        <v>3192</v>
      </c>
      <c r="B1610" s="15" t="s">
        <v>3193</v>
      </c>
      <c r="C1610" s="16" t="s">
        <v>7</v>
      </c>
      <c r="D1610" s="12" t="str">
        <f>IFERROR(__xludf.DUMMYFUNCTION("IFS(
  REGEXMATCH(A1610&amp;B1610, ""(?i)openai|gpt|gemini|anthropic|claude|mistral|cohere|rag|vector|llm|chatbot|ai-powered""), ""AI &amp; LLM"",
  REGEXMATCH(A1610&amp;B1610, ""(?i)twitter|instagram|facebook|linkedin|youtube|tiktok|threads|bluesky|pinterest|social"&amp;" video|reels?|shorts?""), ""Social Media"",
  REGEXMATCH(A1610&amp;B1610, ""(?i)hubspot|pipedrive|stripe|shopify|woocommerce|sales|crm|invoice|order|leads?|recruitment|bamboohr|erpnext""), ""CRM &amp; Sales"",
  REGEXMATCH(A1610&amp;B1610, ""(?i)gmail|outlook|calenda"&amp;"r|slack|discord|telegram|whatsapp|notion|trello|drive|sheets?|meeting|scheduler|appointment|mattermost""), ""Productivity &amp; Communication"",
  REGEXMATCH(A1610&amp;B1610, ""(?i)github|api|webhook|http|mysql|supabase|mongodb|redis|rss|pr|code review|incident|p"&amp;"agerduty|jira""), ""Development &amp; Utilities"",
  TRUE, ""Others""
)"),"Development &amp; Utilities")</f>
        <v>Development &amp; Utilities</v>
      </c>
    </row>
    <row r="1611" ht="15.75" customHeight="1">
      <c r="A1611" s="14" t="s">
        <v>3194</v>
      </c>
      <c r="B1611" s="15" t="s">
        <v>3195</v>
      </c>
      <c r="C1611" s="16" t="s">
        <v>7</v>
      </c>
      <c r="D1611" s="12" t="str">
        <f>IFERROR(__xludf.DUMMYFUNCTION("IFS(
  REGEXMATCH(A1611&amp;B1611, ""(?i)openai|gpt|gemini|anthropic|claude|mistral|cohere|rag|vector|llm|chatbot|ai-powered""), ""AI &amp; LLM"",
  REGEXMATCH(A1611&amp;B1611, ""(?i)twitter|instagram|facebook|linkedin|youtube|tiktok|threads|bluesky|pinterest|social"&amp;" video|reels?|shorts?""), ""Social Media"",
  REGEXMATCH(A1611&amp;B1611, ""(?i)hubspot|pipedrive|stripe|shopify|woocommerce|sales|crm|invoice|order|leads?|recruitment|bamboohr|erpnext""), ""CRM &amp; Sales"",
  REGEXMATCH(A1611&amp;B1611, ""(?i)gmail|outlook|calenda"&amp;"r|slack|discord|telegram|whatsapp|notion|trello|drive|sheets?|meeting|scheduler|appointment|mattermost""), ""Productivity &amp; Communication"",
  REGEXMATCH(A1611&amp;B1611, ""(?i)github|api|webhook|http|mysql|supabase|mongodb|redis|rss|pr|code review|incident|p"&amp;"agerduty|jira""), ""Development &amp; Utilities"",
  TRUE, ""Others""
)"),"Productivity &amp; Communication")</f>
        <v>Productivity &amp; Communication</v>
      </c>
    </row>
    <row r="1612" ht="15.75" customHeight="1">
      <c r="A1612" s="14" t="s">
        <v>3196</v>
      </c>
      <c r="B1612" s="15" t="s">
        <v>3197</v>
      </c>
      <c r="C1612" s="16" t="s">
        <v>7</v>
      </c>
      <c r="D1612" s="12" t="str">
        <f>IFERROR(__xludf.DUMMYFUNCTION("IFS(
  REGEXMATCH(A1612&amp;B1612, ""(?i)openai|gpt|gemini|anthropic|claude|mistral|cohere|rag|vector|llm|chatbot|ai-powered""), ""AI &amp; LLM"",
  REGEXMATCH(A1612&amp;B1612, ""(?i)twitter|instagram|facebook|linkedin|youtube|tiktok|threads|bluesky|pinterest|social"&amp;" video|reels?|shorts?""), ""Social Media"",
  REGEXMATCH(A1612&amp;B1612, ""(?i)hubspot|pipedrive|stripe|shopify|woocommerce|sales|crm|invoice|order|leads?|recruitment|bamboohr|erpnext""), ""CRM &amp; Sales"",
  REGEXMATCH(A1612&amp;B1612, ""(?i)gmail|outlook|calenda"&amp;"r|slack|discord|telegram|whatsapp|notion|trello|drive|sheets?|meeting|scheduler|appointment|mattermost""), ""Productivity &amp; Communication"",
  REGEXMATCH(A1612&amp;B1612, ""(?i)github|api|webhook|http|mysql|supabase|mongodb|redis|rss|pr|code review|incident|p"&amp;"agerduty|jira""), ""Development &amp; Utilities"",
  TRUE, ""Others""
)"),"AI &amp; LLM")</f>
        <v>AI &amp; LLM</v>
      </c>
    </row>
    <row r="1613" ht="15.75" customHeight="1">
      <c r="A1613" s="14" t="s">
        <v>3198</v>
      </c>
      <c r="B1613" s="15" t="s">
        <v>3199</v>
      </c>
      <c r="C1613" s="16" t="s">
        <v>7</v>
      </c>
      <c r="D1613" s="12" t="str">
        <f>IFERROR(__xludf.DUMMYFUNCTION("IFS(
  REGEXMATCH(A1613&amp;B1613, ""(?i)openai|gpt|gemini|anthropic|claude|mistral|cohere|rag|vector|llm|chatbot|ai-powered""), ""AI &amp; LLM"",
  REGEXMATCH(A1613&amp;B1613, ""(?i)twitter|instagram|facebook|linkedin|youtube|tiktok|threads|bluesky|pinterest|social"&amp;" video|reels?|shorts?""), ""Social Media"",
  REGEXMATCH(A1613&amp;B1613, ""(?i)hubspot|pipedrive|stripe|shopify|woocommerce|sales|crm|invoice|order|leads?|recruitment|bamboohr|erpnext""), ""CRM &amp; Sales"",
  REGEXMATCH(A1613&amp;B1613, ""(?i)gmail|outlook|calenda"&amp;"r|slack|discord|telegram|whatsapp|notion|trello|drive|sheets?|meeting|scheduler|appointment|mattermost""), ""Productivity &amp; Communication"",
  REGEXMATCH(A1613&amp;B1613, ""(?i)github|api|webhook|http|mysql|supabase|mongodb|redis|rss|pr|code review|incident|p"&amp;"agerduty|jira""), ""Development &amp; Utilities"",
  TRUE, ""Others""
)"),"Development &amp; Utilities")</f>
        <v>Development &amp; Utilities</v>
      </c>
    </row>
    <row r="1614" ht="15.75" customHeight="1">
      <c r="A1614" s="14" t="s">
        <v>3200</v>
      </c>
      <c r="B1614" s="15" t="s">
        <v>3201</v>
      </c>
      <c r="C1614" s="16" t="s">
        <v>7</v>
      </c>
      <c r="D1614" s="12" t="str">
        <f>IFERROR(__xludf.DUMMYFUNCTION("IFS(
  REGEXMATCH(A1614&amp;B1614, ""(?i)openai|gpt|gemini|anthropic|claude|mistral|cohere|rag|vector|llm|chatbot|ai-powered""), ""AI &amp; LLM"",
  REGEXMATCH(A1614&amp;B1614, ""(?i)twitter|instagram|facebook|linkedin|youtube|tiktok|threads|bluesky|pinterest|social"&amp;" video|reels?|shorts?""), ""Social Media"",
  REGEXMATCH(A1614&amp;B1614, ""(?i)hubspot|pipedrive|stripe|shopify|woocommerce|sales|crm|invoice|order|leads?|recruitment|bamboohr|erpnext""), ""CRM &amp; Sales"",
  REGEXMATCH(A1614&amp;B1614, ""(?i)gmail|outlook|calenda"&amp;"r|slack|discord|telegram|whatsapp|notion|trello|drive|sheets?|meeting|scheduler|appointment|mattermost""), ""Productivity &amp; Communication"",
  REGEXMATCH(A1614&amp;B1614, ""(?i)github|api|webhook|http|mysql|supabase|mongodb|redis|rss|pr|code review|incident|p"&amp;"agerduty|jira""), ""Development &amp; Utilities"",
  TRUE, ""Others""
)"),"Development &amp; Utilities")</f>
        <v>Development &amp; Utilities</v>
      </c>
    </row>
    <row r="1615" ht="15.75" customHeight="1">
      <c r="A1615" s="14" t="s">
        <v>3202</v>
      </c>
      <c r="B1615" s="15" t="s">
        <v>3203</v>
      </c>
      <c r="C1615" s="16" t="s">
        <v>7</v>
      </c>
      <c r="D1615" s="12" t="str">
        <f>IFERROR(__xludf.DUMMYFUNCTION("IFS(
  REGEXMATCH(A1615&amp;B1615, ""(?i)openai|gpt|gemini|anthropic|claude|mistral|cohere|rag|vector|llm|chatbot|ai-powered""), ""AI &amp; LLM"",
  REGEXMATCH(A1615&amp;B1615, ""(?i)twitter|instagram|facebook|linkedin|youtube|tiktok|threads|bluesky|pinterest|social"&amp;" video|reels?|shorts?""), ""Social Media"",
  REGEXMATCH(A1615&amp;B1615, ""(?i)hubspot|pipedrive|stripe|shopify|woocommerce|sales|crm|invoice|order|leads?|recruitment|bamboohr|erpnext""), ""CRM &amp; Sales"",
  REGEXMATCH(A1615&amp;B1615, ""(?i)gmail|outlook|calenda"&amp;"r|slack|discord|telegram|whatsapp|notion|trello|drive|sheets?|meeting|scheduler|appointment|mattermost""), ""Productivity &amp; Communication"",
  REGEXMATCH(A1615&amp;B1615, ""(?i)github|api|webhook|http|mysql|supabase|mongodb|redis|rss|pr|code review|incident|p"&amp;"agerduty|jira""), ""Development &amp; Utilities"",
  TRUE, ""Others""
)"),"AI &amp; LLM")</f>
        <v>AI &amp; LLM</v>
      </c>
    </row>
    <row r="1616" ht="15.75" customHeight="1">
      <c r="A1616" s="14" t="s">
        <v>3204</v>
      </c>
      <c r="B1616" s="15" t="s">
        <v>3205</v>
      </c>
      <c r="C1616" s="16" t="s">
        <v>7</v>
      </c>
      <c r="D1616" s="12" t="str">
        <f>IFERROR(__xludf.DUMMYFUNCTION("IFS(
  REGEXMATCH(A1616&amp;B1616, ""(?i)openai|gpt|gemini|anthropic|claude|mistral|cohere|rag|vector|llm|chatbot|ai-powered""), ""AI &amp; LLM"",
  REGEXMATCH(A1616&amp;B1616, ""(?i)twitter|instagram|facebook|linkedin|youtube|tiktok|threads|bluesky|pinterest|social"&amp;" video|reels?|shorts?""), ""Social Media"",
  REGEXMATCH(A1616&amp;B1616, ""(?i)hubspot|pipedrive|stripe|shopify|woocommerce|sales|crm|invoice|order|leads?|recruitment|bamboohr|erpnext""), ""CRM &amp; Sales"",
  REGEXMATCH(A1616&amp;B1616, ""(?i)gmail|outlook|calenda"&amp;"r|slack|discord|telegram|whatsapp|notion|trello|drive|sheets?|meeting|scheduler|appointment|mattermost""), ""Productivity &amp; Communication"",
  REGEXMATCH(A1616&amp;B1616, ""(?i)github|api|webhook|http|mysql|supabase|mongodb|redis|rss|pr|code review|incident|p"&amp;"agerduty|jira""), ""Development &amp; Utilities"",
  TRUE, ""Others""
)"),"Development &amp; Utilities")</f>
        <v>Development &amp; Utilities</v>
      </c>
    </row>
    <row r="1617" ht="15.75" customHeight="1">
      <c r="A1617" s="14" t="s">
        <v>3206</v>
      </c>
      <c r="B1617" s="15" t="s">
        <v>3207</v>
      </c>
      <c r="C1617" s="16" t="s">
        <v>7</v>
      </c>
      <c r="D1617" s="12" t="str">
        <f>IFERROR(__xludf.DUMMYFUNCTION("IFS(
  REGEXMATCH(A1617&amp;B1617, ""(?i)openai|gpt|gemini|anthropic|claude|mistral|cohere|rag|vector|llm|chatbot|ai-powered""), ""AI &amp; LLM"",
  REGEXMATCH(A1617&amp;B1617, ""(?i)twitter|instagram|facebook|linkedin|youtube|tiktok|threads|bluesky|pinterest|social"&amp;" video|reels?|shorts?""), ""Social Media"",
  REGEXMATCH(A1617&amp;B1617, ""(?i)hubspot|pipedrive|stripe|shopify|woocommerce|sales|crm|invoice|order|leads?|recruitment|bamboohr|erpnext""), ""CRM &amp; Sales"",
  REGEXMATCH(A1617&amp;B1617, ""(?i)gmail|outlook|calenda"&amp;"r|slack|discord|telegram|whatsapp|notion|trello|drive|sheets?|meeting|scheduler|appointment|mattermost""), ""Productivity &amp; Communication"",
  REGEXMATCH(A1617&amp;B1617, ""(?i)github|api|webhook|http|mysql|supabase|mongodb|redis|rss|pr|code review|incident|p"&amp;"agerduty|jira""), ""Development &amp; Utilities"",
  TRUE, ""Others""
)"),"AI &amp; LLM")</f>
        <v>AI &amp; LLM</v>
      </c>
    </row>
    <row r="1618" ht="15.75" customHeight="1">
      <c r="A1618" s="14" t="s">
        <v>3208</v>
      </c>
      <c r="B1618" s="15" t="s">
        <v>3209</v>
      </c>
      <c r="C1618" s="16" t="s">
        <v>7</v>
      </c>
      <c r="D1618" s="12" t="str">
        <f>IFERROR(__xludf.DUMMYFUNCTION("IFS(
  REGEXMATCH(A1618&amp;B1618, ""(?i)openai|gpt|gemini|anthropic|claude|mistral|cohere|rag|vector|llm|chatbot|ai-powered""), ""AI &amp; LLM"",
  REGEXMATCH(A1618&amp;B1618, ""(?i)twitter|instagram|facebook|linkedin|youtube|tiktok|threads|bluesky|pinterest|social"&amp;" video|reels?|shorts?""), ""Social Media"",
  REGEXMATCH(A1618&amp;B1618, ""(?i)hubspot|pipedrive|stripe|shopify|woocommerce|sales|crm|invoice|order|leads?|recruitment|bamboohr|erpnext""), ""CRM &amp; Sales"",
  REGEXMATCH(A1618&amp;B1618, ""(?i)gmail|outlook|calenda"&amp;"r|slack|discord|telegram|whatsapp|notion|trello|drive|sheets?|meeting|scheduler|appointment|mattermost""), ""Productivity &amp; Communication"",
  REGEXMATCH(A1618&amp;B1618, ""(?i)github|api|webhook|http|mysql|supabase|mongodb|redis|rss|pr|code review|incident|p"&amp;"agerduty|jira""), ""Development &amp; Utilities"",
  TRUE, ""Others""
)"),"Development &amp; Utilities")</f>
        <v>Development &amp; Utilities</v>
      </c>
    </row>
    <row r="1619" ht="15.75" customHeight="1">
      <c r="A1619" s="14" t="s">
        <v>3210</v>
      </c>
      <c r="B1619" s="15" t="s">
        <v>3211</v>
      </c>
      <c r="C1619" s="16" t="s">
        <v>7</v>
      </c>
      <c r="D1619" s="12" t="str">
        <f>IFERROR(__xludf.DUMMYFUNCTION("IFS(
  REGEXMATCH(A1619&amp;B1619, ""(?i)openai|gpt|gemini|anthropic|claude|mistral|cohere|rag|vector|llm|chatbot|ai-powered""), ""AI &amp; LLM"",
  REGEXMATCH(A1619&amp;B1619, ""(?i)twitter|instagram|facebook|linkedin|youtube|tiktok|threads|bluesky|pinterest|social"&amp;" video|reels?|shorts?""), ""Social Media"",
  REGEXMATCH(A1619&amp;B1619, ""(?i)hubspot|pipedrive|stripe|shopify|woocommerce|sales|crm|invoice|order|leads?|recruitment|bamboohr|erpnext""), ""CRM &amp; Sales"",
  REGEXMATCH(A1619&amp;B1619, ""(?i)gmail|outlook|calenda"&amp;"r|slack|discord|telegram|whatsapp|notion|trello|drive|sheets?|meeting|scheduler|appointment|mattermost""), ""Productivity &amp; Communication"",
  REGEXMATCH(A1619&amp;B1619, ""(?i)github|api|webhook|http|mysql|supabase|mongodb|redis|rss|pr|code review|incident|p"&amp;"agerduty|jira""), ""Development &amp; Utilities"",
  TRUE, ""Others""
)"),"Development &amp; Utilities")</f>
        <v>Development &amp; Utilities</v>
      </c>
    </row>
    <row r="1620" ht="15.75" customHeight="1">
      <c r="A1620" s="14" t="s">
        <v>3212</v>
      </c>
      <c r="B1620" s="15" t="s">
        <v>3213</v>
      </c>
      <c r="C1620" s="16" t="s">
        <v>7</v>
      </c>
      <c r="D1620" s="12" t="str">
        <f>IFERROR(__xludf.DUMMYFUNCTION("IFS(
  REGEXMATCH(A1620&amp;B1620, ""(?i)openai|gpt|gemini|anthropic|claude|mistral|cohere|rag|vector|llm|chatbot|ai-powered""), ""AI &amp; LLM"",
  REGEXMATCH(A1620&amp;B1620, ""(?i)twitter|instagram|facebook|linkedin|youtube|tiktok|threads|bluesky|pinterest|social"&amp;" video|reels?|shorts?""), ""Social Media"",
  REGEXMATCH(A1620&amp;B1620, ""(?i)hubspot|pipedrive|stripe|shopify|woocommerce|sales|crm|invoice|order|leads?|recruitment|bamboohr|erpnext""), ""CRM &amp; Sales"",
  REGEXMATCH(A1620&amp;B1620, ""(?i)gmail|outlook|calenda"&amp;"r|slack|discord|telegram|whatsapp|notion|trello|drive|sheets?|meeting|scheduler|appointment|mattermost""), ""Productivity &amp; Communication"",
  REGEXMATCH(A1620&amp;B1620, ""(?i)github|api|webhook|http|mysql|supabase|mongodb|redis|rss|pr|code review|incident|p"&amp;"agerduty|jira""), ""Development &amp; Utilities"",
  TRUE, ""Others""
)"),"Development &amp; Utilities")</f>
        <v>Development &amp; Utilities</v>
      </c>
    </row>
    <row r="1621" ht="15.75" customHeight="1">
      <c r="A1621" s="14" t="s">
        <v>3214</v>
      </c>
      <c r="B1621" s="15" t="s">
        <v>3215</v>
      </c>
      <c r="C1621" s="16" t="s">
        <v>7</v>
      </c>
      <c r="D1621" s="12" t="str">
        <f>IFERROR(__xludf.DUMMYFUNCTION("IFS(
  REGEXMATCH(A1621&amp;B1621, ""(?i)openai|gpt|gemini|anthropic|claude|mistral|cohere|rag|vector|llm|chatbot|ai-powered""), ""AI &amp; LLM"",
  REGEXMATCH(A1621&amp;B1621, ""(?i)twitter|instagram|facebook|linkedin|youtube|tiktok|threads|bluesky|pinterest|social"&amp;" video|reels?|shorts?""), ""Social Media"",
  REGEXMATCH(A1621&amp;B1621, ""(?i)hubspot|pipedrive|stripe|shopify|woocommerce|sales|crm|invoice|order|leads?|recruitment|bamboohr|erpnext""), ""CRM &amp; Sales"",
  REGEXMATCH(A1621&amp;B1621, ""(?i)gmail|outlook|calenda"&amp;"r|slack|discord|telegram|whatsapp|notion|trello|drive|sheets?|meeting|scheduler|appointment|mattermost""), ""Productivity &amp; Communication"",
  REGEXMATCH(A1621&amp;B1621, ""(?i)github|api|webhook|http|mysql|supabase|mongodb|redis|rss|pr|code review|incident|p"&amp;"agerduty|jira""), ""Development &amp; Utilities"",
  TRUE, ""Others""
)"),"Development &amp; Utilities")</f>
        <v>Development &amp; Utilities</v>
      </c>
    </row>
    <row r="1622" ht="15.75" customHeight="1">
      <c r="A1622" s="14" t="s">
        <v>3216</v>
      </c>
      <c r="B1622" s="15" t="s">
        <v>3217</v>
      </c>
      <c r="C1622" s="16" t="s">
        <v>7</v>
      </c>
      <c r="D1622" s="12" t="str">
        <f>IFERROR(__xludf.DUMMYFUNCTION("IFS(
  REGEXMATCH(A1622&amp;B1622, ""(?i)openai|gpt|gemini|anthropic|claude|mistral|cohere|rag|vector|llm|chatbot|ai-powered""), ""AI &amp; LLM"",
  REGEXMATCH(A1622&amp;B1622, ""(?i)twitter|instagram|facebook|linkedin|youtube|tiktok|threads|bluesky|pinterest|social"&amp;" video|reels?|shorts?""), ""Social Media"",
  REGEXMATCH(A1622&amp;B1622, ""(?i)hubspot|pipedrive|stripe|shopify|woocommerce|sales|crm|invoice|order|leads?|recruitment|bamboohr|erpnext""), ""CRM &amp; Sales"",
  REGEXMATCH(A1622&amp;B1622, ""(?i)gmail|outlook|calenda"&amp;"r|slack|discord|telegram|whatsapp|notion|trello|drive|sheets?|meeting|scheduler|appointment|mattermost""), ""Productivity &amp; Communication"",
  REGEXMATCH(A1622&amp;B1622, ""(?i)github|api|webhook|http|mysql|supabase|mongodb|redis|rss|pr|code review|incident|p"&amp;"agerduty|jira""), ""Development &amp; Utilities"",
  TRUE, ""Others""
)"),"AI &amp; LLM")</f>
        <v>AI &amp; LLM</v>
      </c>
    </row>
    <row r="1623" ht="15.75" customHeight="1">
      <c r="A1623" s="14" t="s">
        <v>3218</v>
      </c>
      <c r="B1623" s="15" t="s">
        <v>3219</v>
      </c>
      <c r="C1623" s="16" t="s">
        <v>7</v>
      </c>
      <c r="D1623" s="12" t="str">
        <f>IFERROR(__xludf.DUMMYFUNCTION("IFS(
  REGEXMATCH(A1623&amp;B1623, ""(?i)openai|gpt|gemini|anthropic|claude|mistral|cohere|rag|vector|llm|chatbot|ai-powered""), ""AI &amp; LLM"",
  REGEXMATCH(A1623&amp;B1623, ""(?i)twitter|instagram|facebook|linkedin|youtube|tiktok|threads|bluesky|pinterest|social"&amp;" video|reels?|shorts?""), ""Social Media"",
  REGEXMATCH(A1623&amp;B1623, ""(?i)hubspot|pipedrive|stripe|shopify|woocommerce|sales|crm|invoice|order|leads?|recruitment|bamboohr|erpnext""), ""CRM &amp; Sales"",
  REGEXMATCH(A1623&amp;B1623, ""(?i)gmail|outlook|calenda"&amp;"r|slack|discord|telegram|whatsapp|notion|trello|drive|sheets?|meeting|scheduler|appointment|mattermost""), ""Productivity &amp; Communication"",
  REGEXMATCH(A1623&amp;B1623, ""(?i)github|api|webhook|http|mysql|supabase|mongodb|redis|rss|pr|code review|incident|p"&amp;"agerduty|jira""), ""Development &amp; Utilities"",
  TRUE, ""Others""
)"),"Development &amp; Utilities")</f>
        <v>Development &amp; Utilities</v>
      </c>
    </row>
    <row r="1624" ht="15.75" customHeight="1">
      <c r="A1624" s="14" t="s">
        <v>3220</v>
      </c>
      <c r="B1624" s="15" t="s">
        <v>3221</v>
      </c>
      <c r="C1624" s="16" t="s">
        <v>7</v>
      </c>
      <c r="D1624" s="12" t="str">
        <f>IFERROR(__xludf.DUMMYFUNCTION("IFS(
  REGEXMATCH(A1624&amp;B1624, ""(?i)openai|gpt|gemini|anthropic|claude|mistral|cohere|rag|vector|llm|chatbot|ai-powered""), ""AI &amp; LLM"",
  REGEXMATCH(A1624&amp;B1624, ""(?i)twitter|instagram|facebook|linkedin|youtube|tiktok|threads|bluesky|pinterest|social"&amp;" video|reels?|shorts?""), ""Social Media"",
  REGEXMATCH(A1624&amp;B1624, ""(?i)hubspot|pipedrive|stripe|shopify|woocommerce|sales|crm|invoice|order|leads?|recruitment|bamboohr|erpnext""), ""CRM &amp; Sales"",
  REGEXMATCH(A1624&amp;B1624, ""(?i)gmail|outlook|calenda"&amp;"r|slack|discord|telegram|whatsapp|notion|trello|drive|sheets?|meeting|scheduler|appointment|mattermost""), ""Productivity &amp; Communication"",
  REGEXMATCH(A1624&amp;B1624, ""(?i)github|api|webhook|http|mysql|supabase|mongodb|redis|rss|pr|code review|incident|p"&amp;"agerduty|jira""), ""Development &amp; Utilities"",
  TRUE, ""Others""
)"),"Productivity &amp; Communication")</f>
        <v>Productivity &amp; Communication</v>
      </c>
    </row>
    <row r="1625" ht="15.75" customHeight="1">
      <c r="A1625" s="14" t="s">
        <v>3222</v>
      </c>
      <c r="B1625" s="15" t="s">
        <v>3223</v>
      </c>
      <c r="C1625" s="16" t="s">
        <v>7</v>
      </c>
      <c r="D1625" s="12" t="str">
        <f>IFERROR(__xludf.DUMMYFUNCTION("IFS(
  REGEXMATCH(A1625&amp;B1625, ""(?i)openai|gpt|gemini|anthropic|claude|mistral|cohere|rag|vector|llm|chatbot|ai-powered""), ""AI &amp; LLM"",
  REGEXMATCH(A1625&amp;B1625, ""(?i)twitter|instagram|facebook|linkedin|youtube|tiktok|threads|bluesky|pinterest|social"&amp;" video|reels?|shorts?""), ""Social Media"",
  REGEXMATCH(A1625&amp;B1625, ""(?i)hubspot|pipedrive|stripe|shopify|woocommerce|sales|crm|invoice|order|leads?|recruitment|bamboohr|erpnext""), ""CRM &amp; Sales"",
  REGEXMATCH(A1625&amp;B1625, ""(?i)gmail|outlook|calenda"&amp;"r|slack|discord|telegram|whatsapp|notion|trello|drive|sheets?|meeting|scheduler|appointment|mattermost""), ""Productivity &amp; Communication"",
  REGEXMATCH(A1625&amp;B1625, ""(?i)github|api|webhook|http|mysql|supabase|mongodb|redis|rss|pr|code review|incident|p"&amp;"agerduty|jira""), ""Development &amp; Utilities"",
  TRUE, ""Others""
)"),"Development &amp; Utilities")</f>
        <v>Development &amp; Utilities</v>
      </c>
    </row>
    <row r="1626" ht="15.75" customHeight="1">
      <c r="A1626" s="14" t="s">
        <v>3224</v>
      </c>
      <c r="B1626" s="15" t="s">
        <v>3225</v>
      </c>
      <c r="C1626" s="16" t="s">
        <v>7</v>
      </c>
      <c r="D1626" s="12" t="str">
        <f>IFERROR(__xludf.DUMMYFUNCTION("IFS(
  REGEXMATCH(A1626&amp;B1626, ""(?i)openai|gpt|gemini|anthropic|claude|mistral|cohere|rag|vector|llm|chatbot|ai-powered""), ""AI &amp; LLM"",
  REGEXMATCH(A1626&amp;B1626, ""(?i)twitter|instagram|facebook|linkedin|youtube|tiktok|threads|bluesky|pinterest|social"&amp;" video|reels?|shorts?""), ""Social Media"",
  REGEXMATCH(A1626&amp;B1626, ""(?i)hubspot|pipedrive|stripe|shopify|woocommerce|sales|crm|invoice|order|leads?|recruitment|bamboohr|erpnext""), ""CRM &amp; Sales"",
  REGEXMATCH(A1626&amp;B1626, ""(?i)gmail|outlook|calenda"&amp;"r|slack|discord|telegram|whatsapp|notion|trello|drive|sheets?|meeting|scheduler|appointment|mattermost""), ""Productivity &amp; Communication"",
  REGEXMATCH(A1626&amp;B1626, ""(?i)github|api|webhook|http|mysql|supabase|mongodb|redis|rss|pr|code review|incident|p"&amp;"agerduty|jira""), ""Development &amp; Utilities"",
  TRUE, ""Others""
)"),"AI &amp; LLM")</f>
        <v>AI &amp; LLM</v>
      </c>
    </row>
    <row r="1627" ht="15.75" customHeight="1">
      <c r="A1627" s="14" t="s">
        <v>3226</v>
      </c>
      <c r="B1627" s="15" t="s">
        <v>3227</v>
      </c>
      <c r="C1627" s="16" t="s">
        <v>7</v>
      </c>
      <c r="D1627" s="12" t="str">
        <f>IFERROR(__xludf.DUMMYFUNCTION("IFS(
  REGEXMATCH(A1627&amp;B1627, ""(?i)openai|gpt|gemini|anthropic|claude|mistral|cohere|rag|vector|llm|chatbot|ai-powered""), ""AI &amp; LLM"",
  REGEXMATCH(A1627&amp;B1627, ""(?i)twitter|instagram|facebook|linkedin|youtube|tiktok|threads|bluesky|pinterest|social"&amp;" video|reels?|shorts?""), ""Social Media"",
  REGEXMATCH(A1627&amp;B1627, ""(?i)hubspot|pipedrive|stripe|shopify|woocommerce|sales|crm|invoice|order|leads?|recruitment|bamboohr|erpnext""), ""CRM &amp; Sales"",
  REGEXMATCH(A1627&amp;B1627, ""(?i)gmail|outlook|calenda"&amp;"r|slack|discord|telegram|whatsapp|notion|trello|drive|sheets?|meeting|scheduler|appointment|mattermost""), ""Productivity &amp; Communication"",
  REGEXMATCH(A1627&amp;B1627, ""(?i)github|api|webhook|http|mysql|supabase|mongodb|redis|rss|pr|code review|incident|p"&amp;"agerduty|jira""), ""Development &amp; Utilities"",
  TRUE, ""Others""
)"),"AI &amp; LLM")</f>
        <v>AI &amp; LLM</v>
      </c>
    </row>
    <row r="1628" ht="15.75" customHeight="1">
      <c r="A1628" s="14" t="s">
        <v>3228</v>
      </c>
      <c r="B1628" s="15" t="s">
        <v>3229</v>
      </c>
      <c r="C1628" s="16" t="s">
        <v>7</v>
      </c>
      <c r="D1628" s="12" t="str">
        <f>IFERROR(__xludf.DUMMYFUNCTION("IFS(
  REGEXMATCH(A1628&amp;B1628, ""(?i)openai|gpt|gemini|anthropic|claude|mistral|cohere|rag|vector|llm|chatbot|ai-powered""), ""AI &amp; LLM"",
  REGEXMATCH(A1628&amp;B1628, ""(?i)twitter|instagram|facebook|linkedin|youtube|tiktok|threads|bluesky|pinterest|social"&amp;" video|reels?|shorts?""), ""Social Media"",
  REGEXMATCH(A1628&amp;B1628, ""(?i)hubspot|pipedrive|stripe|shopify|woocommerce|sales|crm|invoice|order|leads?|recruitment|bamboohr|erpnext""), ""CRM &amp; Sales"",
  REGEXMATCH(A1628&amp;B1628, ""(?i)gmail|outlook|calenda"&amp;"r|slack|discord|telegram|whatsapp|notion|trello|drive|sheets?|meeting|scheduler|appointment|mattermost""), ""Productivity &amp; Communication"",
  REGEXMATCH(A1628&amp;B1628, ""(?i)github|api|webhook|http|mysql|supabase|mongodb|redis|rss|pr|code review|incident|p"&amp;"agerduty|jira""), ""Development &amp; Utilities"",
  TRUE, ""Others""
)"),"Development &amp; Utilities")</f>
        <v>Development &amp; Utilities</v>
      </c>
    </row>
    <row r="1629" ht="15.75" customHeight="1">
      <c r="A1629" s="14" t="s">
        <v>2971</v>
      </c>
      <c r="B1629" s="15" t="s">
        <v>3230</v>
      </c>
      <c r="C1629" s="16" t="s">
        <v>7</v>
      </c>
      <c r="D1629" s="12" t="str">
        <f>IFERROR(__xludf.DUMMYFUNCTION("IFS(
  REGEXMATCH(A1629&amp;B1629, ""(?i)openai|gpt|gemini|anthropic|claude|mistral|cohere|rag|vector|llm|chatbot|ai-powered""), ""AI &amp; LLM"",
  REGEXMATCH(A1629&amp;B1629, ""(?i)twitter|instagram|facebook|linkedin|youtube|tiktok|threads|bluesky|pinterest|social"&amp;" video|reels?|shorts?""), ""Social Media"",
  REGEXMATCH(A1629&amp;B1629, ""(?i)hubspot|pipedrive|stripe|shopify|woocommerce|sales|crm|invoice|order|leads?|recruitment|bamboohr|erpnext""), ""CRM &amp; Sales"",
  REGEXMATCH(A1629&amp;B1629, ""(?i)gmail|outlook|calenda"&amp;"r|slack|discord|telegram|whatsapp|notion|trello|drive|sheets?|meeting|scheduler|appointment|mattermost""), ""Productivity &amp; Communication"",
  REGEXMATCH(A1629&amp;B1629, ""(?i)github|api|webhook|http|mysql|supabase|mongodb|redis|rss|pr|code review|incident|p"&amp;"agerduty|jira""), ""Development &amp; Utilities"",
  TRUE, ""Others""
)"),"Productivity &amp; Communication")</f>
        <v>Productivity &amp; Communication</v>
      </c>
    </row>
    <row r="1630" ht="15.75" customHeight="1">
      <c r="A1630" s="14" t="s">
        <v>3231</v>
      </c>
      <c r="B1630" s="15" t="s">
        <v>3232</v>
      </c>
      <c r="C1630" s="16" t="s">
        <v>7</v>
      </c>
      <c r="D1630" s="12" t="str">
        <f>IFERROR(__xludf.DUMMYFUNCTION("IFS(
  REGEXMATCH(A1630&amp;B1630, ""(?i)openai|gpt|gemini|anthropic|claude|mistral|cohere|rag|vector|llm|chatbot|ai-powered""), ""AI &amp; LLM"",
  REGEXMATCH(A1630&amp;B1630, ""(?i)twitter|instagram|facebook|linkedin|youtube|tiktok|threads|bluesky|pinterest|social"&amp;" video|reels?|shorts?""), ""Social Media"",
  REGEXMATCH(A1630&amp;B1630, ""(?i)hubspot|pipedrive|stripe|shopify|woocommerce|sales|crm|invoice|order|leads?|recruitment|bamboohr|erpnext""), ""CRM &amp; Sales"",
  REGEXMATCH(A1630&amp;B1630, ""(?i)gmail|outlook|calenda"&amp;"r|slack|discord|telegram|whatsapp|notion|trello|drive|sheets?|meeting|scheduler|appointment|mattermost""), ""Productivity &amp; Communication"",
  REGEXMATCH(A1630&amp;B1630, ""(?i)github|api|webhook|http|mysql|supabase|mongodb|redis|rss|pr|code review|incident|p"&amp;"agerduty|jira""), ""Development &amp; Utilities"",
  TRUE, ""Others""
)"),"Development &amp; Utilities")</f>
        <v>Development &amp; Utilities</v>
      </c>
    </row>
    <row r="1631" ht="15.75" customHeight="1">
      <c r="A1631" s="14" t="s">
        <v>3233</v>
      </c>
      <c r="B1631" s="15" t="s">
        <v>3234</v>
      </c>
      <c r="C1631" s="16" t="s">
        <v>7</v>
      </c>
      <c r="D1631" s="12" t="str">
        <f>IFERROR(__xludf.DUMMYFUNCTION("IFS(
  REGEXMATCH(A1631&amp;B1631, ""(?i)openai|gpt|gemini|anthropic|claude|mistral|cohere|rag|vector|llm|chatbot|ai-powered""), ""AI &amp; LLM"",
  REGEXMATCH(A1631&amp;B1631, ""(?i)twitter|instagram|facebook|linkedin|youtube|tiktok|threads|bluesky|pinterest|social"&amp;" video|reels?|shorts?""), ""Social Media"",
  REGEXMATCH(A1631&amp;B1631, ""(?i)hubspot|pipedrive|stripe|shopify|woocommerce|sales|crm|invoice|order|leads?|recruitment|bamboohr|erpnext""), ""CRM &amp; Sales"",
  REGEXMATCH(A1631&amp;B1631, ""(?i)gmail|outlook|calenda"&amp;"r|slack|discord|telegram|whatsapp|notion|trello|drive|sheets?|meeting|scheduler|appointment|mattermost""), ""Productivity &amp; Communication"",
  REGEXMATCH(A1631&amp;B1631, ""(?i)github|api|webhook|http|mysql|supabase|mongodb|redis|rss|pr|code review|incident|p"&amp;"agerduty|jira""), ""Development &amp; Utilities"",
  TRUE, ""Others""
)"),"AI &amp; LLM")</f>
        <v>AI &amp; LLM</v>
      </c>
    </row>
    <row r="1632" ht="15.75" customHeight="1">
      <c r="A1632" s="14" t="s">
        <v>3235</v>
      </c>
      <c r="B1632" s="15" t="s">
        <v>3236</v>
      </c>
      <c r="C1632" s="16" t="s">
        <v>7</v>
      </c>
      <c r="D1632" s="12" t="str">
        <f>IFERROR(__xludf.DUMMYFUNCTION("IFS(
  REGEXMATCH(A1632&amp;B1632, ""(?i)openai|gpt|gemini|anthropic|claude|mistral|cohere|rag|vector|llm|chatbot|ai-powered""), ""AI &amp; LLM"",
  REGEXMATCH(A1632&amp;B1632, ""(?i)twitter|instagram|facebook|linkedin|youtube|tiktok|threads|bluesky|pinterest|social"&amp;" video|reels?|shorts?""), ""Social Media"",
  REGEXMATCH(A1632&amp;B1632, ""(?i)hubspot|pipedrive|stripe|shopify|woocommerce|sales|crm|invoice|order|leads?|recruitment|bamboohr|erpnext""), ""CRM &amp; Sales"",
  REGEXMATCH(A1632&amp;B1632, ""(?i)gmail|outlook|calenda"&amp;"r|slack|discord|telegram|whatsapp|notion|trello|drive|sheets?|meeting|scheduler|appointment|mattermost""), ""Productivity &amp; Communication"",
  REGEXMATCH(A1632&amp;B1632, ""(?i)github|api|webhook|http|mysql|supabase|mongodb|redis|rss|pr|code review|incident|p"&amp;"agerduty|jira""), ""Development &amp; Utilities"",
  TRUE, ""Others""
)"),"Social Media")</f>
        <v>Social Media</v>
      </c>
    </row>
    <row r="1633" ht="15.75" customHeight="1">
      <c r="A1633" s="14" t="s">
        <v>3237</v>
      </c>
      <c r="B1633" s="15" t="s">
        <v>3238</v>
      </c>
      <c r="C1633" s="16" t="s">
        <v>7</v>
      </c>
      <c r="D1633" s="12" t="str">
        <f>IFERROR(__xludf.DUMMYFUNCTION("IFS(
  REGEXMATCH(A1633&amp;B1633, ""(?i)openai|gpt|gemini|anthropic|claude|mistral|cohere|rag|vector|llm|chatbot|ai-powered""), ""AI &amp; LLM"",
  REGEXMATCH(A1633&amp;B1633, ""(?i)twitter|instagram|facebook|linkedin|youtube|tiktok|threads|bluesky|pinterest|social"&amp;" video|reels?|shorts?""), ""Social Media"",
  REGEXMATCH(A1633&amp;B1633, ""(?i)hubspot|pipedrive|stripe|shopify|woocommerce|sales|crm|invoice|order|leads?|recruitment|bamboohr|erpnext""), ""CRM &amp; Sales"",
  REGEXMATCH(A1633&amp;B1633, ""(?i)gmail|outlook|calenda"&amp;"r|slack|discord|telegram|whatsapp|notion|trello|drive|sheets?|meeting|scheduler|appointment|mattermost""), ""Productivity &amp; Communication"",
  REGEXMATCH(A1633&amp;B1633, ""(?i)github|api|webhook|http|mysql|supabase|mongodb|redis|rss|pr|code review|incident|p"&amp;"agerduty|jira""), ""Development &amp; Utilities"",
  TRUE, ""Others""
)"),"Others")</f>
        <v>Others</v>
      </c>
    </row>
    <row r="1634" ht="15.75" customHeight="1">
      <c r="A1634" s="14" t="s">
        <v>3239</v>
      </c>
      <c r="B1634" s="15" t="s">
        <v>3240</v>
      </c>
      <c r="C1634" s="16" t="s">
        <v>7</v>
      </c>
      <c r="D1634" s="12" t="str">
        <f>IFERROR(__xludf.DUMMYFUNCTION("IFS(
  REGEXMATCH(A1634&amp;B1634, ""(?i)openai|gpt|gemini|anthropic|claude|mistral|cohere|rag|vector|llm|chatbot|ai-powered""), ""AI &amp; LLM"",
  REGEXMATCH(A1634&amp;B1634, ""(?i)twitter|instagram|facebook|linkedin|youtube|tiktok|threads|bluesky|pinterest|social"&amp;" video|reels?|shorts?""), ""Social Media"",
  REGEXMATCH(A1634&amp;B1634, ""(?i)hubspot|pipedrive|stripe|shopify|woocommerce|sales|crm|invoice|order|leads?|recruitment|bamboohr|erpnext""), ""CRM &amp; Sales"",
  REGEXMATCH(A1634&amp;B1634, ""(?i)gmail|outlook|calenda"&amp;"r|slack|discord|telegram|whatsapp|notion|trello|drive|sheets?|meeting|scheduler|appointment|mattermost""), ""Productivity &amp; Communication"",
  REGEXMATCH(A1634&amp;B1634, ""(?i)github|api|webhook|http|mysql|supabase|mongodb|redis|rss|pr|code review|incident|p"&amp;"agerduty|jira""), ""Development &amp; Utilities"",
  TRUE, ""Others""
)"),"Productivity &amp; Communication")</f>
        <v>Productivity &amp; Communication</v>
      </c>
    </row>
    <row r="1635" ht="15.75" customHeight="1">
      <c r="A1635" s="14" t="s">
        <v>3241</v>
      </c>
      <c r="B1635" s="15" t="s">
        <v>3242</v>
      </c>
      <c r="C1635" s="16" t="s">
        <v>7</v>
      </c>
      <c r="D1635" s="12" t="str">
        <f>IFERROR(__xludf.DUMMYFUNCTION("IFS(
  REGEXMATCH(A1635&amp;B1635, ""(?i)openai|gpt|gemini|anthropic|claude|mistral|cohere|rag|vector|llm|chatbot|ai-powered""), ""AI &amp; LLM"",
  REGEXMATCH(A1635&amp;B1635, ""(?i)twitter|instagram|facebook|linkedin|youtube|tiktok|threads|bluesky|pinterest|social"&amp;" video|reels?|shorts?""), ""Social Media"",
  REGEXMATCH(A1635&amp;B1635, ""(?i)hubspot|pipedrive|stripe|shopify|woocommerce|sales|crm|invoice|order|leads?|recruitment|bamboohr|erpnext""), ""CRM &amp; Sales"",
  REGEXMATCH(A1635&amp;B1635, ""(?i)gmail|outlook|calenda"&amp;"r|slack|discord|telegram|whatsapp|notion|trello|drive|sheets?|meeting|scheduler|appointment|mattermost""), ""Productivity &amp; Communication"",
  REGEXMATCH(A1635&amp;B1635, ""(?i)github|api|webhook|http|mysql|supabase|mongodb|redis|rss|pr|code review|incident|p"&amp;"agerduty|jira""), ""Development &amp; Utilities"",
  TRUE, ""Others""
)"),"Productivity &amp; Communication")</f>
        <v>Productivity &amp; Communication</v>
      </c>
    </row>
    <row r="1636" ht="15.75" customHeight="1">
      <c r="A1636" s="14" t="s">
        <v>3243</v>
      </c>
      <c r="B1636" s="15" t="s">
        <v>3244</v>
      </c>
      <c r="C1636" s="16" t="s">
        <v>7</v>
      </c>
      <c r="D1636" s="12" t="str">
        <f>IFERROR(__xludf.DUMMYFUNCTION("IFS(
  REGEXMATCH(A1636&amp;B1636, ""(?i)openai|gpt|gemini|anthropic|claude|mistral|cohere|rag|vector|llm|chatbot|ai-powered""), ""AI &amp; LLM"",
  REGEXMATCH(A1636&amp;B1636, ""(?i)twitter|instagram|facebook|linkedin|youtube|tiktok|threads|bluesky|pinterest|social"&amp;" video|reels?|shorts?""), ""Social Media"",
  REGEXMATCH(A1636&amp;B1636, ""(?i)hubspot|pipedrive|stripe|shopify|woocommerce|sales|crm|invoice|order|leads?|recruitment|bamboohr|erpnext""), ""CRM &amp; Sales"",
  REGEXMATCH(A1636&amp;B1636, ""(?i)gmail|outlook|calenda"&amp;"r|slack|discord|telegram|whatsapp|notion|trello|drive|sheets?|meeting|scheduler|appointment|mattermost""), ""Productivity &amp; Communication"",
  REGEXMATCH(A1636&amp;B1636, ""(?i)github|api|webhook|http|mysql|supabase|mongodb|redis|rss|pr|code review|incident|p"&amp;"agerduty|jira""), ""Development &amp; Utilities"",
  TRUE, ""Others""
)"),"Development &amp; Utilities")</f>
        <v>Development &amp; Utilities</v>
      </c>
    </row>
    <row r="1637" ht="15.75" customHeight="1">
      <c r="A1637" s="14" t="s">
        <v>3245</v>
      </c>
      <c r="B1637" s="15" t="s">
        <v>3246</v>
      </c>
      <c r="C1637" s="16" t="s">
        <v>7</v>
      </c>
      <c r="D1637" s="12" t="str">
        <f>IFERROR(__xludf.DUMMYFUNCTION("IFS(
  REGEXMATCH(A1637&amp;B1637, ""(?i)openai|gpt|gemini|anthropic|claude|mistral|cohere|rag|vector|llm|chatbot|ai-powered""), ""AI &amp; LLM"",
  REGEXMATCH(A1637&amp;B1637, ""(?i)twitter|instagram|facebook|linkedin|youtube|tiktok|threads|bluesky|pinterest|social"&amp;" video|reels?|shorts?""), ""Social Media"",
  REGEXMATCH(A1637&amp;B1637, ""(?i)hubspot|pipedrive|stripe|shopify|woocommerce|sales|crm|invoice|order|leads?|recruitment|bamboohr|erpnext""), ""CRM &amp; Sales"",
  REGEXMATCH(A1637&amp;B1637, ""(?i)gmail|outlook|calenda"&amp;"r|slack|discord|telegram|whatsapp|notion|trello|drive|sheets?|meeting|scheduler|appointment|mattermost""), ""Productivity &amp; Communication"",
  REGEXMATCH(A1637&amp;B1637, ""(?i)github|api|webhook|http|mysql|supabase|mongodb|redis|rss|pr|code review|incident|p"&amp;"agerduty|jira""), ""Development &amp; Utilities"",
  TRUE, ""Others""
)"),"Development &amp; Utilities")</f>
        <v>Development &amp; Utilities</v>
      </c>
    </row>
    <row r="1638" ht="15.75" customHeight="1">
      <c r="A1638" s="14" t="s">
        <v>3247</v>
      </c>
      <c r="B1638" s="15" t="s">
        <v>3248</v>
      </c>
      <c r="C1638" s="16" t="s">
        <v>7</v>
      </c>
      <c r="D1638" s="12" t="str">
        <f>IFERROR(__xludf.DUMMYFUNCTION("IFS(
  REGEXMATCH(A1638&amp;B1638, ""(?i)openai|gpt|gemini|anthropic|claude|mistral|cohere|rag|vector|llm|chatbot|ai-powered""), ""AI &amp; LLM"",
  REGEXMATCH(A1638&amp;B1638, ""(?i)twitter|instagram|facebook|linkedin|youtube|tiktok|threads|bluesky|pinterest|social"&amp;" video|reels?|shorts?""), ""Social Media"",
  REGEXMATCH(A1638&amp;B1638, ""(?i)hubspot|pipedrive|stripe|shopify|woocommerce|sales|crm|invoice|order|leads?|recruitment|bamboohr|erpnext""), ""CRM &amp; Sales"",
  REGEXMATCH(A1638&amp;B1638, ""(?i)gmail|outlook|calenda"&amp;"r|slack|discord|telegram|whatsapp|notion|trello|drive|sheets?|meeting|scheduler|appointment|mattermost""), ""Productivity &amp; Communication"",
  REGEXMATCH(A1638&amp;B1638, ""(?i)github|api|webhook|http|mysql|supabase|mongodb|redis|rss|pr|code review|incident|p"&amp;"agerduty|jira""), ""Development &amp; Utilities"",
  TRUE, ""Others""
)"),"Development &amp; Utilities")</f>
        <v>Development &amp; Utilities</v>
      </c>
    </row>
    <row r="1639" ht="15.75" customHeight="1">
      <c r="A1639" s="14" t="s">
        <v>3249</v>
      </c>
      <c r="B1639" s="15" t="s">
        <v>3250</v>
      </c>
      <c r="C1639" s="16" t="s">
        <v>7</v>
      </c>
      <c r="D1639" s="12" t="str">
        <f>IFERROR(__xludf.DUMMYFUNCTION("IFS(
  REGEXMATCH(A1639&amp;B1639, ""(?i)openai|gpt|gemini|anthropic|claude|mistral|cohere|rag|vector|llm|chatbot|ai-powered""), ""AI &amp; LLM"",
  REGEXMATCH(A1639&amp;B1639, ""(?i)twitter|instagram|facebook|linkedin|youtube|tiktok|threads|bluesky|pinterest|social"&amp;" video|reels?|shorts?""), ""Social Media"",
  REGEXMATCH(A1639&amp;B1639, ""(?i)hubspot|pipedrive|stripe|shopify|woocommerce|sales|crm|invoice|order|leads?|recruitment|bamboohr|erpnext""), ""CRM &amp; Sales"",
  REGEXMATCH(A1639&amp;B1639, ""(?i)gmail|outlook|calenda"&amp;"r|slack|discord|telegram|whatsapp|notion|trello|drive|sheets?|meeting|scheduler|appointment|mattermost""), ""Productivity &amp; Communication"",
  REGEXMATCH(A1639&amp;B1639, ""(?i)github|api|webhook|http|mysql|supabase|mongodb|redis|rss|pr|code review|incident|p"&amp;"agerduty|jira""), ""Development &amp; Utilities"",
  TRUE, ""Others""
)"),"Productivity &amp; Communication")</f>
        <v>Productivity &amp; Communication</v>
      </c>
    </row>
    <row r="1640" ht="15.75" customHeight="1">
      <c r="A1640" s="14" t="s">
        <v>3251</v>
      </c>
      <c r="B1640" s="15" t="s">
        <v>3252</v>
      </c>
      <c r="C1640" s="16" t="s">
        <v>7</v>
      </c>
      <c r="D1640" s="12" t="str">
        <f>IFERROR(__xludf.DUMMYFUNCTION("IFS(
  REGEXMATCH(A1640&amp;B1640, ""(?i)openai|gpt|gemini|anthropic|claude|mistral|cohere|rag|vector|llm|chatbot|ai-powered""), ""AI &amp; LLM"",
  REGEXMATCH(A1640&amp;B1640, ""(?i)twitter|instagram|facebook|linkedin|youtube|tiktok|threads|bluesky|pinterest|social"&amp;" video|reels?|shorts?""), ""Social Media"",
  REGEXMATCH(A1640&amp;B1640, ""(?i)hubspot|pipedrive|stripe|shopify|woocommerce|sales|crm|invoice|order|leads?|recruitment|bamboohr|erpnext""), ""CRM &amp; Sales"",
  REGEXMATCH(A1640&amp;B1640, ""(?i)gmail|outlook|calenda"&amp;"r|slack|discord|telegram|whatsapp|notion|trello|drive|sheets?|meeting|scheduler|appointment|mattermost""), ""Productivity &amp; Communication"",
  REGEXMATCH(A1640&amp;B1640, ""(?i)github|api|webhook|http|mysql|supabase|mongodb|redis|rss|pr|code review|incident|p"&amp;"agerduty|jira""), ""Development &amp; Utilities"",
  TRUE, ""Others""
)"),"Productivity &amp; Communication")</f>
        <v>Productivity &amp; Communication</v>
      </c>
    </row>
    <row r="1641" ht="15.75" customHeight="1">
      <c r="A1641" s="14" t="s">
        <v>3253</v>
      </c>
      <c r="B1641" s="15" t="s">
        <v>3254</v>
      </c>
      <c r="C1641" s="16" t="s">
        <v>7</v>
      </c>
      <c r="D1641" s="12" t="str">
        <f>IFERROR(__xludf.DUMMYFUNCTION("IFS(
  REGEXMATCH(A1641&amp;B1641, ""(?i)openai|gpt|gemini|anthropic|claude|mistral|cohere|rag|vector|llm|chatbot|ai-powered""), ""AI &amp; LLM"",
  REGEXMATCH(A1641&amp;B1641, ""(?i)twitter|instagram|facebook|linkedin|youtube|tiktok|threads|bluesky|pinterest|social"&amp;" video|reels?|shorts?""), ""Social Media"",
  REGEXMATCH(A1641&amp;B1641, ""(?i)hubspot|pipedrive|stripe|shopify|woocommerce|sales|crm|invoice|order|leads?|recruitment|bamboohr|erpnext""), ""CRM &amp; Sales"",
  REGEXMATCH(A1641&amp;B1641, ""(?i)gmail|outlook|calenda"&amp;"r|slack|discord|telegram|whatsapp|notion|trello|drive|sheets?|meeting|scheduler|appointment|mattermost""), ""Productivity &amp; Communication"",
  REGEXMATCH(A1641&amp;B1641, ""(?i)github|api|webhook|http|mysql|supabase|mongodb|redis|rss|pr|code review|incident|p"&amp;"agerduty|jira""), ""Development &amp; Utilities"",
  TRUE, ""Others""
)"),"Productivity &amp; Communication")</f>
        <v>Productivity &amp; Communication</v>
      </c>
    </row>
    <row r="1642" ht="15.75" customHeight="1">
      <c r="A1642" s="14" t="s">
        <v>3255</v>
      </c>
      <c r="B1642" s="15" t="s">
        <v>3256</v>
      </c>
      <c r="C1642" s="16" t="s">
        <v>7</v>
      </c>
      <c r="D1642" s="12" t="str">
        <f>IFERROR(__xludf.DUMMYFUNCTION("IFS(
  REGEXMATCH(A1642&amp;B1642, ""(?i)openai|gpt|gemini|anthropic|claude|mistral|cohere|rag|vector|llm|chatbot|ai-powered""), ""AI &amp; LLM"",
  REGEXMATCH(A1642&amp;B1642, ""(?i)twitter|instagram|facebook|linkedin|youtube|tiktok|threads|bluesky|pinterest|social"&amp;" video|reels?|shorts?""), ""Social Media"",
  REGEXMATCH(A1642&amp;B1642, ""(?i)hubspot|pipedrive|stripe|shopify|woocommerce|sales|crm|invoice|order|leads?|recruitment|bamboohr|erpnext""), ""CRM &amp; Sales"",
  REGEXMATCH(A1642&amp;B1642, ""(?i)gmail|outlook|calenda"&amp;"r|slack|discord|telegram|whatsapp|notion|trello|drive|sheets?|meeting|scheduler|appointment|mattermost""), ""Productivity &amp; Communication"",
  REGEXMATCH(A1642&amp;B1642, ""(?i)github|api|webhook|http|mysql|supabase|mongodb|redis|rss|pr|code review|incident|p"&amp;"agerduty|jira""), ""Development &amp; Utilities"",
  TRUE, ""Others""
)"),"Development &amp; Utilities")</f>
        <v>Development &amp; Utilities</v>
      </c>
    </row>
    <row r="1643" ht="15.75" customHeight="1">
      <c r="A1643" s="14" t="s">
        <v>3257</v>
      </c>
      <c r="B1643" s="15" t="s">
        <v>3258</v>
      </c>
      <c r="C1643" s="16" t="s">
        <v>7</v>
      </c>
      <c r="D1643" s="12" t="str">
        <f>IFERROR(__xludf.DUMMYFUNCTION("IFS(
  REGEXMATCH(A1643&amp;B1643, ""(?i)openai|gpt|gemini|anthropic|claude|mistral|cohere|rag|vector|llm|chatbot|ai-powered""), ""AI &amp; LLM"",
  REGEXMATCH(A1643&amp;B1643, ""(?i)twitter|instagram|facebook|linkedin|youtube|tiktok|threads|bluesky|pinterest|social"&amp;" video|reels?|shorts?""), ""Social Media"",
  REGEXMATCH(A1643&amp;B1643, ""(?i)hubspot|pipedrive|stripe|shopify|woocommerce|sales|crm|invoice|order|leads?|recruitment|bamboohr|erpnext""), ""CRM &amp; Sales"",
  REGEXMATCH(A1643&amp;B1643, ""(?i)gmail|outlook|calenda"&amp;"r|slack|discord|telegram|whatsapp|notion|trello|drive|sheets?|meeting|scheduler|appointment|mattermost""), ""Productivity &amp; Communication"",
  REGEXMATCH(A1643&amp;B1643, ""(?i)github|api|webhook|http|mysql|supabase|mongodb|redis|rss|pr|code review|incident|p"&amp;"agerduty|jira""), ""Development &amp; Utilities"",
  TRUE, ""Others""
)"),"Development &amp; Utilities")</f>
        <v>Development &amp; Utilities</v>
      </c>
    </row>
    <row r="1644" ht="15.75" customHeight="1">
      <c r="A1644" s="14" t="s">
        <v>3259</v>
      </c>
      <c r="B1644" s="15" t="s">
        <v>3260</v>
      </c>
      <c r="C1644" s="16" t="s">
        <v>7</v>
      </c>
      <c r="D1644" s="12" t="str">
        <f>IFERROR(__xludf.DUMMYFUNCTION("IFS(
  REGEXMATCH(A1644&amp;B1644, ""(?i)openai|gpt|gemini|anthropic|claude|mistral|cohere|rag|vector|llm|chatbot|ai-powered""), ""AI &amp; LLM"",
  REGEXMATCH(A1644&amp;B1644, ""(?i)twitter|instagram|facebook|linkedin|youtube|tiktok|threads|bluesky|pinterest|social"&amp;" video|reels?|shorts?""), ""Social Media"",
  REGEXMATCH(A1644&amp;B1644, ""(?i)hubspot|pipedrive|stripe|shopify|woocommerce|sales|crm|invoice|order|leads?|recruitment|bamboohr|erpnext""), ""CRM &amp; Sales"",
  REGEXMATCH(A1644&amp;B1644, ""(?i)gmail|outlook|calenda"&amp;"r|slack|discord|telegram|whatsapp|notion|trello|drive|sheets?|meeting|scheduler|appointment|mattermost""), ""Productivity &amp; Communication"",
  REGEXMATCH(A1644&amp;B1644, ""(?i)github|api|webhook|http|mysql|supabase|mongodb|redis|rss|pr|code review|incident|p"&amp;"agerduty|jira""), ""Development &amp; Utilities"",
  TRUE, ""Others""
)"),"Productivity &amp; Communication")</f>
        <v>Productivity &amp; Communication</v>
      </c>
    </row>
    <row r="1645" ht="15.75" customHeight="1">
      <c r="A1645" s="14" t="s">
        <v>3261</v>
      </c>
      <c r="B1645" s="15" t="s">
        <v>3262</v>
      </c>
      <c r="C1645" s="16" t="s">
        <v>7</v>
      </c>
      <c r="D1645" s="12" t="str">
        <f>IFERROR(__xludf.DUMMYFUNCTION("IFS(
  REGEXMATCH(A1645&amp;B1645, ""(?i)openai|gpt|gemini|anthropic|claude|mistral|cohere|rag|vector|llm|chatbot|ai-powered""), ""AI &amp; LLM"",
  REGEXMATCH(A1645&amp;B1645, ""(?i)twitter|instagram|facebook|linkedin|youtube|tiktok|threads|bluesky|pinterest|social"&amp;" video|reels?|shorts?""), ""Social Media"",
  REGEXMATCH(A1645&amp;B1645, ""(?i)hubspot|pipedrive|stripe|shopify|woocommerce|sales|crm|invoice|order|leads?|recruitment|bamboohr|erpnext""), ""CRM &amp; Sales"",
  REGEXMATCH(A1645&amp;B1645, ""(?i)gmail|outlook|calenda"&amp;"r|slack|discord|telegram|whatsapp|notion|trello|drive|sheets?|meeting|scheduler|appointment|mattermost""), ""Productivity &amp; Communication"",
  REGEXMATCH(A1645&amp;B1645, ""(?i)github|api|webhook|http|mysql|supabase|mongodb|redis|rss|pr|code review|incident|p"&amp;"agerduty|jira""), ""Development &amp; Utilities"",
  TRUE, ""Others""
)"),"Productivity &amp; Communication")</f>
        <v>Productivity &amp; Communication</v>
      </c>
    </row>
    <row r="1646" ht="15.75" customHeight="1">
      <c r="A1646" s="14" t="s">
        <v>3263</v>
      </c>
      <c r="B1646" s="15" t="s">
        <v>3264</v>
      </c>
      <c r="C1646" s="16" t="s">
        <v>7</v>
      </c>
      <c r="D1646" s="12" t="str">
        <f>IFERROR(__xludf.DUMMYFUNCTION("IFS(
  REGEXMATCH(A1646&amp;B1646, ""(?i)openai|gpt|gemini|anthropic|claude|mistral|cohere|rag|vector|llm|chatbot|ai-powered""), ""AI &amp; LLM"",
  REGEXMATCH(A1646&amp;B1646, ""(?i)twitter|instagram|facebook|linkedin|youtube|tiktok|threads|bluesky|pinterest|social"&amp;" video|reels?|shorts?""), ""Social Media"",
  REGEXMATCH(A1646&amp;B1646, ""(?i)hubspot|pipedrive|stripe|shopify|woocommerce|sales|crm|invoice|order|leads?|recruitment|bamboohr|erpnext""), ""CRM &amp; Sales"",
  REGEXMATCH(A1646&amp;B1646, ""(?i)gmail|outlook|calenda"&amp;"r|slack|discord|telegram|whatsapp|notion|trello|drive|sheets?|meeting|scheduler|appointment|mattermost""), ""Productivity &amp; Communication"",
  REGEXMATCH(A1646&amp;B1646, ""(?i)github|api|webhook|http|mysql|supabase|mongodb|redis|rss|pr|code review|incident|p"&amp;"agerduty|jira""), ""Development &amp; Utilities"",
  TRUE, ""Others""
)"),"Productivity &amp; Communication")</f>
        <v>Productivity &amp; Communication</v>
      </c>
    </row>
    <row r="1647" ht="15.75" customHeight="1">
      <c r="A1647" s="14" t="s">
        <v>3265</v>
      </c>
      <c r="B1647" s="15" t="s">
        <v>3266</v>
      </c>
      <c r="C1647" s="16" t="s">
        <v>7</v>
      </c>
      <c r="D1647" s="12" t="str">
        <f>IFERROR(__xludf.DUMMYFUNCTION("IFS(
  REGEXMATCH(A1647&amp;B1647, ""(?i)openai|gpt|gemini|anthropic|claude|mistral|cohere|rag|vector|llm|chatbot|ai-powered""), ""AI &amp; LLM"",
  REGEXMATCH(A1647&amp;B1647, ""(?i)twitter|instagram|facebook|linkedin|youtube|tiktok|threads|bluesky|pinterest|social"&amp;" video|reels?|shorts?""), ""Social Media"",
  REGEXMATCH(A1647&amp;B1647, ""(?i)hubspot|pipedrive|stripe|shopify|woocommerce|sales|crm|invoice|order|leads?|recruitment|bamboohr|erpnext""), ""CRM &amp; Sales"",
  REGEXMATCH(A1647&amp;B1647, ""(?i)gmail|outlook|calenda"&amp;"r|slack|discord|telegram|whatsapp|notion|trello|drive|sheets?|meeting|scheduler|appointment|mattermost""), ""Productivity &amp; Communication"",
  REGEXMATCH(A1647&amp;B1647, ""(?i)github|api|webhook|http|mysql|supabase|mongodb|redis|rss|pr|code review|incident|p"&amp;"agerduty|jira""), ""Development &amp; Utilities"",
  TRUE, ""Others""
)"),"Social Media")</f>
        <v>Social Media</v>
      </c>
    </row>
    <row r="1648" ht="15.75" customHeight="1">
      <c r="A1648" s="14" t="s">
        <v>3267</v>
      </c>
      <c r="B1648" s="15" t="s">
        <v>3268</v>
      </c>
      <c r="C1648" s="16" t="s">
        <v>7</v>
      </c>
      <c r="D1648" s="12" t="str">
        <f>IFERROR(__xludf.DUMMYFUNCTION("IFS(
  REGEXMATCH(A1648&amp;B1648, ""(?i)openai|gpt|gemini|anthropic|claude|mistral|cohere|rag|vector|llm|chatbot|ai-powered""), ""AI &amp; LLM"",
  REGEXMATCH(A1648&amp;B1648, ""(?i)twitter|instagram|facebook|linkedin|youtube|tiktok|threads|bluesky|pinterest|social"&amp;" video|reels?|shorts?""), ""Social Media"",
  REGEXMATCH(A1648&amp;B1648, ""(?i)hubspot|pipedrive|stripe|shopify|woocommerce|sales|crm|invoice|order|leads?|recruitment|bamboohr|erpnext""), ""CRM &amp; Sales"",
  REGEXMATCH(A1648&amp;B1648, ""(?i)gmail|outlook|calenda"&amp;"r|slack|discord|telegram|whatsapp|notion|trello|drive|sheets?|meeting|scheduler|appointment|mattermost""), ""Productivity &amp; Communication"",
  REGEXMATCH(A1648&amp;B1648, ""(?i)github|api|webhook|http|mysql|supabase|mongodb|redis|rss|pr|code review|incident|p"&amp;"agerduty|jira""), ""Development &amp; Utilities"",
  TRUE, ""Others""
)"),"Productivity &amp; Communication")</f>
        <v>Productivity &amp; Communication</v>
      </c>
    </row>
    <row r="1649" ht="15.75" customHeight="1">
      <c r="A1649" s="14" t="s">
        <v>3269</v>
      </c>
      <c r="B1649" s="15" t="s">
        <v>3270</v>
      </c>
      <c r="C1649" s="16" t="s">
        <v>7</v>
      </c>
      <c r="D1649" s="12" t="str">
        <f>IFERROR(__xludf.DUMMYFUNCTION("IFS(
  REGEXMATCH(A1649&amp;B1649, ""(?i)openai|gpt|gemini|anthropic|claude|mistral|cohere|rag|vector|llm|chatbot|ai-powered""), ""AI &amp; LLM"",
  REGEXMATCH(A1649&amp;B1649, ""(?i)twitter|instagram|facebook|linkedin|youtube|tiktok|threads|bluesky|pinterest|social"&amp;" video|reels?|shorts?""), ""Social Media"",
  REGEXMATCH(A1649&amp;B1649, ""(?i)hubspot|pipedrive|stripe|shopify|woocommerce|sales|crm|invoice|order|leads?|recruitment|bamboohr|erpnext""), ""CRM &amp; Sales"",
  REGEXMATCH(A1649&amp;B1649, ""(?i)gmail|outlook|calenda"&amp;"r|slack|discord|telegram|whatsapp|notion|trello|drive|sheets?|meeting|scheduler|appointment|mattermost""), ""Productivity &amp; Communication"",
  REGEXMATCH(A1649&amp;B1649, ""(?i)github|api|webhook|http|mysql|supabase|mongodb|redis|rss|pr|code review|incident|p"&amp;"agerduty|jira""), ""Development &amp; Utilities"",
  TRUE, ""Others""
)"),"Development &amp; Utilities")</f>
        <v>Development &amp; Utilities</v>
      </c>
    </row>
    <row r="1650" ht="15.75" customHeight="1">
      <c r="A1650" s="14" t="s">
        <v>3271</v>
      </c>
      <c r="B1650" s="15" t="s">
        <v>3272</v>
      </c>
      <c r="C1650" s="16" t="s">
        <v>7</v>
      </c>
      <c r="D1650" s="12" t="str">
        <f>IFERROR(__xludf.DUMMYFUNCTION("IFS(
  REGEXMATCH(A1650&amp;B1650, ""(?i)openai|gpt|gemini|anthropic|claude|mistral|cohere|rag|vector|llm|chatbot|ai-powered""), ""AI &amp; LLM"",
  REGEXMATCH(A1650&amp;B1650, ""(?i)twitter|instagram|facebook|linkedin|youtube|tiktok|threads|bluesky|pinterest|social"&amp;" video|reels?|shorts?""), ""Social Media"",
  REGEXMATCH(A1650&amp;B1650, ""(?i)hubspot|pipedrive|stripe|shopify|woocommerce|sales|crm|invoice|order|leads?|recruitment|bamboohr|erpnext""), ""CRM &amp; Sales"",
  REGEXMATCH(A1650&amp;B1650, ""(?i)gmail|outlook|calenda"&amp;"r|slack|discord|telegram|whatsapp|notion|trello|drive|sheets?|meeting|scheduler|appointment|mattermost""), ""Productivity &amp; Communication"",
  REGEXMATCH(A1650&amp;B1650, ""(?i)github|api|webhook|http|mysql|supabase|mongodb|redis|rss|pr|code review|incident|p"&amp;"agerduty|jira""), ""Development &amp; Utilities"",
  TRUE, ""Others""
)"),"Development &amp; Utilities")</f>
        <v>Development &amp; Utilities</v>
      </c>
    </row>
    <row r="1651" ht="15.75" customHeight="1">
      <c r="A1651" s="14" t="s">
        <v>3273</v>
      </c>
      <c r="B1651" s="15" t="s">
        <v>3274</v>
      </c>
      <c r="C1651" s="16" t="s">
        <v>7</v>
      </c>
      <c r="D1651" s="12" t="str">
        <f>IFERROR(__xludf.DUMMYFUNCTION("IFS(
  REGEXMATCH(A1651&amp;B1651, ""(?i)openai|gpt|gemini|anthropic|claude|mistral|cohere|rag|vector|llm|chatbot|ai-powered""), ""AI &amp; LLM"",
  REGEXMATCH(A1651&amp;B1651, ""(?i)twitter|instagram|facebook|linkedin|youtube|tiktok|threads|bluesky|pinterest|social"&amp;" video|reels?|shorts?""), ""Social Media"",
  REGEXMATCH(A1651&amp;B1651, ""(?i)hubspot|pipedrive|stripe|shopify|woocommerce|sales|crm|invoice|order|leads?|recruitment|bamboohr|erpnext""), ""CRM &amp; Sales"",
  REGEXMATCH(A1651&amp;B1651, ""(?i)gmail|outlook|calenda"&amp;"r|slack|discord|telegram|whatsapp|notion|trello|drive|sheets?|meeting|scheduler|appointment|mattermost""), ""Productivity &amp; Communication"",
  REGEXMATCH(A1651&amp;B1651, ""(?i)github|api|webhook|http|mysql|supabase|mongodb|redis|rss|pr|code review|incident|p"&amp;"agerduty|jira""), ""Development &amp; Utilities"",
  TRUE, ""Others""
)"),"Productivity &amp; Communication")</f>
        <v>Productivity &amp; Communication</v>
      </c>
    </row>
    <row r="1652" ht="15.75" customHeight="1">
      <c r="A1652" s="14" t="s">
        <v>3275</v>
      </c>
      <c r="B1652" s="15" t="s">
        <v>3276</v>
      </c>
      <c r="C1652" s="16" t="s">
        <v>7</v>
      </c>
      <c r="D1652" s="12" t="str">
        <f>IFERROR(__xludf.DUMMYFUNCTION("IFS(
  REGEXMATCH(A1652&amp;B1652, ""(?i)openai|gpt|gemini|anthropic|claude|mistral|cohere|rag|vector|llm|chatbot|ai-powered""), ""AI &amp; LLM"",
  REGEXMATCH(A1652&amp;B1652, ""(?i)twitter|instagram|facebook|linkedin|youtube|tiktok|threads|bluesky|pinterest|social"&amp;" video|reels?|shorts?""), ""Social Media"",
  REGEXMATCH(A1652&amp;B1652, ""(?i)hubspot|pipedrive|stripe|shopify|woocommerce|sales|crm|invoice|order|leads?|recruitment|bamboohr|erpnext""), ""CRM &amp; Sales"",
  REGEXMATCH(A1652&amp;B1652, ""(?i)gmail|outlook|calenda"&amp;"r|slack|discord|telegram|whatsapp|notion|trello|drive|sheets?|meeting|scheduler|appointment|mattermost""), ""Productivity &amp; Communication"",
  REGEXMATCH(A1652&amp;B1652, ""(?i)github|api|webhook|http|mysql|supabase|mongodb|redis|rss|pr|code review|incident|p"&amp;"agerduty|jira""), ""Development &amp; Utilities"",
  TRUE, ""Others""
)"),"Productivity &amp; Communication")</f>
        <v>Productivity &amp; Communication</v>
      </c>
    </row>
    <row r="1653" ht="15.75" customHeight="1">
      <c r="A1653" s="14" t="s">
        <v>3277</v>
      </c>
      <c r="B1653" s="15" t="s">
        <v>3278</v>
      </c>
      <c r="C1653" s="16" t="s">
        <v>7</v>
      </c>
      <c r="D1653" s="12" t="str">
        <f>IFERROR(__xludf.DUMMYFUNCTION("IFS(
  REGEXMATCH(A1653&amp;B1653, ""(?i)openai|gpt|gemini|anthropic|claude|mistral|cohere|rag|vector|llm|chatbot|ai-powered""), ""AI &amp; LLM"",
  REGEXMATCH(A1653&amp;B1653, ""(?i)twitter|instagram|facebook|linkedin|youtube|tiktok|threads|bluesky|pinterest|social"&amp;" video|reels?|shorts?""), ""Social Media"",
  REGEXMATCH(A1653&amp;B1653, ""(?i)hubspot|pipedrive|stripe|shopify|woocommerce|sales|crm|invoice|order|leads?|recruitment|bamboohr|erpnext""), ""CRM &amp; Sales"",
  REGEXMATCH(A1653&amp;B1653, ""(?i)gmail|outlook|calenda"&amp;"r|slack|discord|telegram|whatsapp|notion|trello|drive|sheets?|meeting|scheduler|appointment|mattermost""), ""Productivity &amp; Communication"",
  REGEXMATCH(A1653&amp;B1653, ""(?i)github|api|webhook|http|mysql|supabase|mongodb|redis|rss|pr|code review|incident|p"&amp;"agerduty|jira""), ""Development &amp; Utilities"",
  TRUE, ""Others""
)"),"Others")</f>
        <v>Others</v>
      </c>
    </row>
    <row r="1654" ht="15.75" customHeight="1">
      <c r="A1654" s="14" t="s">
        <v>3279</v>
      </c>
      <c r="B1654" s="15" t="s">
        <v>3280</v>
      </c>
      <c r="C1654" s="16" t="s">
        <v>7</v>
      </c>
      <c r="D1654" s="12" t="str">
        <f>IFERROR(__xludf.DUMMYFUNCTION("IFS(
  REGEXMATCH(A1654&amp;B1654, ""(?i)openai|gpt|gemini|anthropic|claude|mistral|cohere|rag|vector|llm|chatbot|ai-powered""), ""AI &amp; LLM"",
  REGEXMATCH(A1654&amp;B1654, ""(?i)twitter|instagram|facebook|linkedin|youtube|tiktok|threads|bluesky|pinterest|social"&amp;" video|reels?|shorts?""), ""Social Media"",
  REGEXMATCH(A1654&amp;B1654, ""(?i)hubspot|pipedrive|stripe|shopify|woocommerce|sales|crm|invoice|order|leads?|recruitment|bamboohr|erpnext""), ""CRM &amp; Sales"",
  REGEXMATCH(A1654&amp;B1654, ""(?i)gmail|outlook|calenda"&amp;"r|slack|discord|telegram|whatsapp|notion|trello|drive|sheets?|meeting|scheduler|appointment|mattermost""), ""Productivity &amp; Communication"",
  REGEXMATCH(A1654&amp;B1654, ""(?i)github|api|webhook|http|mysql|supabase|mongodb|redis|rss|pr|code review|incident|p"&amp;"agerduty|jira""), ""Development &amp; Utilities"",
  TRUE, ""Others""
)"),"Development &amp; Utilities")</f>
        <v>Development &amp; Utilities</v>
      </c>
    </row>
    <row r="1655" ht="15.75" customHeight="1">
      <c r="A1655" s="14" t="s">
        <v>3281</v>
      </c>
      <c r="B1655" s="15" t="s">
        <v>3282</v>
      </c>
      <c r="C1655" s="16" t="s">
        <v>7</v>
      </c>
      <c r="D1655" s="12" t="str">
        <f>IFERROR(__xludf.DUMMYFUNCTION("IFS(
  REGEXMATCH(A1655&amp;B1655, ""(?i)openai|gpt|gemini|anthropic|claude|mistral|cohere|rag|vector|llm|chatbot|ai-powered""), ""AI &amp; LLM"",
  REGEXMATCH(A1655&amp;B1655, ""(?i)twitter|instagram|facebook|linkedin|youtube|tiktok|threads|bluesky|pinterest|social"&amp;" video|reels?|shorts?""), ""Social Media"",
  REGEXMATCH(A1655&amp;B1655, ""(?i)hubspot|pipedrive|stripe|shopify|woocommerce|sales|crm|invoice|order|leads?|recruitment|bamboohr|erpnext""), ""CRM &amp; Sales"",
  REGEXMATCH(A1655&amp;B1655, ""(?i)gmail|outlook|calenda"&amp;"r|slack|discord|telegram|whatsapp|notion|trello|drive|sheets?|meeting|scheduler|appointment|mattermost""), ""Productivity &amp; Communication"",
  REGEXMATCH(A1655&amp;B1655, ""(?i)github|api|webhook|http|mysql|supabase|mongodb|redis|rss|pr|code review|incident|p"&amp;"agerduty|jira""), ""Development &amp; Utilities"",
  TRUE, ""Others""
)"),"Development &amp; Utilities")</f>
        <v>Development &amp; Utilities</v>
      </c>
    </row>
    <row r="1656" ht="15.75" customHeight="1">
      <c r="A1656" s="14" t="s">
        <v>3283</v>
      </c>
      <c r="B1656" s="15" t="s">
        <v>3284</v>
      </c>
      <c r="C1656" s="16" t="s">
        <v>7</v>
      </c>
      <c r="D1656" s="12" t="str">
        <f>IFERROR(__xludf.DUMMYFUNCTION("IFS(
  REGEXMATCH(A1656&amp;B1656, ""(?i)openai|gpt|gemini|anthropic|claude|mistral|cohere|rag|vector|llm|chatbot|ai-powered""), ""AI &amp; LLM"",
  REGEXMATCH(A1656&amp;B1656, ""(?i)twitter|instagram|facebook|linkedin|youtube|tiktok|threads|bluesky|pinterest|social"&amp;" video|reels?|shorts?""), ""Social Media"",
  REGEXMATCH(A1656&amp;B1656, ""(?i)hubspot|pipedrive|stripe|shopify|woocommerce|sales|crm|invoice|order|leads?|recruitment|bamboohr|erpnext""), ""CRM &amp; Sales"",
  REGEXMATCH(A1656&amp;B1656, ""(?i)gmail|outlook|calenda"&amp;"r|slack|discord|telegram|whatsapp|notion|trello|drive|sheets?|meeting|scheduler|appointment|mattermost""), ""Productivity &amp; Communication"",
  REGEXMATCH(A1656&amp;B1656, ""(?i)github|api|webhook|http|mysql|supabase|mongodb|redis|rss|pr|code review|incident|p"&amp;"agerduty|jira""), ""Development &amp; Utilities"",
  TRUE, ""Others""
)"),"CRM &amp; Sales")</f>
        <v>CRM &amp; Sales</v>
      </c>
    </row>
    <row r="1657" ht="15.75" customHeight="1">
      <c r="A1657" s="14" t="s">
        <v>3285</v>
      </c>
      <c r="B1657" s="15" t="s">
        <v>3286</v>
      </c>
      <c r="C1657" s="16" t="s">
        <v>7</v>
      </c>
      <c r="D1657" s="12" t="str">
        <f>IFERROR(__xludf.DUMMYFUNCTION("IFS(
  REGEXMATCH(A1657&amp;B1657, ""(?i)openai|gpt|gemini|anthropic|claude|mistral|cohere|rag|vector|llm|chatbot|ai-powered""), ""AI &amp; LLM"",
  REGEXMATCH(A1657&amp;B1657, ""(?i)twitter|instagram|facebook|linkedin|youtube|tiktok|threads|bluesky|pinterest|social"&amp;" video|reels?|shorts?""), ""Social Media"",
  REGEXMATCH(A1657&amp;B1657, ""(?i)hubspot|pipedrive|stripe|shopify|woocommerce|sales|crm|invoice|order|leads?|recruitment|bamboohr|erpnext""), ""CRM &amp; Sales"",
  REGEXMATCH(A1657&amp;B1657, ""(?i)gmail|outlook|calenda"&amp;"r|slack|discord|telegram|whatsapp|notion|trello|drive|sheets?|meeting|scheduler|appointment|mattermost""), ""Productivity &amp; Communication"",
  REGEXMATCH(A1657&amp;B1657, ""(?i)github|api|webhook|http|mysql|supabase|mongodb|redis|rss|pr|code review|incident|p"&amp;"agerduty|jira""), ""Development &amp; Utilities"",
  TRUE, ""Others""
)"),"Productivity &amp; Communication")</f>
        <v>Productivity &amp; Communication</v>
      </c>
    </row>
    <row r="1658" ht="15.75" customHeight="1">
      <c r="A1658" s="14" t="s">
        <v>3287</v>
      </c>
      <c r="B1658" s="15" t="s">
        <v>3288</v>
      </c>
      <c r="C1658" s="16" t="s">
        <v>7</v>
      </c>
      <c r="D1658" s="12" t="str">
        <f>IFERROR(__xludf.DUMMYFUNCTION("IFS(
  REGEXMATCH(A1658&amp;B1658, ""(?i)openai|gpt|gemini|anthropic|claude|mistral|cohere|rag|vector|llm|chatbot|ai-powered""), ""AI &amp; LLM"",
  REGEXMATCH(A1658&amp;B1658, ""(?i)twitter|instagram|facebook|linkedin|youtube|tiktok|threads|bluesky|pinterest|social"&amp;" video|reels?|shorts?""), ""Social Media"",
  REGEXMATCH(A1658&amp;B1658, ""(?i)hubspot|pipedrive|stripe|shopify|woocommerce|sales|crm|invoice|order|leads?|recruitment|bamboohr|erpnext""), ""CRM &amp; Sales"",
  REGEXMATCH(A1658&amp;B1658, ""(?i)gmail|outlook|calenda"&amp;"r|slack|discord|telegram|whatsapp|notion|trello|drive|sheets?|meeting|scheduler|appointment|mattermost""), ""Productivity &amp; Communication"",
  REGEXMATCH(A1658&amp;B1658, ""(?i)github|api|webhook|http|mysql|supabase|mongodb|redis|rss|pr|code review|incident|p"&amp;"agerduty|jira""), ""Development &amp; Utilities"",
  TRUE, ""Others""
)"),"Development &amp; Utilities")</f>
        <v>Development &amp; Utilities</v>
      </c>
    </row>
    <row r="1659" ht="15.75" customHeight="1">
      <c r="A1659" s="14" t="s">
        <v>3289</v>
      </c>
      <c r="B1659" s="15" t="s">
        <v>3290</v>
      </c>
      <c r="C1659" s="16" t="s">
        <v>7</v>
      </c>
      <c r="D1659" s="12" t="str">
        <f>IFERROR(__xludf.DUMMYFUNCTION("IFS(
  REGEXMATCH(A1659&amp;B1659, ""(?i)openai|gpt|gemini|anthropic|claude|mistral|cohere|rag|vector|llm|chatbot|ai-powered""), ""AI &amp; LLM"",
  REGEXMATCH(A1659&amp;B1659, ""(?i)twitter|instagram|facebook|linkedin|youtube|tiktok|threads|bluesky|pinterest|social"&amp;" video|reels?|shorts?""), ""Social Media"",
  REGEXMATCH(A1659&amp;B1659, ""(?i)hubspot|pipedrive|stripe|shopify|woocommerce|sales|crm|invoice|order|leads?|recruitment|bamboohr|erpnext""), ""CRM &amp; Sales"",
  REGEXMATCH(A1659&amp;B1659, ""(?i)gmail|outlook|calenda"&amp;"r|slack|discord|telegram|whatsapp|notion|trello|drive|sheets?|meeting|scheduler|appointment|mattermost""), ""Productivity &amp; Communication"",
  REGEXMATCH(A1659&amp;B1659, ""(?i)github|api|webhook|http|mysql|supabase|mongodb|redis|rss|pr|code review|incident|p"&amp;"agerduty|jira""), ""Development &amp; Utilities"",
  TRUE, ""Others""
)"),"Productivity &amp; Communication")</f>
        <v>Productivity &amp; Communication</v>
      </c>
    </row>
    <row r="1660" ht="15.75" customHeight="1">
      <c r="A1660" s="14" t="s">
        <v>3291</v>
      </c>
      <c r="B1660" s="15" t="s">
        <v>3292</v>
      </c>
      <c r="C1660" s="16" t="s">
        <v>7</v>
      </c>
      <c r="D1660" s="12" t="str">
        <f>IFERROR(__xludf.DUMMYFUNCTION("IFS(
  REGEXMATCH(A1660&amp;B1660, ""(?i)openai|gpt|gemini|anthropic|claude|mistral|cohere|rag|vector|llm|chatbot|ai-powered""), ""AI &amp; LLM"",
  REGEXMATCH(A1660&amp;B1660, ""(?i)twitter|instagram|facebook|linkedin|youtube|tiktok|threads|bluesky|pinterest|social"&amp;" video|reels?|shorts?""), ""Social Media"",
  REGEXMATCH(A1660&amp;B1660, ""(?i)hubspot|pipedrive|stripe|shopify|woocommerce|sales|crm|invoice|order|leads?|recruitment|bamboohr|erpnext""), ""CRM &amp; Sales"",
  REGEXMATCH(A1660&amp;B1660, ""(?i)gmail|outlook|calenda"&amp;"r|slack|discord|telegram|whatsapp|notion|trello|drive|sheets?|meeting|scheduler|appointment|mattermost""), ""Productivity &amp; Communication"",
  REGEXMATCH(A1660&amp;B1660, ""(?i)github|api|webhook|http|mysql|supabase|mongodb|redis|rss|pr|code review|incident|p"&amp;"agerduty|jira""), ""Development &amp; Utilities"",
  TRUE, ""Others""
)"),"Productivity &amp; Communication")</f>
        <v>Productivity &amp; Communication</v>
      </c>
    </row>
    <row r="1661" ht="15.75" customHeight="1">
      <c r="A1661" s="14" t="s">
        <v>3293</v>
      </c>
      <c r="B1661" s="15" t="s">
        <v>3294</v>
      </c>
      <c r="C1661" s="16" t="s">
        <v>7</v>
      </c>
      <c r="D1661" s="12" t="str">
        <f>IFERROR(__xludf.DUMMYFUNCTION("IFS(
  REGEXMATCH(A1661&amp;B1661, ""(?i)openai|gpt|gemini|anthropic|claude|mistral|cohere|rag|vector|llm|chatbot|ai-powered""), ""AI &amp; LLM"",
  REGEXMATCH(A1661&amp;B1661, ""(?i)twitter|instagram|facebook|linkedin|youtube|tiktok|threads|bluesky|pinterest|social"&amp;" video|reels?|shorts?""), ""Social Media"",
  REGEXMATCH(A1661&amp;B1661, ""(?i)hubspot|pipedrive|stripe|shopify|woocommerce|sales|crm|invoice|order|leads?|recruitment|bamboohr|erpnext""), ""CRM &amp; Sales"",
  REGEXMATCH(A1661&amp;B1661, ""(?i)gmail|outlook|calenda"&amp;"r|slack|discord|telegram|whatsapp|notion|trello|drive|sheets?|meeting|scheduler|appointment|mattermost""), ""Productivity &amp; Communication"",
  REGEXMATCH(A1661&amp;B1661, ""(?i)github|api|webhook|http|mysql|supabase|mongodb|redis|rss|pr|code review|incident|p"&amp;"agerduty|jira""), ""Development &amp; Utilities"",
  TRUE, ""Others""
)"),"Development &amp; Utilities")</f>
        <v>Development &amp; Utilities</v>
      </c>
    </row>
    <row r="1662" ht="15.75" customHeight="1">
      <c r="A1662" s="14" t="s">
        <v>3295</v>
      </c>
      <c r="B1662" s="15" t="s">
        <v>3296</v>
      </c>
      <c r="C1662" s="16" t="s">
        <v>7</v>
      </c>
      <c r="D1662" s="12" t="str">
        <f>IFERROR(__xludf.DUMMYFUNCTION("IFS(
  REGEXMATCH(A1662&amp;B1662, ""(?i)openai|gpt|gemini|anthropic|claude|mistral|cohere|rag|vector|llm|chatbot|ai-powered""), ""AI &amp; LLM"",
  REGEXMATCH(A1662&amp;B1662, ""(?i)twitter|instagram|facebook|linkedin|youtube|tiktok|threads|bluesky|pinterest|social"&amp;" video|reels?|shorts?""), ""Social Media"",
  REGEXMATCH(A1662&amp;B1662, ""(?i)hubspot|pipedrive|stripe|shopify|woocommerce|sales|crm|invoice|order|leads?|recruitment|bamboohr|erpnext""), ""CRM &amp; Sales"",
  REGEXMATCH(A1662&amp;B1662, ""(?i)gmail|outlook|calenda"&amp;"r|slack|discord|telegram|whatsapp|notion|trello|drive|sheets?|meeting|scheduler|appointment|mattermost""), ""Productivity &amp; Communication"",
  REGEXMATCH(A1662&amp;B1662, ""(?i)github|api|webhook|http|mysql|supabase|mongodb|redis|rss|pr|code review|incident|p"&amp;"agerduty|jira""), ""Development &amp; Utilities"",
  TRUE, ""Others""
)"),"Development &amp; Utilities")</f>
        <v>Development &amp; Utilities</v>
      </c>
    </row>
    <row r="1663" ht="15.75" customHeight="1">
      <c r="A1663" s="14" t="s">
        <v>2849</v>
      </c>
      <c r="B1663" s="15" t="s">
        <v>3297</v>
      </c>
      <c r="C1663" s="16" t="s">
        <v>7</v>
      </c>
      <c r="D1663" s="12" t="str">
        <f>IFERROR(__xludf.DUMMYFUNCTION("IFS(
  REGEXMATCH(A1663&amp;B1663, ""(?i)openai|gpt|gemini|anthropic|claude|mistral|cohere|rag|vector|llm|chatbot|ai-powered""), ""AI &amp; LLM"",
  REGEXMATCH(A1663&amp;B1663, ""(?i)twitter|instagram|facebook|linkedin|youtube|tiktok|threads|bluesky|pinterest|social"&amp;" video|reels?|shorts?""), ""Social Media"",
  REGEXMATCH(A1663&amp;B1663, ""(?i)hubspot|pipedrive|stripe|shopify|woocommerce|sales|crm|invoice|order|leads?|recruitment|bamboohr|erpnext""), ""CRM &amp; Sales"",
  REGEXMATCH(A1663&amp;B1663, ""(?i)gmail|outlook|calenda"&amp;"r|slack|discord|telegram|whatsapp|notion|trello|drive|sheets?|meeting|scheduler|appointment|mattermost""), ""Productivity &amp; Communication"",
  REGEXMATCH(A1663&amp;B1663, ""(?i)github|api|webhook|http|mysql|supabase|mongodb|redis|rss|pr|code review|incident|p"&amp;"agerduty|jira""), ""Development &amp; Utilities"",
  TRUE, ""Others""
)"),"AI &amp; LLM")</f>
        <v>AI &amp; LLM</v>
      </c>
    </row>
    <row r="1664" ht="15.75" customHeight="1">
      <c r="A1664" s="14" t="s">
        <v>3298</v>
      </c>
      <c r="B1664" s="15" t="s">
        <v>3299</v>
      </c>
      <c r="C1664" s="16" t="s">
        <v>7</v>
      </c>
      <c r="D1664" s="12" t="str">
        <f>IFERROR(__xludf.DUMMYFUNCTION("IFS(
  REGEXMATCH(A1664&amp;B1664, ""(?i)openai|gpt|gemini|anthropic|claude|mistral|cohere|rag|vector|llm|chatbot|ai-powered""), ""AI &amp; LLM"",
  REGEXMATCH(A1664&amp;B1664, ""(?i)twitter|instagram|facebook|linkedin|youtube|tiktok|threads|bluesky|pinterest|social"&amp;" video|reels?|shorts?""), ""Social Media"",
  REGEXMATCH(A1664&amp;B1664, ""(?i)hubspot|pipedrive|stripe|shopify|woocommerce|sales|crm|invoice|order|leads?|recruitment|bamboohr|erpnext""), ""CRM &amp; Sales"",
  REGEXMATCH(A1664&amp;B1664, ""(?i)gmail|outlook|calenda"&amp;"r|slack|discord|telegram|whatsapp|notion|trello|drive|sheets?|meeting|scheduler|appointment|mattermost""), ""Productivity &amp; Communication"",
  REGEXMATCH(A1664&amp;B1664, ""(?i)github|api|webhook|http|mysql|supabase|mongodb|redis|rss|pr|code review|incident|p"&amp;"agerduty|jira""), ""Development &amp; Utilities"",
  TRUE, ""Others""
)"),"AI &amp; LLM")</f>
        <v>AI &amp; LLM</v>
      </c>
    </row>
    <row r="1665" ht="15.75" customHeight="1">
      <c r="A1665" s="14" t="s">
        <v>3300</v>
      </c>
      <c r="B1665" s="15" t="s">
        <v>3301</v>
      </c>
      <c r="C1665" s="16" t="s">
        <v>7</v>
      </c>
      <c r="D1665" s="12" t="str">
        <f>IFERROR(__xludf.DUMMYFUNCTION("IFS(
  REGEXMATCH(A1665&amp;B1665, ""(?i)openai|gpt|gemini|anthropic|claude|mistral|cohere|rag|vector|llm|chatbot|ai-powered""), ""AI &amp; LLM"",
  REGEXMATCH(A1665&amp;B1665, ""(?i)twitter|instagram|facebook|linkedin|youtube|tiktok|threads|bluesky|pinterest|social"&amp;" video|reels?|shorts?""), ""Social Media"",
  REGEXMATCH(A1665&amp;B1665, ""(?i)hubspot|pipedrive|stripe|shopify|woocommerce|sales|crm|invoice|order|leads?|recruitment|bamboohr|erpnext""), ""CRM &amp; Sales"",
  REGEXMATCH(A1665&amp;B1665, ""(?i)gmail|outlook|calenda"&amp;"r|slack|discord|telegram|whatsapp|notion|trello|drive|sheets?|meeting|scheduler|appointment|mattermost""), ""Productivity &amp; Communication"",
  REGEXMATCH(A1665&amp;B1665, ""(?i)github|api|webhook|http|mysql|supabase|mongodb|redis|rss|pr|code review|incident|p"&amp;"agerduty|jira""), ""Development &amp; Utilities"",
  TRUE, ""Others""
)"),"AI &amp; LLM")</f>
        <v>AI &amp; LLM</v>
      </c>
    </row>
    <row r="1666" ht="15.75" customHeight="1">
      <c r="A1666" s="14" t="s">
        <v>3302</v>
      </c>
      <c r="B1666" s="15" t="s">
        <v>3303</v>
      </c>
      <c r="C1666" s="16" t="s">
        <v>7</v>
      </c>
      <c r="D1666" s="12" t="str">
        <f>IFERROR(__xludf.DUMMYFUNCTION("IFS(
  REGEXMATCH(A1666&amp;B1666, ""(?i)openai|gpt|gemini|anthropic|claude|mistral|cohere|rag|vector|llm|chatbot|ai-powered""), ""AI &amp; LLM"",
  REGEXMATCH(A1666&amp;B1666, ""(?i)twitter|instagram|facebook|linkedin|youtube|tiktok|threads|bluesky|pinterest|social"&amp;" video|reels?|shorts?""), ""Social Media"",
  REGEXMATCH(A1666&amp;B1666, ""(?i)hubspot|pipedrive|stripe|shopify|woocommerce|sales|crm|invoice|order|leads?|recruitment|bamboohr|erpnext""), ""CRM &amp; Sales"",
  REGEXMATCH(A1666&amp;B1666, ""(?i)gmail|outlook|calenda"&amp;"r|slack|discord|telegram|whatsapp|notion|trello|drive|sheets?|meeting|scheduler|appointment|mattermost""), ""Productivity &amp; Communication"",
  REGEXMATCH(A1666&amp;B1666, ""(?i)github|api|webhook|http|mysql|supabase|mongodb|redis|rss|pr|code review|incident|p"&amp;"agerduty|jira""), ""Development &amp; Utilities"",
  TRUE, ""Others""
)"),"Productivity &amp; Communication")</f>
        <v>Productivity &amp; Communication</v>
      </c>
    </row>
    <row r="1667" ht="15.75" customHeight="1">
      <c r="A1667" s="14" t="s">
        <v>3304</v>
      </c>
      <c r="B1667" s="15" t="s">
        <v>3305</v>
      </c>
      <c r="C1667" s="16" t="s">
        <v>7</v>
      </c>
      <c r="D1667" s="12" t="str">
        <f>IFERROR(__xludf.DUMMYFUNCTION("IFS(
  REGEXMATCH(A1667&amp;B1667, ""(?i)openai|gpt|gemini|anthropic|claude|mistral|cohere|rag|vector|llm|chatbot|ai-powered""), ""AI &amp; LLM"",
  REGEXMATCH(A1667&amp;B1667, ""(?i)twitter|instagram|facebook|linkedin|youtube|tiktok|threads|bluesky|pinterest|social"&amp;" video|reels?|shorts?""), ""Social Media"",
  REGEXMATCH(A1667&amp;B1667, ""(?i)hubspot|pipedrive|stripe|shopify|woocommerce|sales|crm|invoice|order|leads?|recruitment|bamboohr|erpnext""), ""CRM &amp; Sales"",
  REGEXMATCH(A1667&amp;B1667, ""(?i)gmail|outlook|calenda"&amp;"r|slack|discord|telegram|whatsapp|notion|trello|drive|sheets?|meeting|scheduler|appointment|mattermost""), ""Productivity &amp; Communication"",
  REGEXMATCH(A1667&amp;B1667, ""(?i)github|api|webhook|http|mysql|supabase|mongodb|redis|rss|pr|code review|incident|p"&amp;"agerduty|jira""), ""Development &amp; Utilities"",
  TRUE, ""Others""
)"),"Development &amp; Utilities")</f>
        <v>Development &amp; Utilities</v>
      </c>
    </row>
    <row r="1668" ht="15.75" customHeight="1">
      <c r="A1668" s="14" t="s">
        <v>3306</v>
      </c>
      <c r="B1668" s="15" t="s">
        <v>3307</v>
      </c>
      <c r="C1668" s="16" t="s">
        <v>7</v>
      </c>
      <c r="D1668" s="12" t="str">
        <f>IFERROR(__xludf.DUMMYFUNCTION("IFS(
  REGEXMATCH(A1668&amp;B1668, ""(?i)openai|gpt|gemini|anthropic|claude|mistral|cohere|rag|vector|llm|chatbot|ai-powered""), ""AI &amp; LLM"",
  REGEXMATCH(A1668&amp;B1668, ""(?i)twitter|instagram|facebook|linkedin|youtube|tiktok|threads|bluesky|pinterest|social"&amp;" video|reels?|shorts?""), ""Social Media"",
  REGEXMATCH(A1668&amp;B1668, ""(?i)hubspot|pipedrive|stripe|shopify|woocommerce|sales|crm|invoice|order|leads?|recruitment|bamboohr|erpnext""), ""CRM &amp; Sales"",
  REGEXMATCH(A1668&amp;B1668, ""(?i)gmail|outlook|calenda"&amp;"r|slack|discord|telegram|whatsapp|notion|trello|drive|sheets?|meeting|scheduler|appointment|mattermost""), ""Productivity &amp; Communication"",
  REGEXMATCH(A1668&amp;B1668, ""(?i)github|api|webhook|http|mysql|supabase|mongodb|redis|rss|pr|code review|incident|p"&amp;"agerduty|jira""), ""Development &amp; Utilities"",
  TRUE, ""Others""
)"),"Social Media")</f>
        <v>Social Media</v>
      </c>
    </row>
    <row r="1669" ht="15.75" customHeight="1">
      <c r="A1669" s="14" t="s">
        <v>3308</v>
      </c>
      <c r="B1669" s="15" t="s">
        <v>3309</v>
      </c>
      <c r="C1669" s="16" t="s">
        <v>7</v>
      </c>
      <c r="D1669" s="12" t="str">
        <f>IFERROR(__xludf.DUMMYFUNCTION("IFS(
  REGEXMATCH(A1669&amp;B1669, ""(?i)openai|gpt|gemini|anthropic|claude|mistral|cohere|rag|vector|llm|chatbot|ai-powered""), ""AI &amp; LLM"",
  REGEXMATCH(A1669&amp;B1669, ""(?i)twitter|instagram|facebook|linkedin|youtube|tiktok|threads|bluesky|pinterest|social"&amp;" video|reels?|shorts?""), ""Social Media"",
  REGEXMATCH(A1669&amp;B1669, ""(?i)hubspot|pipedrive|stripe|shopify|woocommerce|sales|crm|invoice|order|leads?|recruitment|bamboohr|erpnext""), ""CRM &amp; Sales"",
  REGEXMATCH(A1669&amp;B1669, ""(?i)gmail|outlook|calenda"&amp;"r|slack|discord|telegram|whatsapp|notion|trello|drive|sheets?|meeting|scheduler|appointment|mattermost""), ""Productivity &amp; Communication"",
  REGEXMATCH(A1669&amp;B1669, ""(?i)github|api|webhook|http|mysql|supabase|mongodb|redis|rss|pr|code review|incident|p"&amp;"agerduty|jira""), ""Development &amp; Utilities"",
  TRUE, ""Others""
)"),"Productivity &amp; Communication")</f>
        <v>Productivity &amp; Communication</v>
      </c>
    </row>
    <row r="1670" ht="15.75" customHeight="1">
      <c r="A1670" s="14" t="s">
        <v>3310</v>
      </c>
      <c r="B1670" s="15" t="s">
        <v>3311</v>
      </c>
      <c r="C1670" s="16" t="s">
        <v>7</v>
      </c>
      <c r="D1670" s="12" t="str">
        <f>IFERROR(__xludf.DUMMYFUNCTION("IFS(
  REGEXMATCH(A1670&amp;B1670, ""(?i)openai|gpt|gemini|anthropic|claude|mistral|cohere|rag|vector|llm|chatbot|ai-powered""), ""AI &amp; LLM"",
  REGEXMATCH(A1670&amp;B1670, ""(?i)twitter|instagram|facebook|linkedin|youtube|tiktok|threads|bluesky|pinterest|social"&amp;" video|reels?|shorts?""), ""Social Media"",
  REGEXMATCH(A1670&amp;B1670, ""(?i)hubspot|pipedrive|stripe|shopify|woocommerce|sales|crm|invoice|order|leads?|recruitment|bamboohr|erpnext""), ""CRM &amp; Sales"",
  REGEXMATCH(A1670&amp;B1670, ""(?i)gmail|outlook|calenda"&amp;"r|slack|discord|telegram|whatsapp|notion|trello|drive|sheets?|meeting|scheduler|appointment|mattermost""), ""Productivity &amp; Communication"",
  REGEXMATCH(A1670&amp;B1670, ""(?i)github|api|webhook|http|mysql|supabase|mongodb|redis|rss|pr|code review|incident|p"&amp;"agerduty|jira""), ""Development &amp; Utilities"",
  TRUE, ""Others""
)"),"AI &amp; LLM")</f>
        <v>AI &amp; LLM</v>
      </c>
    </row>
    <row r="1671" ht="15.75" customHeight="1">
      <c r="A1671" s="14" t="s">
        <v>3312</v>
      </c>
      <c r="B1671" s="15" t="s">
        <v>3313</v>
      </c>
      <c r="C1671" s="16" t="s">
        <v>7</v>
      </c>
      <c r="D1671" s="12" t="str">
        <f>IFERROR(__xludf.DUMMYFUNCTION("IFS(
  REGEXMATCH(A1671&amp;B1671, ""(?i)openai|gpt|gemini|anthropic|claude|mistral|cohere|rag|vector|llm|chatbot|ai-powered""), ""AI &amp; LLM"",
  REGEXMATCH(A1671&amp;B1671, ""(?i)twitter|instagram|facebook|linkedin|youtube|tiktok|threads|bluesky|pinterest|social"&amp;" video|reels?|shorts?""), ""Social Media"",
  REGEXMATCH(A1671&amp;B1671, ""(?i)hubspot|pipedrive|stripe|shopify|woocommerce|sales|crm|invoice|order|leads?|recruitment|bamboohr|erpnext""), ""CRM &amp; Sales"",
  REGEXMATCH(A1671&amp;B1671, ""(?i)gmail|outlook|calenda"&amp;"r|slack|discord|telegram|whatsapp|notion|trello|drive|sheets?|meeting|scheduler|appointment|mattermost""), ""Productivity &amp; Communication"",
  REGEXMATCH(A1671&amp;B1671, ""(?i)github|api|webhook|http|mysql|supabase|mongodb|redis|rss|pr|code review|incident|p"&amp;"agerduty|jira""), ""Development &amp; Utilities"",
  TRUE, ""Others""
)"),"AI &amp; LLM")</f>
        <v>AI &amp; LLM</v>
      </c>
    </row>
    <row r="1672" ht="15.75" customHeight="1">
      <c r="A1672" s="14" t="s">
        <v>3314</v>
      </c>
      <c r="B1672" s="15" t="s">
        <v>3315</v>
      </c>
      <c r="C1672" s="16" t="s">
        <v>7</v>
      </c>
      <c r="D1672" s="12" t="str">
        <f>IFERROR(__xludf.DUMMYFUNCTION("IFS(
  REGEXMATCH(A1672&amp;B1672, ""(?i)openai|gpt|gemini|anthropic|claude|mistral|cohere|rag|vector|llm|chatbot|ai-powered""), ""AI &amp; LLM"",
  REGEXMATCH(A1672&amp;B1672, ""(?i)twitter|instagram|facebook|linkedin|youtube|tiktok|threads|bluesky|pinterest|social"&amp;" video|reels?|shorts?""), ""Social Media"",
  REGEXMATCH(A1672&amp;B1672, ""(?i)hubspot|pipedrive|stripe|shopify|woocommerce|sales|crm|invoice|order|leads?|recruitment|bamboohr|erpnext""), ""CRM &amp; Sales"",
  REGEXMATCH(A1672&amp;B1672, ""(?i)gmail|outlook|calenda"&amp;"r|slack|discord|telegram|whatsapp|notion|trello|drive|sheets?|meeting|scheduler|appointment|mattermost""), ""Productivity &amp; Communication"",
  REGEXMATCH(A1672&amp;B1672, ""(?i)github|api|webhook|http|mysql|supabase|mongodb|redis|rss|pr|code review|incident|p"&amp;"agerduty|jira""), ""Development &amp; Utilities"",
  TRUE, ""Others""
)"),"AI &amp; LLM")</f>
        <v>AI &amp; LLM</v>
      </c>
    </row>
    <row r="1673" ht="15.75" customHeight="1">
      <c r="A1673" s="14" t="s">
        <v>3316</v>
      </c>
      <c r="B1673" s="15" t="s">
        <v>3317</v>
      </c>
      <c r="C1673" s="16" t="s">
        <v>7</v>
      </c>
      <c r="D1673" s="12" t="str">
        <f>IFERROR(__xludf.DUMMYFUNCTION("IFS(
  REGEXMATCH(A1673&amp;B1673, ""(?i)openai|gpt|gemini|anthropic|claude|mistral|cohere|rag|vector|llm|chatbot|ai-powered""), ""AI &amp; LLM"",
  REGEXMATCH(A1673&amp;B1673, ""(?i)twitter|instagram|facebook|linkedin|youtube|tiktok|threads|bluesky|pinterest|social"&amp;" video|reels?|shorts?""), ""Social Media"",
  REGEXMATCH(A1673&amp;B1673, ""(?i)hubspot|pipedrive|stripe|shopify|woocommerce|sales|crm|invoice|order|leads?|recruitment|bamboohr|erpnext""), ""CRM &amp; Sales"",
  REGEXMATCH(A1673&amp;B1673, ""(?i)gmail|outlook|calenda"&amp;"r|slack|discord|telegram|whatsapp|notion|trello|drive|sheets?|meeting|scheduler|appointment|mattermost""), ""Productivity &amp; Communication"",
  REGEXMATCH(A1673&amp;B1673, ""(?i)github|api|webhook|http|mysql|supabase|mongodb|redis|rss|pr|code review|incident|p"&amp;"agerduty|jira""), ""Development &amp; Utilities"",
  TRUE, ""Others""
)"),"AI &amp; LLM")</f>
        <v>AI &amp; LLM</v>
      </c>
    </row>
    <row r="1674" ht="15.75" customHeight="1">
      <c r="A1674" s="14" t="s">
        <v>3318</v>
      </c>
      <c r="B1674" s="15" t="s">
        <v>3319</v>
      </c>
      <c r="C1674" s="16" t="s">
        <v>7</v>
      </c>
      <c r="D1674" s="12" t="str">
        <f>IFERROR(__xludf.DUMMYFUNCTION("IFS(
  REGEXMATCH(A1674&amp;B1674, ""(?i)openai|gpt|gemini|anthropic|claude|mistral|cohere|rag|vector|llm|chatbot|ai-powered""), ""AI &amp; LLM"",
  REGEXMATCH(A1674&amp;B1674, ""(?i)twitter|instagram|facebook|linkedin|youtube|tiktok|threads|bluesky|pinterest|social"&amp;" video|reels?|shorts?""), ""Social Media"",
  REGEXMATCH(A1674&amp;B1674, ""(?i)hubspot|pipedrive|stripe|shopify|woocommerce|sales|crm|invoice|order|leads?|recruitment|bamboohr|erpnext""), ""CRM &amp; Sales"",
  REGEXMATCH(A1674&amp;B1674, ""(?i)gmail|outlook|calenda"&amp;"r|slack|discord|telegram|whatsapp|notion|trello|drive|sheets?|meeting|scheduler|appointment|mattermost""), ""Productivity &amp; Communication"",
  REGEXMATCH(A1674&amp;B1674, ""(?i)github|api|webhook|http|mysql|supabase|mongodb|redis|rss|pr|code review|incident|p"&amp;"agerduty|jira""), ""Development &amp; Utilities"",
  TRUE, ""Others""
)"),"Productivity &amp; Communication")</f>
        <v>Productivity &amp; Communication</v>
      </c>
    </row>
    <row r="1675" ht="15.75" customHeight="1">
      <c r="A1675" s="14" t="s">
        <v>3320</v>
      </c>
      <c r="B1675" s="15" t="s">
        <v>3321</v>
      </c>
      <c r="C1675" s="16" t="s">
        <v>7</v>
      </c>
      <c r="D1675" s="12" t="str">
        <f>IFERROR(__xludf.DUMMYFUNCTION("IFS(
  REGEXMATCH(A1675&amp;B1675, ""(?i)openai|gpt|gemini|anthropic|claude|mistral|cohere|rag|vector|llm|chatbot|ai-powered""), ""AI &amp; LLM"",
  REGEXMATCH(A1675&amp;B1675, ""(?i)twitter|instagram|facebook|linkedin|youtube|tiktok|threads|bluesky|pinterest|social"&amp;" video|reels?|shorts?""), ""Social Media"",
  REGEXMATCH(A1675&amp;B1675, ""(?i)hubspot|pipedrive|stripe|shopify|woocommerce|sales|crm|invoice|order|leads?|recruitment|bamboohr|erpnext""), ""CRM &amp; Sales"",
  REGEXMATCH(A1675&amp;B1675, ""(?i)gmail|outlook|calenda"&amp;"r|slack|discord|telegram|whatsapp|notion|trello|drive|sheets?|meeting|scheduler|appointment|mattermost""), ""Productivity &amp; Communication"",
  REGEXMATCH(A1675&amp;B1675, ""(?i)github|api|webhook|http|mysql|supabase|mongodb|redis|rss|pr|code review|incident|p"&amp;"agerduty|jira""), ""Development &amp; Utilities"",
  TRUE, ""Others""
)"),"AI &amp; LLM")</f>
        <v>AI &amp; LLM</v>
      </c>
    </row>
    <row r="1676" ht="15.75" customHeight="1">
      <c r="A1676" s="14" t="s">
        <v>3322</v>
      </c>
      <c r="B1676" s="15" t="s">
        <v>3323</v>
      </c>
      <c r="C1676" s="16" t="s">
        <v>7</v>
      </c>
      <c r="D1676" s="12" t="str">
        <f>IFERROR(__xludf.DUMMYFUNCTION("IFS(
  REGEXMATCH(A1676&amp;B1676, ""(?i)openai|gpt|gemini|anthropic|claude|mistral|cohere|rag|vector|llm|chatbot|ai-powered""), ""AI &amp; LLM"",
  REGEXMATCH(A1676&amp;B1676, ""(?i)twitter|instagram|facebook|linkedin|youtube|tiktok|threads|bluesky|pinterest|social"&amp;" video|reels?|shorts?""), ""Social Media"",
  REGEXMATCH(A1676&amp;B1676, ""(?i)hubspot|pipedrive|stripe|shopify|woocommerce|sales|crm|invoice|order|leads?|recruitment|bamboohr|erpnext""), ""CRM &amp; Sales"",
  REGEXMATCH(A1676&amp;B1676, ""(?i)gmail|outlook|calenda"&amp;"r|slack|discord|telegram|whatsapp|notion|trello|drive|sheets?|meeting|scheduler|appointment|mattermost""), ""Productivity &amp; Communication"",
  REGEXMATCH(A1676&amp;B1676, ""(?i)github|api|webhook|http|mysql|supabase|mongodb|redis|rss|pr|code review|incident|p"&amp;"agerduty|jira""), ""Development &amp; Utilities"",
  TRUE, ""Others""
)"),"Productivity &amp; Communication")</f>
        <v>Productivity &amp; Communication</v>
      </c>
    </row>
    <row r="1677" ht="15.75" customHeight="1">
      <c r="A1677" s="14" t="s">
        <v>3324</v>
      </c>
      <c r="B1677" s="15" t="s">
        <v>3325</v>
      </c>
      <c r="C1677" s="16" t="s">
        <v>7</v>
      </c>
      <c r="D1677" s="12" t="str">
        <f>IFERROR(__xludf.DUMMYFUNCTION("IFS(
  REGEXMATCH(A1677&amp;B1677, ""(?i)openai|gpt|gemini|anthropic|claude|mistral|cohere|rag|vector|llm|chatbot|ai-powered""), ""AI &amp; LLM"",
  REGEXMATCH(A1677&amp;B1677, ""(?i)twitter|instagram|facebook|linkedin|youtube|tiktok|threads|bluesky|pinterest|social"&amp;" video|reels?|shorts?""), ""Social Media"",
  REGEXMATCH(A1677&amp;B1677, ""(?i)hubspot|pipedrive|stripe|shopify|woocommerce|sales|crm|invoice|order|leads?|recruitment|bamboohr|erpnext""), ""CRM &amp; Sales"",
  REGEXMATCH(A1677&amp;B1677, ""(?i)gmail|outlook|calenda"&amp;"r|slack|discord|telegram|whatsapp|notion|trello|drive|sheets?|meeting|scheduler|appointment|mattermost""), ""Productivity &amp; Communication"",
  REGEXMATCH(A1677&amp;B1677, ""(?i)github|api|webhook|http|mysql|supabase|mongodb|redis|rss|pr|code review|incident|p"&amp;"agerduty|jira""), ""Development &amp; Utilities"",
  TRUE, ""Others""
)"),"CRM &amp; Sales")</f>
        <v>CRM &amp; Sales</v>
      </c>
    </row>
    <row r="1678" ht="15.75" customHeight="1">
      <c r="A1678" s="14" t="s">
        <v>3326</v>
      </c>
      <c r="B1678" s="15" t="s">
        <v>3327</v>
      </c>
      <c r="C1678" s="16" t="s">
        <v>7</v>
      </c>
      <c r="D1678" s="12" t="str">
        <f>IFERROR(__xludf.DUMMYFUNCTION("IFS(
  REGEXMATCH(A1678&amp;B1678, ""(?i)openai|gpt|gemini|anthropic|claude|mistral|cohere|rag|vector|llm|chatbot|ai-powered""), ""AI &amp; LLM"",
  REGEXMATCH(A1678&amp;B1678, ""(?i)twitter|instagram|facebook|linkedin|youtube|tiktok|threads|bluesky|pinterest|social"&amp;" video|reels?|shorts?""), ""Social Media"",
  REGEXMATCH(A1678&amp;B1678, ""(?i)hubspot|pipedrive|stripe|shopify|woocommerce|sales|crm|invoice|order|leads?|recruitment|bamboohr|erpnext""), ""CRM &amp; Sales"",
  REGEXMATCH(A1678&amp;B1678, ""(?i)gmail|outlook|calenda"&amp;"r|slack|discord|telegram|whatsapp|notion|trello|drive|sheets?|meeting|scheduler|appointment|mattermost""), ""Productivity &amp; Communication"",
  REGEXMATCH(A1678&amp;B1678, ""(?i)github|api|webhook|http|mysql|supabase|mongodb|redis|rss|pr|code review|incident|p"&amp;"agerduty|jira""), ""Development &amp; Utilities"",
  TRUE, ""Others""
)"),"Productivity &amp; Communication")</f>
        <v>Productivity &amp; Communication</v>
      </c>
    </row>
    <row r="1679" ht="15.75" customHeight="1">
      <c r="A1679" s="14" t="s">
        <v>3328</v>
      </c>
      <c r="B1679" s="15" t="s">
        <v>3329</v>
      </c>
      <c r="C1679" s="16" t="s">
        <v>7</v>
      </c>
      <c r="D1679" s="12" t="str">
        <f>IFERROR(__xludf.DUMMYFUNCTION("IFS(
  REGEXMATCH(A1679&amp;B1679, ""(?i)openai|gpt|gemini|anthropic|claude|mistral|cohere|rag|vector|llm|chatbot|ai-powered""), ""AI &amp; LLM"",
  REGEXMATCH(A1679&amp;B1679, ""(?i)twitter|instagram|facebook|linkedin|youtube|tiktok|threads|bluesky|pinterest|social"&amp;" video|reels?|shorts?""), ""Social Media"",
  REGEXMATCH(A1679&amp;B1679, ""(?i)hubspot|pipedrive|stripe|shopify|woocommerce|sales|crm|invoice|order|leads?|recruitment|bamboohr|erpnext""), ""CRM &amp; Sales"",
  REGEXMATCH(A1679&amp;B1679, ""(?i)gmail|outlook|calenda"&amp;"r|slack|discord|telegram|whatsapp|notion|trello|drive|sheets?|meeting|scheduler|appointment|mattermost""), ""Productivity &amp; Communication"",
  REGEXMATCH(A1679&amp;B1679, ""(?i)github|api|webhook|http|mysql|supabase|mongodb|redis|rss|pr|code review|incident|p"&amp;"agerduty|jira""), ""Development &amp; Utilities"",
  TRUE, ""Others""
)"),"Social Media")</f>
        <v>Social Media</v>
      </c>
    </row>
    <row r="1680" ht="15.75" customHeight="1">
      <c r="A1680" s="14" t="s">
        <v>3330</v>
      </c>
      <c r="B1680" s="15" t="s">
        <v>3331</v>
      </c>
      <c r="C1680" s="16" t="s">
        <v>7</v>
      </c>
      <c r="D1680" s="12" t="str">
        <f>IFERROR(__xludf.DUMMYFUNCTION("IFS(
  REGEXMATCH(A1680&amp;B1680, ""(?i)openai|gpt|gemini|anthropic|claude|mistral|cohere|rag|vector|llm|chatbot|ai-powered""), ""AI &amp; LLM"",
  REGEXMATCH(A1680&amp;B1680, ""(?i)twitter|instagram|facebook|linkedin|youtube|tiktok|threads|bluesky|pinterest|social"&amp;" video|reels?|shorts?""), ""Social Media"",
  REGEXMATCH(A1680&amp;B1680, ""(?i)hubspot|pipedrive|stripe|shopify|woocommerce|sales|crm|invoice|order|leads?|recruitment|bamboohr|erpnext""), ""CRM &amp; Sales"",
  REGEXMATCH(A1680&amp;B1680, ""(?i)gmail|outlook|calenda"&amp;"r|slack|discord|telegram|whatsapp|notion|trello|drive|sheets?|meeting|scheduler|appointment|mattermost""), ""Productivity &amp; Communication"",
  REGEXMATCH(A1680&amp;B1680, ""(?i)github|api|webhook|http|mysql|supabase|mongodb|redis|rss|pr|code review|incident|p"&amp;"agerduty|jira""), ""Development &amp; Utilities"",
  TRUE, ""Others""
)"),"Productivity &amp; Communication")</f>
        <v>Productivity &amp; Communication</v>
      </c>
    </row>
    <row r="1681" ht="15.75" customHeight="1">
      <c r="A1681" s="14" t="s">
        <v>3332</v>
      </c>
      <c r="B1681" s="15" t="s">
        <v>3333</v>
      </c>
      <c r="C1681" s="16" t="s">
        <v>7</v>
      </c>
      <c r="D1681" s="12" t="str">
        <f>IFERROR(__xludf.DUMMYFUNCTION("IFS(
  REGEXMATCH(A1681&amp;B1681, ""(?i)openai|gpt|gemini|anthropic|claude|mistral|cohere|rag|vector|llm|chatbot|ai-powered""), ""AI &amp; LLM"",
  REGEXMATCH(A1681&amp;B1681, ""(?i)twitter|instagram|facebook|linkedin|youtube|tiktok|threads|bluesky|pinterest|social"&amp;" video|reels?|shorts?""), ""Social Media"",
  REGEXMATCH(A1681&amp;B1681, ""(?i)hubspot|pipedrive|stripe|shopify|woocommerce|sales|crm|invoice|order|leads?|recruitment|bamboohr|erpnext""), ""CRM &amp; Sales"",
  REGEXMATCH(A1681&amp;B1681, ""(?i)gmail|outlook|calenda"&amp;"r|slack|discord|telegram|whatsapp|notion|trello|drive|sheets?|meeting|scheduler|appointment|mattermost""), ""Productivity &amp; Communication"",
  REGEXMATCH(A1681&amp;B1681, ""(?i)github|api|webhook|http|mysql|supabase|mongodb|redis|rss|pr|code review|incident|p"&amp;"agerduty|jira""), ""Development &amp; Utilities"",
  TRUE, ""Others""
)"),"Productivity &amp; Communication")</f>
        <v>Productivity &amp; Communication</v>
      </c>
    </row>
    <row r="1682" ht="15.75" customHeight="1">
      <c r="A1682" s="14" t="s">
        <v>3334</v>
      </c>
      <c r="B1682" s="15" t="s">
        <v>3335</v>
      </c>
      <c r="C1682" s="16" t="s">
        <v>7</v>
      </c>
      <c r="D1682" s="12" t="str">
        <f>IFERROR(__xludf.DUMMYFUNCTION("IFS(
  REGEXMATCH(A1682&amp;B1682, ""(?i)openai|gpt|gemini|anthropic|claude|mistral|cohere|rag|vector|llm|chatbot|ai-powered""), ""AI &amp; LLM"",
  REGEXMATCH(A1682&amp;B1682, ""(?i)twitter|instagram|facebook|linkedin|youtube|tiktok|threads|bluesky|pinterest|social"&amp;" video|reels?|shorts?""), ""Social Media"",
  REGEXMATCH(A1682&amp;B1682, ""(?i)hubspot|pipedrive|stripe|shopify|woocommerce|sales|crm|invoice|order|leads?|recruitment|bamboohr|erpnext""), ""CRM &amp; Sales"",
  REGEXMATCH(A1682&amp;B1682, ""(?i)gmail|outlook|calenda"&amp;"r|slack|discord|telegram|whatsapp|notion|trello|drive|sheets?|meeting|scheduler|appointment|mattermost""), ""Productivity &amp; Communication"",
  REGEXMATCH(A1682&amp;B1682, ""(?i)github|api|webhook|http|mysql|supabase|mongodb|redis|rss|pr|code review|incident|p"&amp;"agerduty|jira""), ""Development &amp; Utilities"",
  TRUE, ""Others""
)"),"Productivity &amp; Communication")</f>
        <v>Productivity &amp; Communication</v>
      </c>
    </row>
    <row r="1683" ht="15.75" customHeight="1">
      <c r="A1683" s="14" t="s">
        <v>3336</v>
      </c>
      <c r="B1683" s="15" t="s">
        <v>3337</v>
      </c>
      <c r="C1683" s="16" t="s">
        <v>7</v>
      </c>
      <c r="D1683" s="12" t="str">
        <f>IFERROR(__xludf.DUMMYFUNCTION("IFS(
  REGEXMATCH(A1683&amp;B1683, ""(?i)openai|gpt|gemini|anthropic|claude|mistral|cohere|rag|vector|llm|chatbot|ai-powered""), ""AI &amp; LLM"",
  REGEXMATCH(A1683&amp;B1683, ""(?i)twitter|instagram|facebook|linkedin|youtube|tiktok|threads|bluesky|pinterest|social"&amp;" video|reels?|shorts?""), ""Social Media"",
  REGEXMATCH(A1683&amp;B1683, ""(?i)hubspot|pipedrive|stripe|shopify|woocommerce|sales|crm|invoice|order|leads?|recruitment|bamboohr|erpnext""), ""CRM &amp; Sales"",
  REGEXMATCH(A1683&amp;B1683, ""(?i)gmail|outlook|calenda"&amp;"r|slack|discord|telegram|whatsapp|notion|trello|drive|sheets?|meeting|scheduler|appointment|mattermost""), ""Productivity &amp; Communication"",
  REGEXMATCH(A1683&amp;B1683, ""(?i)github|api|webhook|http|mysql|supabase|mongodb|redis|rss|pr|code review|incident|p"&amp;"agerduty|jira""), ""Development &amp; Utilities"",
  TRUE, ""Others""
)"),"Development &amp; Utilities")</f>
        <v>Development &amp; Utilities</v>
      </c>
    </row>
    <row r="1684" ht="15.75" customHeight="1">
      <c r="A1684" s="14" t="s">
        <v>3338</v>
      </c>
      <c r="B1684" s="15" t="s">
        <v>3339</v>
      </c>
      <c r="C1684" s="16" t="s">
        <v>7</v>
      </c>
      <c r="D1684" s="12" t="str">
        <f>IFERROR(__xludf.DUMMYFUNCTION("IFS(
  REGEXMATCH(A1684&amp;B1684, ""(?i)openai|gpt|gemini|anthropic|claude|mistral|cohere|rag|vector|llm|chatbot|ai-powered""), ""AI &amp; LLM"",
  REGEXMATCH(A1684&amp;B1684, ""(?i)twitter|instagram|facebook|linkedin|youtube|tiktok|threads|bluesky|pinterest|social"&amp;" video|reels?|shorts?""), ""Social Media"",
  REGEXMATCH(A1684&amp;B1684, ""(?i)hubspot|pipedrive|stripe|shopify|woocommerce|sales|crm|invoice|order|leads?|recruitment|bamboohr|erpnext""), ""CRM &amp; Sales"",
  REGEXMATCH(A1684&amp;B1684, ""(?i)gmail|outlook|calenda"&amp;"r|slack|discord|telegram|whatsapp|notion|trello|drive|sheets?|meeting|scheduler|appointment|mattermost""), ""Productivity &amp; Communication"",
  REGEXMATCH(A1684&amp;B1684, ""(?i)github|api|webhook|http|mysql|supabase|mongodb|redis|rss|pr|code review|incident|p"&amp;"agerduty|jira""), ""Development &amp; Utilities"",
  TRUE, ""Others""
)"),"AI &amp; LLM")</f>
        <v>AI &amp; LLM</v>
      </c>
    </row>
    <row r="1685" ht="15.75" customHeight="1">
      <c r="A1685" s="14" t="s">
        <v>3340</v>
      </c>
      <c r="B1685" s="15" t="s">
        <v>3341</v>
      </c>
      <c r="C1685" s="16" t="s">
        <v>7</v>
      </c>
      <c r="D1685" s="12" t="str">
        <f>IFERROR(__xludf.DUMMYFUNCTION("IFS(
  REGEXMATCH(A1685&amp;B1685, ""(?i)openai|gpt|gemini|anthropic|claude|mistral|cohere|rag|vector|llm|chatbot|ai-powered""), ""AI &amp; LLM"",
  REGEXMATCH(A1685&amp;B1685, ""(?i)twitter|instagram|facebook|linkedin|youtube|tiktok|threads|bluesky|pinterest|social"&amp;" video|reels?|shorts?""), ""Social Media"",
  REGEXMATCH(A1685&amp;B1685, ""(?i)hubspot|pipedrive|stripe|shopify|woocommerce|sales|crm|invoice|order|leads?|recruitment|bamboohr|erpnext""), ""CRM &amp; Sales"",
  REGEXMATCH(A1685&amp;B1685, ""(?i)gmail|outlook|calenda"&amp;"r|slack|discord|telegram|whatsapp|notion|trello|drive|sheets?|meeting|scheduler|appointment|mattermost""), ""Productivity &amp; Communication"",
  REGEXMATCH(A1685&amp;B1685, ""(?i)github|api|webhook|http|mysql|supabase|mongodb|redis|rss|pr|code review|incident|p"&amp;"agerduty|jira""), ""Development &amp; Utilities"",
  TRUE, ""Others""
)"),"Development &amp; Utilities")</f>
        <v>Development &amp; Utilities</v>
      </c>
    </row>
    <row r="1686" ht="15.75" customHeight="1">
      <c r="A1686" s="14" t="s">
        <v>3342</v>
      </c>
      <c r="B1686" s="15" t="s">
        <v>3343</v>
      </c>
      <c r="C1686" s="16" t="s">
        <v>7</v>
      </c>
      <c r="D1686" s="12" t="str">
        <f>IFERROR(__xludf.DUMMYFUNCTION("IFS(
  REGEXMATCH(A1686&amp;B1686, ""(?i)openai|gpt|gemini|anthropic|claude|mistral|cohere|rag|vector|llm|chatbot|ai-powered""), ""AI &amp; LLM"",
  REGEXMATCH(A1686&amp;B1686, ""(?i)twitter|instagram|facebook|linkedin|youtube|tiktok|threads|bluesky|pinterest|social"&amp;" video|reels?|shorts?""), ""Social Media"",
  REGEXMATCH(A1686&amp;B1686, ""(?i)hubspot|pipedrive|stripe|shopify|woocommerce|sales|crm|invoice|order|leads?|recruitment|bamboohr|erpnext""), ""CRM &amp; Sales"",
  REGEXMATCH(A1686&amp;B1686, ""(?i)gmail|outlook|calenda"&amp;"r|slack|discord|telegram|whatsapp|notion|trello|drive|sheets?|meeting|scheduler|appointment|mattermost""), ""Productivity &amp; Communication"",
  REGEXMATCH(A1686&amp;B1686, ""(?i)github|api|webhook|http|mysql|supabase|mongodb|redis|rss|pr|code review|incident|p"&amp;"agerduty|jira""), ""Development &amp; Utilities"",
  TRUE, ""Others""
)"),"Productivity &amp; Communication")</f>
        <v>Productivity &amp; Communication</v>
      </c>
    </row>
    <row r="1687" ht="15.75" customHeight="1">
      <c r="A1687" s="14" t="s">
        <v>3344</v>
      </c>
      <c r="B1687" s="15" t="s">
        <v>3345</v>
      </c>
      <c r="C1687" s="16" t="s">
        <v>7</v>
      </c>
      <c r="D1687" s="12" t="str">
        <f>IFERROR(__xludf.DUMMYFUNCTION("IFS(
  REGEXMATCH(A1687&amp;B1687, ""(?i)openai|gpt|gemini|anthropic|claude|mistral|cohere|rag|vector|llm|chatbot|ai-powered""), ""AI &amp; LLM"",
  REGEXMATCH(A1687&amp;B1687, ""(?i)twitter|instagram|facebook|linkedin|youtube|tiktok|threads|bluesky|pinterest|social"&amp;" video|reels?|shorts?""), ""Social Media"",
  REGEXMATCH(A1687&amp;B1687, ""(?i)hubspot|pipedrive|stripe|shopify|woocommerce|sales|crm|invoice|order|leads?|recruitment|bamboohr|erpnext""), ""CRM &amp; Sales"",
  REGEXMATCH(A1687&amp;B1687, ""(?i)gmail|outlook|calenda"&amp;"r|slack|discord|telegram|whatsapp|notion|trello|drive|sheets?|meeting|scheduler|appointment|mattermost""), ""Productivity &amp; Communication"",
  REGEXMATCH(A1687&amp;B1687, ""(?i)github|api|webhook|http|mysql|supabase|mongodb|redis|rss|pr|code review|incident|p"&amp;"agerduty|jira""), ""Development &amp; Utilities"",
  TRUE, ""Others""
)"),"Development &amp; Utilities")</f>
        <v>Development &amp; Utilities</v>
      </c>
    </row>
    <row r="1688" ht="15.75" customHeight="1">
      <c r="A1688" s="14" t="s">
        <v>3346</v>
      </c>
      <c r="B1688" s="15" t="s">
        <v>3347</v>
      </c>
      <c r="C1688" s="16" t="s">
        <v>7</v>
      </c>
      <c r="D1688" s="12" t="str">
        <f>IFERROR(__xludf.DUMMYFUNCTION("IFS(
  REGEXMATCH(A1688&amp;B1688, ""(?i)openai|gpt|gemini|anthropic|claude|mistral|cohere|rag|vector|llm|chatbot|ai-powered""), ""AI &amp; LLM"",
  REGEXMATCH(A1688&amp;B1688, ""(?i)twitter|instagram|facebook|linkedin|youtube|tiktok|threads|bluesky|pinterest|social"&amp;" video|reels?|shorts?""), ""Social Media"",
  REGEXMATCH(A1688&amp;B1688, ""(?i)hubspot|pipedrive|stripe|shopify|woocommerce|sales|crm|invoice|order|leads?|recruitment|bamboohr|erpnext""), ""CRM &amp; Sales"",
  REGEXMATCH(A1688&amp;B1688, ""(?i)gmail|outlook|calenda"&amp;"r|slack|discord|telegram|whatsapp|notion|trello|drive|sheets?|meeting|scheduler|appointment|mattermost""), ""Productivity &amp; Communication"",
  REGEXMATCH(A1688&amp;B1688, ""(?i)github|api|webhook|http|mysql|supabase|mongodb|redis|rss|pr|code review|incident|p"&amp;"agerduty|jira""), ""Development &amp; Utilities"",
  TRUE, ""Others""
)"),"Development &amp; Utilities")</f>
        <v>Development &amp; Utilities</v>
      </c>
    </row>
    <row r="1689" ht="15.75" customHeight="1">
      <c r="A1689" s="14" t="s">
        <v>3348</v>
      </c>
      <c r="B1689" s="15" t="s">
        <v>3349</v>
      </c>
      <c r="C1689" s="16" t="s">
        <v>7</v>
      </c>
      <c r="D1689" s="12" t="str">
        <f>IFERROR(__xludf.DUMMYFUNCTION("IFS(
  REGEXMATCH(A1689&amp;B1689, ""(?i)openai|gpt|gemini|anthropic|claude|mistral|cohere|rag|vector|llm|chatbot|ai-powered""), ""AI &amp; LLM"",
  REGEXMATCH(A1689&amp;B1689, ""(?i)twitter|instagram|facebook|linkedin|youtube|tiktok|threads|bluesky|pinterest|social"&amp;" video|reels?|shorts?""), ""Social Media"",
  REGEXMATCH(A1689&amp;B1689, ""(?i)hubspot|pipedrive|stripe|shopify|woocommerce|sales|crm|invoice|order|leads?|recruitment|bamboohr|erpnext""), ""CRM &amp; Sales"",
  REGEXMATCH(A1689&amp;B1689, ""(?i)gmail|outlook|calenda"&amp;"r|slack|discord|telegram|whatsapp|notion|trello|drive|sheets?|meeting|scheduler|appointment|mattermost""), ""Productivity &amp; Communication"",
  REGEXMATCH(A1689&amp;B1689, ""(?i)github|api|webhook|http|mysql|supabase|mongodb|redis|rss|pr|code review|incident|p"&amp;"agerduty|jira""), ""Development &amp; Utilities"",
  TRUE, ""Others""
)"),"Productivity &amp; Communication")</f>
        <v>Productivity &amp; Communication</v>
      </c>
    </row>
    <row r="1690" ht="15.75" customHeight="1">
      <c r="A1690" s="14" t="s">
        <v>3350</v>
      </c>
      <c r="B1690" s="15" t="s">
        <v>3351</v>
      </c>
      <c r="C1690" s="16" t="s">
        <v>7</v>
      </c>
      <c r="D1690" s="12" t="str">
        <f>IFERROR(__xludf.DUMMYFUNCTION("IFS(
  REGEXMATCH(A1690&amp;B1690, ""(?i)openai|gpt|gemini|anthropic|claude|mistral|cohere|rag|vector|llm|chatbot|ai-powered""), ""AI &amp; LLM"",
  REGEXMATCH(A1690&amp;B1690, ""(?i)twitter|instagram|facebook|linkedin|youtube|tiktok|threads|bluesky|pinterest|social"&amp;" video|reels?|shorts?""), ""Social Media"",
  REGEXMATCH(A1690&amp;B1690, ""(?i)hubspot|pipedrive|stripe|shopify|woocommerce|sales|crm|invoice|order|leads?|recruitment|bamboohr|erpnext""), ""CRM &amp; Sales"",
  REGEXMATCH(A1690&amp;B1690, ""(?i)gmail|outlook|calenda"&amp;"r|slack|discord|telegram|whatsapp|notion|trello|drive|sheets?|meeting|scheduler|appointment|mattermost""), ""Productivity &amp; Communication"",
  REGEXMATCH(A1690&amp;B1690, ""(?i)github|api|webhook|http|mysql|supabase|mongodb|redis|rss|pr|code review|incident|p"&amp;"agerduty|jira""), ""Development &amp; Utilities"",
  TRUE, ""Others""
)"),"AI &amp; LLM")</f>
        <v>AI &amp; LLM</v>
      </c>
    </row>
    <row r="1691" ht="15.75" customHeight="1">
      <c r="A1691" s="14" t="s">
        <v>3352</v>
      </c>
      <c r="B1691" s="15" t="s">
        <v>3353</v>
      </c>
      <c r="C1691" s="16" t="s">
        <v>7</v>
      </c>
      <c r="D1691" s="12" t="str">
        <f>IFERROR(__xludf.DUMMYFUNCTION("IFS(
  REGEXMATCH(A1691&amp;B1691, ""(?i)openai|gpt|gemini|anthropic|claude|mistral|cohere|rag|vector|llm|chatbot|ai-powered""), ""AI &amp; LLM"",
  REGEXMATCH(A1691&amp;B1691, ""(?i)twitter|instagram|facebook|linkedin|youtube|tiktok|threads|bluesky|pinterest|social"&amp;" video|reels?|shorts?""), ""Social Media"",
  REGEXMATCH(A1691&amp;B1691, ""(?i)hubspot|pipedrive|stripe|shopify|woocommerce|sales|crm|invoice|order|leads?|recruitment|bamboohr|erpnext""), ""CRM &amp; Sales"",
  REGEXMATCH(A1691&amp;B1691, ""(?i)gmail|outlook|calenda"&amp;"r|slack|discord|telegram|whatsapp|notion|trello|drive|sheets?|meeting|scheduler|appointment|mattermost""), ""Productivity &amp; Communication"",
  REGEXMATCH(A1691&amp;B1691, ""(?i)github|api|webhook|http|mysql|supabase|mongodb|redis|rss|pr|code review|incident|p"&amp;"agerduty|jira""), ""Development &amp; Utilities"",
  TRUE, ""Others""
)"),"AI &amp; LLM")</f>
        <v>AI &amp; LLM</v>
      </c>
    </row>
    <row r="1692" ht="15.75" customHeight="1">
      <c r="A1692" s="14" t="s">
        <v>3354</v>
      </c>
      <c r="B1692" s="15" t="s">
        <v>3355</v>
      </c>
      <c r="C1692" s="16" t="s">
        <v>7</v>
      </c>
      <c r="D1692" s="12" t="str">
        <f>IFERROR(__xludf.DUMMYFUNCTION("IFS(
  REGEXMATCH(A1692&amp;B1692, ""(?i)openai|gpt|gemini|anthropic|claude|mistral|cohere|rag|vector|llm|chatbot|ai-powered""), ""AI &amp; LLM"",
  REGEXMATCH(A1692&amp;B1692, ""(?i)twitter|instagram|facebook|linkedin|youtube|tiktok|threads|bluesky|pinterest|social"&amp;" video|reels?|shorts?""), ""Social Media"",
  REGEXMATCH(A1692&amp;B1692, ""(?i)hubspot|pipedrive|stripe|shopify|woocommerce|sales|crm|invoice|order|leads?|recruitment|bamboohr|erpnext""), ""CRM &amp; Sales"",
  REGEXMATCH(A1692&amp;B1692, ""(?i)gmail|outlook|calenda"&amp;"r|slack|discord|telegram|whatsapp|notion|trello|drive|sheets?|meeting|scheduler|appointment|mattermost""), ""Productivity &amp; Communication"",
  REGEXMATCH(A1692&amp;B1692, ""(?i)github|api|webhook|http|mysql|supabase|mongodb|redis|rss|pr|code review|incident|p"&amp;"agerduty|jira""), ""Development &amp; Utilities"",
  TRUE, ""Others""
)"),"AI &amp; LLM")</f>
        <v>AI &amp; LLM</v>
      </c>
    </row>
    <row r="1693" ht="15.75" customHeight="1">
      <c r="A1693" s="14" t="s">
        <v>3356</v>
      </c>
      <c r="B1693" s="15" t="s">
        <v>3357</v>
      </c>
      <c r="C1693" s="16" t="s">
        <v>7</v>
      </c>
      <c r="D1693" s="12" t="str">
        <f>IFERROR(__xludf.DUMMYFUNCTION("IFS(
  REGEXMATCH(A1693&amp;B1693, ""(?i)openai|gpt|gemini|anthropic|claude|mistral|cohere|rag|vector|llm|chatbot|ai-powered""), ""AI &amp; LLM"",
  REGEXMATCH(A1693&amp;B1693, ""(?i)twitter|instagram|facebook|linkedin|youtube|tiktok|threads|bluesky|pinterest|social"&amp;" video|reels?|shorts?""), ""Social Media"",
  REGEXMATCH(A1693&amp;B1693, ""(?i)hubspot|pipedrive|stripe|shopify|woocommerce|sales|crm|invoice|order|leads?|recruitment|bamboohr|erpnext""), ""CRM &amp; Sales"",
  REGEXMATCH(A1693&amp;B1693, ""(?i)gmail|outlook|calenda"&amp;"r|slack|discord|telegram|whatsapp|notion|trello|drive|sheets?|meeting|scheduler|appointment|mattermost""), ""Productivity &amp; Communication"",
  REGEXMATCH(A1693&amp;B1693, ""(?i)github|api|webhook|http|mysql|supabase|mongodb|redis|rss|pr|code review|incident|p"&amp;"agerduty|jira""), ""Development &amp; Utilities"",
  TRUE, ""Others""
)"),"Productivity &amp; Communication")</f>
        <v>Productivity &amp; Communication</v>
      </c>
    </row>
    <row r="1694" ht="15.75" customHeight="1">
      <c r="A1694" s="14" t="s">
        <v>3358</v>
      </c>
      <c r="B1694" s="15" t="s">
        <v>3359</v>
      </c>
      <c r="C1694" s="16" t="s">
        <v>7</v>
      </c>
      <c r="D1694" s="12" t="str">
        <f>IFERROR(__xludf.DUMMYFUNCTION("IFS(
  REGEXMATCH(A1694&amp;B1694, ""(?i)openai|gpt|gemini|anthropic|claude|mistral|cohere|rag|vector|llm|chatbot|ai-powered""), ""AI &amp; LLM"",
  REGEXMATCH(A1694&amp;B1694, ""(?i)twitter|instagram|facebook|linkedin|youtube|tiktok|threads|bluesky|pinterest|social"&amp;" video|reels?|shorts?""), ""Social Media"",
  REGEXMATCH(A1694&amp;B1694, ""(?i)hubspot|pipedrive|stripe|shopify|woocommerce|sales|crm|invoice|order|leads?|recruitment|bamboohr|erpnext""), ""CRM &amp; Sales"",
  REGEXMATCH(A1694&amp;B1694, ""(?i)gmail|outlook|calenda"&amp;"r|slack|discord|telegram|whatsapp|notion|trello|drive|sheets?|meeting|scheduler|appointment|mattermost""), ""Productivity &amp; Communication"",
  REGEXMATCH(A1694&amp;B1694, ""(?i)github|api|webhook|http|mysql|supabase|mongodb|redis|rss|pr|code review|incident|p"&amp;"agerduty|jira""), ""Development &amp; Utilities"",
  TRUE, ""Others""
)"),"Productivity &amp; Communication")</f>
        <v>Productivity &amp; Communication</v>
      </c>
    </row>
    <row r="1695" ht="15.75" customHeight="1">
      <c r="A1695" s="14" t="s">
        <v>3360</v>
      </c>
      <c r="B1695" s="15" t="s">
        <v>3361</v>
      </c>
      <c r="C1695" s="16" t="s">
        <v>7</v>
      </c>
      <c r="D1695" s="12" t="str">
        <f>IFERROR(__xludf.DUMMYFUNCTION("IFS(
  REGEXMATCH(A1695&amp;B1695, ""(?i)openai|gpt|gemini|anthropic|claude|mistral|cohere|rag|vector|llm|chatbot|ai-powered""), ""AI &amp; LLM"",
  REGEXMATCH(A1695&amp;B1695, ""(?i)twitter|instagram|facebook|linkedin|youtube|tiktok|threads|bluesky|pinterest|social"&amp;" video|reels?|shorts?""), ""Social Media"",
  REGEXMATCH(A1695&amp;B1695, ""(?i)hubspot|pipedrive|stripe|shopify|woocommerce|sales|crm|invoice|order|leads?|recruitment|bamboohr|erpnext""), ""CRM &amp; Sales"",
  REGEXMATCH(A1695&amp;B1695, ""(?i)gmail|outlook|calenda"&amp;"r|slack|discord|telegram|whatsapp|notion|trello|drive|sheets?|meeting|scheduler|appointment|mattermost""), ""Productivity &amp; Communication"",
  REGEXMATCH(A1695&amp;B1695, ""(?i)github|api|webhook|http|mysql|supabase|mongodb|redis|rss|pr|code review|incident|p"&amp;"agerduty|jira""), ""Development &amp; Utilities"",
  TRUE, ""Others""
)"),"Development &amp; Utilities")</f>
        <v>Development &amp; Utilities</v>
      </c>
    </row>
    <row r="1696" ht="15.75" customHeight="1">
      <c r="A1696" s="14" t="s">
        <v>3362</v>
      </c>
      <c r="B1696" s="15" t="s">
        <v>3363</v>
      </c>
      <c r="C1696" s="16" t="s">
        <v>7</v>
      </c>
      <c r="D1696" s="12" t="str">
        <f>IFERROR(__xludf.DUMMYFUNCTION("IFS(
  REGEXMATCH(A1696&amp;B1696, ""(?i)openai|gpt|gemini|anthropic|claude|mistral|cohere|rag|vector|llm|chatbot|ai-powered""), ""AI &amp; LLM"",
  REGEXMATCH(A1696&amp;B1696, ""(?i)twitter|instagram|facebook|linkedin|youtube|tiktok|threads|bluesky|pinterest|social"&amp;" video|reels?|shorts?""), ""Social Media"",
  REGEXMATCH(A1696&amp;B1696, ""(?i)hubspot|pipedrive|stripe|shopify|woocommerce|sales|crm|invoice|order|leads?|recruitment|bamboohr|erpnext""), ""CRM &amp; Sales"",
  REGEXMATCH(A1696&amp;B1696, ""(?i)gmail|outlook|calenda"&amp;"r|slack|discord|telegram|whatsapp|notion|trello|drive|sheets?|meeting|scheduler|appointment|mattermost""), ""Productivity &amp; Communication"",
  REGEXMATCH(A1696&amp;B1696, ""(?i)github|api|webhook|http|mysql|supabase|mongodb|redis|rss|pr|code review|incident|p"&amp;"agerduty|jira""), ""Development &amp; Utilities"",
  TRUE, ""Others""
)"),"Productivity &amp; Communication")</f>
        <v>Productivity &amp; Communication</v>
      </c>
    </row>
    <row r="1697" ht="15.75" customHeight="1">
      <c r="A1697" s="14" t="s">
        <v>3364</v>
      </c>
      <c r="B1697" s="15" t="s">
        <v>3365</v>
      </c>
      <c r="C1697" s="16" t="s">
        <v>7</v>
      </c>
      <c r="D1697" s="12" t="str">
        <f>IFERROR(__xludf.DUMMYFUNCTION("IFS(
  REGEXMATCH(A1697&amp;B1697, ""(?i)openai|gpt|gemini|anthropic|claude|mistral|cohere|rag|vector|llm|chatbot|ai-powered""), ""AI &amp; LLM"",
  REGEXMATCH(A1697&amp;B1697, ""(?i)twitter|instagram|facebook|linkedin|youtube|tiktok|threads|bluesky|pinterest|social"&amp;" video|reels?|shorts?""), ""Social Media"",
  REGEXMATCH(A1697&amp;B1697, ""(?i)hubspot|pipedrive|stripe|shopify|woocommerce|sales|crm|invoice|order|leads?|recruitment|bamboohr|erpnext""), ""CRM &amp; Sales"",
  REGEXMATCH(A1697&amp;B1697, ""(?i)gmail|outlook|calenda"&amp;"r|slack|discord|telegram|whatsapp|notion|trello|drive|sheets?|meeting|scheduler|appointment|mattermost""), ""Productivity &amp; Communication"",
  REGEXMATCH(A1697&amp;B1697, ""(?i)github|api|webhook|http|mysql|supabase|mongodb|redis|rss|pr|code review|incident|p"&amp;"agerduty|jira""), ""Development &amp; Utilities"",
  TRUE, ""Others""
)"),"Productivity &amp; Communication")</f>
        <v>Productivity &amp; Communication</v>
      </c>
    </row>
    <row r="1698" ht="15.75" customHeight="1">
      <c r="A1698" s="14" t="s">
        <v>3366</v>
      </c>
      <c r="B1698" s="15" t="s">
        <v>3367</v>
      </c>
      <c r="C1698" s="16" t="s">
        <v>7</v>
      </c>
      <c r="D1698" s="12" t="str">
        <f>IFERROR(__xludf.DUMMYFUNCTION("IFS(
  REGEXMATCH(A1698&amp;B1698, ""(?i)openai|gpt|gemini|anthropic|claude|mistral|cohere|rag|vector|llm|chatbot|ai-powered""), ""AI &amp; LLM"",
  REGEXMATCH(A1698&amp;B1698, ""(?i)twitter|instagram|facebook|linkedin|youtube|tiktok|threads|bluesky|pinterest|social"&amp;" video|reels?|shorts?""), ""Social Media"",
  REGEXMATCH(A1698&amp;B1698, ""(?i)hubspot|pipedrive|stripe|shopify|woocommerce|sales|crm|invoice|order|leads?|recruitment|bamboohr|erpnext""), ""CRM &amp; Sales"",
  REGEXMATCH(A1698&amp;B1698, ""(?i)gmail|outlook|calenda"&amp;"r|slack|discord|telegram|whatsapp|notion|trello|drive|sheets?|meeting|scheduler|appointment|mattermost""), ""Productivity &amp; Communication"",
  REGEXMATCH(A1698&amp;B1698, ""(?i)github|api|webhook|http|mysql|supabase|mongodb|redis|rss|pr|code review|incident|p"&amp;"agerduty|jira""), ""Development &amp; Utilities"",
  TRUE, ""Others""
)"),"Development &amp; Utilities")</f>
        <v>Development &amp; Utilities</v>
      </c>
    </row>
    <row r="1699" ht="15.75" customHeight="1">
      <c r="A1699" s="14" t="s">
        <v>3368</v>
      </c>
      <c r="B1699" s="15" t="s">
        <v>3369</v>
      </c>
      <c r="C1699" s="16" t="s">
        <v>7</v>
      </c>
      <c r="D1699" s="12" t="str">
        <f>IFERROR(__xludf.DUMMYFUNCTION("IFS(
  REGEXMATCH(A1699&amp;B1699, ""(?i)openai|gpt|gemini|anthropic|claude|mistral|cohere|rag|vector|llm|chatbot|ai-powered""), ""AI &amp; LLM"",
  REGEXMATCH(A1699&amp;B1699, ""(?i)twitter|instagram|facebook|linkedin|youtube|tiktok|threads|bluesky|pinterest|social"&amp;" video|reels?|shorts?""), ""Social Media"",
  REGEXMATCH(A1699&amp;B1699, ""(?i)hubspot|pipedrive|stripe|shopify|woocommerce|sales|crm|invoice|order|leads?|recruitment|bamboohr|erpnext""), ""CRM &amp; Sales"",
  REGEXMATCH(A1699&amp;B1699, ""(?i)gmail|outlook|calenda"&amp;"r|slack|discord|telegram|whatsapp|notion|trello|drive|sheets?|meeting|scheduler|appointment|mattermost""), ""Productivity &amp; Communication"",
  REGEXMATCH(A1699&amp;B1699, ""(?i)github|api|webhook|http|mysql|supabase|mongodb|redis|rss|pr|code review|incident|p"&amp;"agerduty|jira""), ""Development &amp; Utilities"",
  TRUE, ""Others""
)"),"Development &amp; Utilities")</f>
        <v>Development &amp; Utilities</v>
      </c>
    </row>
    <row r="1700" ht="15.75" customHeight="1">
      <c r="A1700" s="14" t="s">
        <v>3370</v>
      </c>
      <c r="B1700" s="15" t="s">
        <v>3371</v>
      </c>
      <c r="C1700" s="16" t="s">
        <v>7</v>
      </c>
      <c r="D1700" s="12" t="str">
        <f>IFERROR(__xludf.DUMMYFUNCTION("IFS(
  REGEXMATCH(A1700&amp;B1700, ""(?i)openai|gpt|gemini|anthropic|claude|mistral|cohere|rag|vector|llm|chatbot|ai-powered""), ""AI &amp; LLM"",
  REGEXMATCH(A1700&amp;B1700, ""(?i)twitter|instagram|facebook|linkedin|youtube|tiktok|threads|bluesky|pinterest|social"&amp;" video|reels?|shorts?""), ""Social Media"",
  REGEXMATCH(A1700&amp;B1700, ""(?i)hubspot|pipedrive|stripe|shopify|woocommerce|sales|crm|invoice|order|leads?|recruitment|bamboohr|erpnext""), ""CRM &amp; Sales"",
  REGEXMATCH(A1700&amp;B1700, ""(?i)gmail|outlook|calenda"&amp;"r|slack|discord|telegram|whatsapp|notion|trello|drive|sheets?|meeting|scheduler|appointment|mattermost""), ""Productivity &amp; Communication"",
  REGEXMATCH(A1700&amp;B1700, ""(?i)github|api|webhook|http|mysql|supabase|mongodb|redis|rss|pr|code review|incident|p"&amp;"agerduty|jira""), ""Development &amp; Utilities"",
  TRUE, ""Others""
)"),"AI &amp; LLM")</f>
        <v>AI &amp; LLM</v>
      </c>
    </row>
    <row r="1701" ht="15.75" customHeight="1">
      <c r="A1701" s="14" t="s">
        <v>3372</v>
      </c>
      <c r="B1701" s="15" t="s">
        <v>3373</v>
      </c>
      <c r="C1701" s="16" t="s">
        <v>7</v>
      </c>
      <c r="D1701" s="12" t="str">
        <f>IFERROR(__xludf.DUMMYFUNCTION("IFS(
  REGEXMATCH(A1701&amp;B1701, ""(?i)openai|gpt|gemini|anthropic|claude|mistral|cohere|rag|vector|llm|chatbot|ai-powered""), ""AI &amp; LLM"",
  REGEXMATCH(A1701&amp;B1701, ""(?i)twitter|instagram|facebook|linkedin|youtube|tiktok|threads|bluesky|pinterest|social"&amp;" video|reels?|shorts?""), ""Social Media"",
  REGEXMATCH(A1701&amp;B1701, ""(?i)hubspot|pipedrive|stripe|shopify|woocommerce|sales|crm|invoice|order|leads?|recruitment|bamboohr|erpnext""), ""CRM &amp; Sales"",
  REGEXMATCH(A1701&amp;B1701, ""(?i)gmail|outlook|calenda"&amp;"r|slack|discord|telegram|whatsapp|notion|trello|drive|sheets?|meeting|scheduler|appointment|mattermost""), ""Productivity &amp; Communication"",
  REGEXMATCH(A1701&amp;B1701, ""(?i)github|api|webhook|http|mysql|supabase|mongodb|redis|rss|pr|code review|incident|p"&amp;"agerduty|jira""), ""Development &amp; Utilities"",
  TRUE, ""Others""
)"),"AI &amp; LLM")</f>
        <v>AI &amp; LLM</v>
      </c>
    </row>
    <row r="1702" ht="15.75" customHeight="1">
      <c r="A1702" s="14" t="s">
        <v>3374</v>
      </c>
      <c r="B1702" s="15" t="s">
        <v>3375</v>
      </c>
      <c r="C1702" s="16" t="s">
        <v>7</v>
      </c>
      <c r="D1702" s="12" t="str">
        <f>IFERROR(__xludf.DUMMYFUNCTION("IFS(
  REGEXMATCH(A1702&amp;B1702, ""(?i)openai|gpt|gemini|anthropic|claude|mistral|cohere|rag|vector|llm|chatbot|ai-powered""), ""AI &amp; LLM"",
  REGEXMATCH(A1702&amp;B1702, ""(?i)twitter|instagram|facebook|linkedin|youtube|tiktok|threads|bluesky|pinterest|social"&amp;" video|reels?|shorts?""), ""Social Media"",
  REGEXMATCH(A1702&amp;B1702, ""(?i)hubspot|pipedrive|stripe|shopify|woocommerce|sales|crm|invoice|order|leads?|recruitment|bamboohr|erpnext""), ""CRM &amp; Sales"",
  REGEXMATCH(A1702&amp;B1702, ""(?i)gmail|outlook|calenda"&amp;"r|slack|discord|telegram|whatsapp|notion|trello|drive|sheets?|meeting|scheduler|appointment|mattermost""), ""Productivity &amp; Communication"",
  REGEXMATCH(A1702&amp;B1702, ""(?i)github|api|webhook|http|mysql|supabase|mongodb|redis|rss|pr|code review|incident|p"&amp;"agerduty|jira""), ""Development &amp; Utilities"",
  TRUE, ""Others""
)"),"Development &amp; Utilities")</f>
        <v>Development &amp; Utilities</v>
      </c>
    </row>
    <row r="1703" ht="15.75" customHeight="1">
      <c r="A1703" s="14" t="s">
        <v>3376</v>
      </c>
      <c r="B1703" s="15" t="s">
        <v>3377</v>
      </c>
      <c r="C1703" s="16" t="s">
        <v>7</v>
      </c>
      <c r="D1703" s="12" t="str">
        <f>IFERROR(__xludf.DUMMYFUNCTION("IFS(
  REGEXMATCH(A1703&amp;B1703, ""(?i)openai|gpt|gemini|anthropic|claude|mistral|cohere|rag|vector|llm|chatbot|ai-powered""), ""AI &amp; LLM"",
  REGEXMATCH(A1703&amp;B1703, ""(?i)twitter|instagram|facebook|linkedin|youtube|tiktok|threads|bluesky|pinterest|social"&amp;" video|reels?|shorts?""), ""Social Media"",
  REGEXMATCH(A1703&amp;B1703, ""(?i)hubspot|pipedrive|stripe|shopify|woocommerce|sales|crm|invoice|order|leads?|recruitment|bamboohr|erpnext""), ""CRM &amp; Sales"",
  REGEXMATCH(A1703&amp;B1703, ""(?i)gmail|outlook|calenda"&amp;"r|slack|discord|telegram|whatsapp|notion|trello|drive|sheets?|meeting|scheduler|appointment|mattermost""), ""Productivity &amp; Communication"",
  REGEXMATCH(A1703&amp;B1703, ""(?i)github|api|webhook|http|mysql|supabase|mongodb|redis|rss|pr|code review|incident|p"&amp;"agerduty|jira""), ""Development &amp; Utilities"",
  TRUE, ""Others""
)"),"Development &amp; Utilities")</f>
        <v>Development &amp; Utilities</v>
      </c>
    </row>
    <row r="1704" ht="15.75" customHeight="1">
      <c r="A1704" s="14" t="s">
        <v>3378</v>
      </c>
      <c r="B1704" s="15" t="s">
        <v>3379</v>
      </c>
      <c r="C1704" s="16" t="s">
        <v>7</v>
      </c>
      <c r="D1704" s="12" t="str">
        <f>IFERROR(__xludf.DUMMYFUNCTION("IFS(
  REGEXMATCH(A1704&amp;B1704, ""(?i)openai|gpt|gemini|anthropic|claude|mistral|cohere|rag|vector|llm|chatbot|ai-powered""), ""AI &amp; LLM"",
  REGEXMATCH(A1704&amp;B1704, ""(?i)twitter|instagram|facebook|linkedin|youtube|tiktok|threads|bluesky|pinterest|social"&amp;" video|reels?|shorts?""), ""Social Media"",
  REGEXMATCH(A1704&amp;B1704, ""(?i)hubspot|pipedrive|stripe|shopify|woocommerce|sales|crm|invoice|order|leads?|recruitment|bamboohr|erpnext""), ""CRM &amp; Sales"",
  REGEXMATCH(A1704&amp;B1704, ""(?i)gmail|outlook|calenda"&amp;"r|slack|discord|telegram|whatsapp|notion|trello|drive|sheets?|meeting|scheduler|appointment|mattermost""), ""Productivity &amp; Communication"",
  REGEXMATCH(A1704&amp;B1704, ""(?i)github|api|webhook|http|mysql|supabase|mongodb|redis|rss|pr|code review|incident|p"&amp;"agerduty|jira""), ""Development &amp; Utilities"",
  TRUE, ""Others""
)"),"Productivity &amp; Communication")</f>
        <v>Productivity &amp; Communication</v>
      </c>
    </row>
    <row r="1705" ht="15.75" customHeight="1">
      <c r="A1705" s="14" t="s">
        <v>3380</v>
      </c>
      <c r="B1705" s="15" t="s">
        <v>3381</v>
      </c>
      <c r="C1705" s="16" t="s">
        <v>7</v>
      </c>
      <c r="D1705" s="12" t="str">
        <f>IFERROR(__xludf.DUMMYFUNCTION("IFS(
  REGEXMATCH(A1705&amp;B1705, ""(?i)openai|gpt|gemini|anthropic|claude|mistral|cohere|rag|vector|llm|chatbot|ai-powered""), ""AI &amp; LLM"",
  REGEXMATCH(A1705&amp;B1705, ""(?i)twitter|instagram|facebook|linkedin|youtube|tiktok|threads|bluesky|pinterest|social"&amp;" video|reels?|shorts?""), ""Social Media"",
  REGEXMATCH(A1705&amp;B1705, ""(?i)hubspot|pipedrive|stripe|shopify|woocommerce|sales|crm|invoice|order|leads?|recruitment|bamboohr|erpnext""), ""CRM &amp; Sales"",
  REGEXMATCH(A1705&amp;B1705, ""(?i)gmail|outlook|calenda"&amp;"r|slack|discord|telegram|whatsapp|notion|trello|drive|sheets?|meeting|scheduler|appointment|mattermost""), ""Productivity &amp; Communication"",
  REGEXMATCH(A1705&amp;B1705, ""(?i)github|api|webhook|http|mysql|supabase|mongodb|redis|rss|pr|code review|incident|p"&amp;"agerduty|jira""), ""Development &amp; Utilities"",
  TRUE, ""Others""
)"),"Development &amp; Utilities")</f>
        <v>Development &amp; Utilities</v>
      </c>
    </row>
    <row r="1706" ht="15.75" customHeight="1">
      <c r="A1706" s="14" t="s">
        <v>3382</v>
      </c>
      <c r="B1706" s="15" t="s">
        <v>3383</v>
      </c>
      <c r="C1706" s="16" t="s">
        <v>7</v>
      </c>
      <c r="D1706" s="12" t="str">
        <f>IFERROR(__xludf.DUMMYFUNCTION("IFS(
  REGEXMATCH(A1706&amp;B1706, ""(?i)openai|gpt|gemini|anthropic|claude|mistral|cohere|rag|vector|llm|chatbot|ai-powered""), ""AI &amp; LLM"",
  REGEXMATCH(A1706&amp;B1706, ""(?i)twitter|instagram|facebook|linkedin|youtube|tiktok|threads|bluesky|pinterest|social"&amp;" video|reels?|shorts?""), ""Social Media"",
  REGEXMATCH(A1706&amp;B1706, ""(?i)hubspot|pipedrive|stripe|shopify|woocommerce|sales|crm|invoice|order|leads?|recruitment|bamboohr|erpnext""), ""CRM &amp; Sales"",
  REGEXMATCH(A1706&amp;B1706, ""(?i)gmail|outlook|calenda"&amp;"r|slack|discord|telegram|whatsapp|notion|trello|drive|sheets?|meeting|scheduler|appointment|mattermost""), ""Productivity &amp; Communication"",
  REGEXMATCH(A1706&amp;B1706, ""(?i)github|api|webhook|http|mysql|supabase|mongodb|redis|rss|pr|code review|incident|p"&amp;"agerduty|jira""), ""Development &amp; Utilities"",
  TRUE, ""Others""
)"),"Productivity &amp; Communication")</f>
        <v>Productivity &amp; Communication</v>
      </c>
    </row>
    <row r="1707" ht="15.75" customHeight="1">
      <c r="A1707" s="14" t="s">
        <v>3384</v>
      </c>
      <c r="B1707" s="15" t="s">
        <v>3385</v>
      </c>
      <c r="C1707" s="16" t="s">
        <v>7</v>
      </c>
      <c r="D1707" s="12" t="str">
        <f>IFERROR(__xludf.DUMMYFUNCTION("IFS(
  REGEXMATCH(A1707&amp;B1707, ""(?i)openai|gpt|gemini|anthropic|claude|mistral|cohere|rag|vector|llm|chatbot|ai-powered""), ""AI &amp; LLM"",
  REGEXMATCH(A1707&amp;B1707, ""(?i)twitter|instagram|facebook|linkedin|youtube|tiktok|threads|bluesky|pinterest|social"&amp;" video|reels?|shorts?""), ""Social Media"",
  REGEXMATCH(A1707&amp;B1707, ""(?i)hubspot|pipedrive|stripe|shopify|woocommerce|sales|crm|invoice|order|leads?|recruitment|bamboohr|erpnext""), ""CRM &amp; Sales"",
  REGEXMATCH(A1707&amp;B1707, ""(?i)gmail|outlook|calenda"&amp;"r|slack|discord|telegram|whatsapp|notion|trello|drive|sheets?|meeting|scheduler|appointment|mattermost""), ""Productivity &amp; Communication"",
  REGEXMATCH(A1707&amp;B1707, ""(?i)github|api|webhook|http|mysql|supabase|mongodb|redis|rss|pr|code review|incident|p"&amp;"agerduty|jira""), ""Development &amp; Utilities"",
  TRUE, ""Others""
)"),"AI &amp; LLM")</f>
        <v>AI &amp; LLM</v>
      </c>
    </row>
    <row r="1708" ht="15.75" customHeight="1">
      <c r="A1708" s="14" t="s">
        <v>3386</v>
      </c>
      <c r="B1708" s="15" t="s">
        <v>3387</v>
      </c>
      <c r="C1708" s="16" t="s">
        <v>7</v>
      </c>
      <c r="D1708" s="12" t="str">
        <f>IFERROR(__xludf.DUMMYFUNCTION("IFS(
  REGEXMATCH(A1708&amp;B1708, ""(?i)openai|gpt|gemini|anthropic|claude|mistral|cohere|rag|vector|llm|chatbot|ai-powered""), ""AI &amp; LLM"",
  REGEXMATCH(A1708&amp;B1708, ""(?i)twitter|instagram|facebook|linkedin|youtube|tiktok|threads|bluesky|pinterest|social"&amp;" video|reels?|shorts?""), ""Social Media"",
  REGEXMATCH(A1708&amp;B1708, ""(?i)hubspot|pipedrive|stripe|shopify|woocommerce|sales|crm|invoice|order|leads?|recruitment|bamboohr|erpnext""), ""CRM &amp; Sales"",
  REGEXMATCH(A1708&amp;B1708, ""(?i)gmail|outlook|calenda"&amp;"r|slack|discord|telegram|whatsapp|notion|trello|drive|sheets?|meeting|scheduler|appointment|mattermost""), ""Productivity &amp; Communication"",
  REGEXMATCH(A1708&amp;B1708, ""(?i)github|api|webhook|http|mysql|supabase|mongodb|redis|rss|pr|code review|incident|p"&amp;"agerduty|jira""), ""Development &amp; Utilities"",
  TRUE, ""Others""
)"),"Development &amp; Utilities")</f>
        <v>Development &amp; Utilities</v>
      </c>
    </row>
    <row r="1709" ht="15.75" customHeight="1">
      <c r="A1709" s="14" t="s">
        <v>3388</v>
      </c>
      <c r="B1709" s="15" t="s">
        <v>3389</v>
      </c>
      <c r="C1709" s="16" t="s">
        <v>7</v>
      </c>
      <c r="D1709" s="12" t="str">
        <f>IFERROR(__xludf.DUMMYFUNCTION("IFS(
  REGEXMATCH(A1709&amp;B1709, ""(?i)openai|gpt|gemini|anthropic|claude|mistral|cohere|rag|vector|llm|chatbot|ai-powered""), ""AI &amp; LLM"",
  REGEXMATCH(A1709&amp;B1709, ""(?i)twitter|instagram|facebook|linkedin|youtube|tiktok|threads|bluesky|pinterest|social"&amp;" video|reels?|shorts?""), ""Social Media"",
  REGEXMATCH(A1709&amp;B1709, ""(?i)hubspot|pipedrive|stripe|shopify|woocommerce|sales|crm|invoice|order|leads?|recruitment|bamboohr|erpnext""), ""CRM &amp; Sales"",
  REGEXMATCH(A1709&amp;B1709, ""(?i)gmail|outlook|calenda"&amp;"r|slack|discord|telegram|whatsapp|notion|trello|drive|sheets?|meeting|scheduler|appointment|mattermost""), ""Productivity &amp; Communication"",
  REGEXMATCH(A1709&amp;B1709, ""(?i)github|api|webhook|http|mysql|supabase|mongodb|redis|rss|pr|code review|incident|p"&amp;"agerduty|jira""), ""Development &amp; Utilities"",
  TRUE, ""Others""
)"),"Others")</f>
        <v>Others</v>
      </c>
    </row>
    <row r="1710" ht="15.75" customHeight="1">
      <c r="A1710" s="14" t="s">
        <v>3390</v>
      </c>
      <c r="B1710" s="15" t="s">
        <v>3391</v>
      </c>
      <c r="C1710" s="16" t="s">
        <v>7</v>
      </c>
      <c r="D1710" s="12" t="str">
        <f>IFERROR(__xludf.DUMMYFUNCTION("IFS(
  REGEXMATCH(A1710&amp;B1710, ""(?i)openai|gpt|gemini|anthropic|claude|mistral|cohere|rag|vector|llm|chatbot|ai-powered""), ""AI &amp; LLM"",
  REGEXMATCH(A1710&amp;B1710, ""(?i)twitter|instagram|facebook|linkedin|youtube|tiktok|threads|bluesky|pinterest|social"&amp;" video|reels?|shorts?""), ""Social Media"",
  REGEXMATCH(A1710&amp;B1710, ""(?i)hubspot|pipedrive|stripe|shopify|woocommerce|sales|crm|invoice|order|leads?|recruitment|bamboohr|erpnext""), ""CRM &amp; Sales"",
  REGEXMATCH(A1710&amp;B1710, ""(?i)gmail|outlook|calenda"&amp;"r|slack|discord|telegram|whatsapp|notion|trello|drive|sheets?|meeting|scheduler|appointment|mattermost""), ""Productivity &amp; Communication"",
  REGEXMATCH(A1710&amp;B1710, ""(?i)github|api|webhook|http|mysql|supabase|mongodb|redis|rss|pr|code review|incident|p"&amp;"agerduty|jira""), ""Development &amp; Utilities"",
  TRUE, ""Others""
)"),"CRM &amp; Sales")</f>
        <v>CRM &amp; Sales</v>
      </c>
    </row>
    <row r="1711" ht="15.75" customHeight="1">
      <c r="A1711" s="14" t="s">
        <v>3392</v>
      </c>
      <c r="B1711" s="15" t="s">
        <v>3393</v>
      </c>
      <c r="C1711" s="16" t="s">
        <v>7</v>
      </c>
      <c r="D1711" s="12" t="str">
        <f>IFERROR(__xludf.DUMMYFUNCTION("IFS(
  REGEXMATCH(A1711&amp;B1711, ""(?i)openai|gpt|gemini|anthropic|claude|mistral|cohere|rag|vector|llm|chatbot|ai-powered""), ""AI &amp; LLM"",
  REGEXMATCH(A1711&amp;B1711, ""(?i)twitter|instagram|facebook|linkedin|youtube|tiktok|threads|bluesky|pinterest|social"&amp;" video|reels?|shorts?""), ""Social Media"",
  REGEXMATCH(A1711&amp;B1711, ""(?i)hubspot|pipedrive|stripe|shopify|woocommerce|sales|crm|invoice|order|leads?|recruitment|bamboohr|erpnext""), ""CRM &amp; Sales"",
  REGEXMATCH(A1711&amp;B1711, ""(?i)gmail|outlook|calenda"&amp;"r|slack|discord|telegram|whatsapp|notion|trello|drive|sheets?|meeting|scheduler|appointment|mattermost""), ""Productivity &amp; Communication"",
  REGEXMATCH(A1711&amp;B1711, ""(?i)github|api|webhook|http|mysql|supabase|mongodb|redis|rss|pr|code review|incident|p"&amp;"agerduty|jira""), ""Development &amp; Utilities"",
  TRUE, ""Others""
)"),"Development &amp; Utilities")</f>
        <v>Development &amp; Utilities</v>
      </c>
    </row>
    <row r="1712" ht="15.75" customHeight="1">
      <c r="A1712" s="14" t="s">
        <v>3394</v>
      </c>
      <c r="B1712" s="15" t="s">
        <v>3395</v>
      </c>
      <c r="C1712" s="16" t="s">
        <v>7</v>
      </c>
      <c r="D1712" s="12" t="str">
        <f>IFERROR(__xludf.DUMMYFUNCTION("IFS(
  REGEXMATCH(A1712&amp;B1712, ""(?i)openai|gpt|gemini|anthropic|claude|mistral|cohere|rag|vector|llm|chatbot|ai-powered""), ""AI &amp; LLM"",
  REGEXMATCH(A1712&amp;B1712, ""(?i)twitter|instagram|facebook|linkedin|youtube|tiktok|threads|bluesky|pinterest|social"&amp;" video|reels?|shorts?""), ""Social Media"",
  REGEXMATCH(A1712&amp;B1712, ""(?i)hubspot|pipedrive|stripe|shopify|woocommerce|sales|crm|invoice|order|leads?|recruitment|bamboohr|erpnext""), ""CRM &amp; Sales"",
  REGEXMATCH(A1712&amp;B1712, ""(?i)gmail|outlook|calenda"&amp;"r|slack|discord|telegram|whatsapp|notion|trello|drive|sheets?|meeting|scheduler|appointment|mattermost""), ""Productivity &amp; Communication"",
  REGEXMATCH(A1712&amp;B1712, ""(?i)github|api|webhook|http|mysql|supabase|mongodb|redis|rss|pr|code review|incident|p"&amp;"agerduty|jira""), ""Development &amp; Utilities"",
  TRUE, ""Others""
)"),"Productivity &amp; Communication")</f>
        <v>Productivity &amp; Communication</v>
      </c>
    </row>
    <row r="1713" ht="15.75" customHeight="1">
      <c r="A1713" s="14" t="s">
        <v>3396</v>
      </c>
      <c r="B1713" s="15" t="s">
        <v>3397</v>
      </c>
      <c r="C1713" s="16" t="s">
        <v>7</v>
      </c>
      <c r="D1713" s="12" t="str">
        <f>IFERROR(__xludf.DUMMYFUNCTION("IFS(
  REGEXMATCH(A1713&amp;B1713, ""(?i)openai|gpt|gemini|anthropic|claude|mistral|cohere|rag|vector|llm|chatbot|ai-powered""), ""AI &amp; LLM"",
  REGEXMATCH(A1713&amp;B1713, ""(?i)twitter|instagram|facebook|linkedin|youtube|tiktok|threads|bluesky|pinterest|social"&amp;" video|reels?|shorts?""), ""Social Media"",
  REGEXMATCH(A1713&amp;B1713, ""(?i)hubspot|pipedrive|stripe|shopify|woocommerce|sales|crm|invoice|order|leads?|recruitment|bamboohr|erpnext""), ""CRM &amp; Sales"",
  REGEXMATCH(A1713&amp;B1713, ""(?i)gmail|outlook|calenda"&amp;"r|slack|discord|telegram|whatsapp|notion|trello|drive|sheets?|meeting|scheduler|appointment|mattermost""), ""Productivity &amp; Communication"",
  REGEXMATCH(A1713&amp;B1713, ""(?i)github|api|webhook|http|mysql|supabase|mongodb|redis|rss|pr|code review|incident|p"&amp;"agerduty|jira""), ""Development &amp; Utilities"",
  TRUE, ""Others""
)"),"Development &amp; Utilities")</f>
        <v>Development &amp; Utilities</v>
      </c>
    </row>
    <row r="1714" ht="15.75" customHeight="1">
      <c r="A1714" s="14" t="s">
        <v>3398</v>
      </c>
      <c r="B1714" s="15" t="s">
        <v>3399</v>
      </c>
      <c r="C1714" s="16" t="s">
        <v>7</v>
      </c>
      <c r="D1714" s="12" t="str">
        <f>IFERROR(__xludf.DUMMYFUNCTION("IFS(
  REGEXMATCH(A1714&amp;B1714, ""(?i)openai|gpt|gemini|anthropic|claude|mistral|cohere|rag|vector|llm|chatbot|ai-powered""), ""AI &amp; LLM"",
  REGEXMATCH(A1714&amp;B1714, ""(?i)twitter|instagram|facebook|linkedin|youtube|tiktok|threads|bluesky|pinterest|social"&amp;" video|reels?|shorts?""), ""Social Media"",
  REGEXMATCH(A1714&amp;B1714, ""(?i)hubspot|pipedrive|stripe|shopify|woocommerce|sales|crm|invoice|order|leads?|recruitment|bamboohr|erpnext""), ""CRM &amp; Sales"",
  REGEXMATCH(A1714&amp;B1714, ""(?i)gmail|outlook|calenda"&amp;"r|slack|discord|telegram|whatsapp|notion|trello|drive|sheets?|meeting|scheduler|appointment|mattermost""), ""Productivity &amp; Communication"",
  REGEXMATCH(A1714&amp;B1714, ""(?i)github|api|webhook|http|mysql|supabase|mongodb|redis|rss|pr|code review|incident|p"&amp;"agerduty|jira""), ""Development &amp; Utilities"",
  TRUE, ""Others""
)"),"CRM &amp; Sales")</f>
        <v>CRM &amp; Sales</v>
      </c>
    </row>
    <row r="1715" ht="15.75" customHeight="1">
      <c r="A1715" s="14" t="s">
        <v>3400</v>
      </c>
      <c r="B1715" s="15" t="s">
        <v>3401</v>
      </c>
      <c r="C1715" s="16" t="s">
        <v>7</v>
      </c>
      <c r="D1715" s="12" t="str">
        <f>IFERROR(__xludf.DUMMYFUNCTION("IFS(
  REGEXMATCH(A1715&amp;B1715, ""(?i)openai|gpt|gemini|anthropic|claude|mistral|cohere|rag|vector|llm|chatbot|ai-powered""), ""AI &amp; LLM"",
  REGEXMATCH(A1715&amp;B1715, ""(?i)twitter|instagram|facebook|linkedin|youtube|tiktok|threads|bluesky|pinterest|social"&amp;" video|reels?|shorts?""), ""Social Media"",
  REGEXMATCH(A1715&amp;B1715, ""(?i)hubspot|pipedrive|stripe|shopify|woocommerce|sales|crm|invoice|order|leads?|recruitment|bamboohr|erpnext""), ""CRM &amp; Sales"",
  REGEXMATCH(A1715&amp;B1715, ""(?i)gmail|outlook|calenda"&amp;"r|slack|discord|telegram|whatsapp|notion|trello|drive|sheets?|meeting|scheduler|appointment|mattermost""), ""Productivity &amp; Communication"",
  REGEXMATCH(A1715&amp;B1715, ""(?i)github|api|webhook|http|mysql|supabase|mongodb|redis|rss|pr|code review|incident|p"&amp;"agerduty|jira""), ""Development &amp; Utilities"",
  TRUE, ""Others""
)"),"Social Media")</f>
        <v>Social Media</v>
      </c>
    </row>
    <row r="1716" ht="15.75" customHeight="1">
      <c r="A1716" s="14" t="s">
        <v>3402</v>
      </c>
      <c r="B1716" s="15" t="s">
        <v>3403</v>
      </c>
      <c r="C1716" s="16" t="s">
        <v>7</v>
      </c>
      <c r="D1716" s="12" t="str">
        <f>IFERROR(__xludf.DUMMYFUNCTION("IFS(
  REGEXMATCH(A1716&amp;B1716, ""(?i)openai|gpt|gemini|anthropic|claude|mistral|cohere|rag|vector|llm|chatbot|ai-powered""), ""AI &amp; LLM"",
  REGEXMATCH(A1716&amp;B1716, ""(?i)twitter|instagram|facebook|linkedin|youtube|tiktok|threads|bluesky|pinterest|social"&amp;" video|reels?|shorts?""), ""Social Media"",
  REGEXMATCH(A1716&amp;B1716, ""(?i)hubspot|pipedrive|stripe|shopify|woocommerce|sales|crm|invoice|order|leads?|recruitment|bamboohr|erpnext""), ""CRM &amp; Sales"",
  REGEXMATCH(A1716&amp;B1716, ""(?i)gmail|outlook|calenda"&amp;"r|slack|discord|telegram|whatsapp|notion|trello|drive|sheets?|meeting|scheduler|appointment|mattermost""), ""Productivity &amp; Communication"",
  REGEXMATCH(A1716&amp;B1716, ""(?i)github|api|webhook|http|mysql|supabase|mongodb|redis|rss|pr|code review|incident|p"&amp;"agerduty|jira""), ""Development &amp; Utilities"",
  TRUE, ""Others""
)"),"Development &amp; Utilities")</f>
        <v>Development &amp; Utilities</v>
      </c>
    </row>
    <row r="1717" ht="15.75" customHeight="1">
      <c r="A1717" s="14" t="s">
        <v>3404</v>
      </c>
      <c r="B1717" s="15" t="s">
        <v>3405</v>
      </c>
      <c r="C1717" s="16" t="s">
        <v>7</v>
      </c>
      <c r="D1717" s="12" t="str">
        <f>IFERROR(__xludf.DUMMYFUNCTION("IFS(
  REGEXMATCH(A1717&amp;B1717, ""(?i)openai|gpt|gemini|anthropic|claude|mistral|cohere|rag|vector|llm|chatbot|ai-powered""), ""AI &amp; LLM"",
  REGEXMATCH(A1717&amp;B1717, ""(?i)twitter|instagram|facebook|linkedin|youtube|tiktok|threads|bluesky|pinterest|social"&amp;" video|reels?|shorts?""), ""Social Media"",
  REGEXMATCH(A1717&amp;B1717, ""(?i)hubspot|pipedrive|stripe|shopify|woocommerce|sales|crm|invoice|order|leads?|recruitment|bamboohr|erpnext""), ""CRM &amp; Sales"",
  REGEXMATCH(A1717&amp;B1717, ""(?i)gmail|outlook|calenda"&amp;"r|slack|discord|telegram|whatsapp|notion|trello|drive|sheets?|meeting|scheduler|appointment|mattermost""), ""Productivity &amp; Communication"",
  REGEXMATCH(A1717&amp;B1717, ""(?i)github|api|webhook|http|mysql|supabase|mongodb|redis|rss|pr|code review|incident|p"&amp;"agerduty|jira""), ""Development &amp; Utilities"",
  TRUE, ""Others""
)"),"Development &amp; Utilities")</f>
        <v>Development &amp; Utilities</v>
      </c>
    </row>
    <row r="1718" ht="15.75" customHeight="1">
      <c r="A1718" s="14" t="s">
        <v>3406</v>
      </c>
      <c r="B1718" s="15" t="s">
        <v>3407</v>
      </c>
      <c r="C1718" s="16" t="s">
        <v>7</v>
      </c>
      <c r="D1718" s="12" t="str">
        <f>IFERROR(__xludf.DUMMYFUNCTION("IFS(
  REGEXMATCH(A1718&amp;B1718, ""(?i)openai|gpt|gemini|anthropic|claude|mistral|cohere|rag|vector|llm|chatbot|ai-powered""), ""AI &amp; LLM"",
  REGEXMATCH(A1718&amp;B1718, ""(?i)twitter|instagram|facebook|linkedin|youtube|tiktok|threads|bluesky|pinterest|social"&amp;" video|reels?|shorts?""), ""Social Media"",
  REGEXMATCH(A1718&amp;B1718, ""(?i)hubspot|pipedrive|stripe|shopify|woocommerce|sales|crm|invoice|order|leads?|recruitment|bamboohr|erpnext""), ""CRM &amp; Sales"",
  REGEXMATCH(A1718&amp;B1718, ""(?i)gmail|outlook|calenda"&amp;"r|slack|discord|telegram|whatsapp|notion|trello|drive|sheets?|meeting|scheduler|appointment|mattermost""), ""Productivity &amp; Communication"",
  REGEXMATCH(A1718&amp;B1718, ""(?i)github|api|webhook|http|mysql|supabase|mongodb|redis|rss|pr|code review|incident|p"&amp;"agerduty|jira""), ""Development &amp; Utilities"",
  TRUE, ""Others""
)"),"AI &amp; LLM")</f>
        <v>AI &amp; LLM</v>
      </c>
    </row>
    <row r="1719" ht="15.75" customHeight="1">
      <c r="A1719" s="14" t="s">
        <v>3408</v>
      </c>
      <c r="B1719" s="15" t="s">
        <v>3409</v>
      </c>
      <c r="C1719" s="16" t="s">
        <v>7</v>
      </c>
      <c r="D1719" s="12" t="str">
        <f>IFERROR(__xludf.DUMMYFUNCTION("IFS(
  REGEXMATCH(A1719&amp;B1719, ""(?i)openai|gpt|gemini|anthropic|claude|mistral|cohere|rag|vector|llm|chatbot|ai-powered""), ""AI &amp; LLM"",
  REGEXMATCH(A1719&amp;B1719, ""(?i)twitter|instagram|facebook|linkedin|youtube|tiktok|threads|bluesky|pinterest|social"&amp;" video|reels?|shorts?""), ""Social Media"",
  REGEXMATCH(A1719&amp;B1719, ""(?i)hubspot|pipedrive|stripe|shopify|woocommerce|sales|crm|invoice|order|leads?|recruitment|bamboohr|erpnext""), ""CRM &amp; Sales"",
  REGEXMATCH(A1719&amp;B1719, ""(?i)gmail|outlook|calenda"&amp;"r|slack|discord|telegram|whatsapp|notion|trello|drive|sheets?|meeting|scheduler|appointment|mattermost""), ""Productivity &amp; Communication"",
  REGEXMATCH(A1719&amp;B1719, ""(?i)github|api|webhook|http|mysql|supabase|mongodb|redis|rss|pr|code review|incident|p"&amp;"agerduty|jira""), ""Development &amp; Utilities"",
  TRUE, ""Others""
)"),"AI &amp; LLM")</f>
        <v>AI &amp; LLM</v>
      </c>
    </row>
    <row r="1720" ht="15.75" customHeight="1">
      <c r="A1720" s="14" t="s">
        <v>3410</v>
      </c>
      <c r="B1720" s="15" t="s">
        <v>3411</v>
      </c>
      <c r="C1720" s="16" t="s">
        <v>7</v>
      </c>
      <c r="D1720" s="12" t="str">
        <f>IFERROR(__xludf.DUMMYFUNCTION("IFS(
  REGEXMATCH(A1720&amp;B1720, ""(?i)openai|gpt|gemini|anthropic|claude|mistral|cohere|rag|vector|llm|chatbot|ai-powered""), ""AI &amp; LLM"",
  REGEXMATCH(A1720&amp;B1720, ""(?i)twitter|instagram|facebook|linkedin|youtube|tiktok|threads|bluesky|pinterest|social"&amp;" video|reels?|shorts?""), ""Social Media"",
  REGEXMATCH(A1720&amp;B1720, ""(?i)hubspot|pipedrive|stripe|shopify|woocommerce|sales|crm|invoice|order|leads?|recruitment|bamboohr|erpnext""), ""CRM &amp; Sales"",
  REGEXMATCH(A1720&amp;B1720, ""(?i)gmail|outlook|calenda"&amp;"r|slack|discord|telegram|whatsapp|notion|trello|drive|sheets?|meeting|scheduler|appointment|mattermost""), ""Productivity &amp; Communication"",
  REGEXMATCH(A1720&amp;B1720, ""(?i)github|api|webhook|http|mysql|supabase|mongodb|redis|rss|pr|code review|incident|p"&amp;"agerduty|jira""), ""Development &amp; Utilities"",
  TRUE, ""Others""
)"),"Productivity &amp; Communication")</f>
        <v>Productivity &amp; Communication</v>
      </c>
    </row>
    <row r="1721" ht="15.75" customHeight="1">
      <c r="A1721" s="14" t="s">
        <v>3412</v>
      </c>
      <c r="B1721" s="15" t="s">
        <v>3413</v>
      </c>
      <c r="C1721" s="16" t="s">
        <v>7</v>
      </c>
      <c r="D1721" s="12" t="str">
        <f>IFERROR(__xludf.DUMMYFUNCTION("IFS(
  REGEXMATCH(A1721&amp;B1721, ""(?i)openai|gpt|gemini|anthropic|claude|mistral|cohere|rag|vector|llm|chatbot|ai-powered""), ""AI &amp; LLM"",
  REGEXMATCH(A1721&amp;B1721, ""(?i)twitter|instagram|facebook|linkedin|youtube|tiktok|threads|bluesky|pinterest|social"&amp;" video|reels?|shorts?""), ""Social Media"",
  REGEXMATCH(A1721&amp;B1721, ""(?i)hubspot|pipedrive|stripe|shopify|woocommerce|sales|crm|invoice|order|leads?|recruitment|bamboohr|erpnext""), ""CRM &amp; Sales"",
  REGEXMATCH(A1721&amp;B1721, ""(?i)gmail|outlook|calenda"&amp;"r|slack|discord|telegram|whatsapp|notion|trello|drive|sheets?|meeting|scheduler|appointment|mattermost""), ""Productivity &amp; Communication"",
  REGEXMATCH(A1721&amp;B1721, ""(?i)github|api|webhook|http|mysql|supabase|mongodb|redis|rss|pr|code review|incident|p"&amp;"agerduty|jira""), ""Development &amp; Utilities"",
  TRUE, ""Others""
)"),"Productivity &amp; Communication")</f>
        <v>Productivity &amp; Communication</v>
      </c>
    </row>
    <row r="1722" ht="15.75" customHeight="1">
      <c r="A1722" s="14" t="s">
        <v>3414</v>
      </c>
      <c r="B1722" s="15" t="s">
        <v>3415</v>
      </c>
      <c r="C1722" s="16" t="s">
        <v>7</v>
      </c>
      <c r="D1722" s="12" t="str">
        <f>IFERROR(__xludf.DUMMYFUNCTION("IFS(
  REGEXMATCH(A1722&amp;B1722, ""(?i)openai|gpt|gemini|anthropic|claude|mistral|cohere|rag|vector|llm|chatbot|ai-powered""), ""AI &amp; LLM"",
  REGEXMATCH(A1722&amp;B1722, ""(?i)twitter|instagram|facebook|linkedin|youtube|tiktok|threads|bluesky|pinterest|social"&amp;" video|reels?|shorts?""), ""Social Media"",
  REGEXMATCH(A1722&amp;B1722, ""(?i)hubspot|pipedrive|stripe|shopify|woocommerce|sales|crm|invoice|order|leads?|recruitment|bamboohr|erpnext""), ""CRM &amp; Sales"",
  REGEXMATCH(A1722&amp;B1722, ""(?i)gmail|outlook|calenda"&amp;"r|slack|discord|telegram|whatsapp|notion|trello|drive|sheets?|meeting|scheduler|appointment|mattermost""), ""Productivity &amp; Communication"",
  REGEXMATCH(A1722&amp;B1722, ""(?i)github|api|webhook|http|mysql|supabase|mongodb|redis|rss|pr|code review|incident|p"&amp;"agerduty|jira""), ""Development &amp; Utilities"",
  TRUE, ""Others""
)"),"Development &amp; Utilities")</f>
        <v>Development &amp; Utilities</v>
      </c>
    </row>
    <row r="1723" ht="15.75" customHeight="1">
      <c r="A1723" s="14" t="s">
        <v>3416</v>
      </c>
      <c r="B1723" s="15" t="s">
        <v>3417</v>
      </c>
      <c r="C1723" s="16" t="s">
        <v>7</v>
      </c>
      <c r="D1723" s="12" t="str">
        <f>IFERROR(__xludf.DUMMYFUNCTION("IFS(
  REGEXMATCH(A1723&amp;B1723, ""(?i)openai|gpt|gemini|anthropic|claude|mistral|cohere|rag|vector|llm|chatbot|ai-powered""), ""AI &amp; LLM"",
  REGEXMATCH(A1723&amp;B1723, ""(?i)twitter|instagram|facebook|linkedin|youtube|tiktok|threads|bluesky|pinterest|social"&amp;" video|reels?|shorts?""), ""Social Media"",
  REGEXMATCH(A1723&amp;B1723, ""(?i)hubspot|pipedrive|stripe|shopify|woocommerce|sales|crm|invoice|order|leads?|recruitment|bamboohr|erpnext""), ""CRM &amp; Sales"",
  REGEXMATCH(A1723&amp;B1723, ""(?i)gmail|outlook|calenda"&amp;"r|slack|discord|telegram|whatsapp|notion|trello|drive|sheets?|meeting|scheduler|appointment|mattermost""), ""Productivity &amp; Communication"",
  REGEXMATCH(A1723&amp;B1723, ""(?i)github|api|webhook|http|mysql|supabase|mongodb|redis|rss|pr|code review|incident|p"&amp;"agerduty|jira""), ""Development &amp; Utilities"",
  TRUE, ""Others""
)"),"Development &amp; Utilities")</f>
        <v>Development &amp; Utilities</v>
      </c>
    </row>
    <row r="1724" ht="15.75" customHeight="1">
      <c r="A1724" s="14" t="s">
        <v>3418</v>
      </c>
      <c r="B1724" s="15" t="s">
        <v>3419</v>
      </c>
      <c r="C1724" s="16" t="s">
        <v>7</v>
      </c>
      <c r="D1724" s="12" t="str">
        <f>IFERROR(__xludf.DUMMYFUNCTION("IFS(
  REGEXMATCH(A1724&amp;B1724, ""(?i)openai|gpt|gemini|anthropic|claude|mistral|cohere|rag|vector|llm|chatbot|ai-powered""), ""AI &amp; LLM"",
  REGEXMATCH(A1724&amp;B1724, ""(?i)twitter|instagram|facebook|linkedin|youtube|tiktok|threads|bluesky|pinterest|social"&amp;" video|reels?|shorts?""), ""Social Media"",
  REGEXMATCH(A1724&amp;B1724, ""(?i)hubspot|pipedrive|stripe|shopify|woocommerce|sales|crm|invoice|order|leads?|recruitment|bamboohr|erpnext""), ""CRM &amp; Sales"",
  REGEXMATCH(A1724&amp;B1724, ""(?i)gmail|outlook|calenda"&amp;"r|slack|discord|telegram|whatsapp|notion|trello|drive|sheets?|meeting|scheduler|appointment|mattermost""), ""Productivity &amp; Communication"",
  REGEXMATCH(A1724&amp;B1724, ""(?i)github|api|webhook|http|mysql|supabase|mongodb|redis|rss|pr|code review|incident|p"&amp;"agerduty|jira""), ""Development &amp; Utilities"",
  TRUE, ""Others""
)"),"AI &amp; LLM")</f>
        <v>AI &amp; LLM</v>
      </c>
    </row>
    <row r="1725" ht="15.75" customHeight="1">
      <c r="A1725" s="14" t="s">
        <v>3420</v>
      </c>
      <c r="B1725" s="15" t="s">
        <v>3421</v>
      </c>
      <c r="C1725" s="16" t="s">
        <v>7</v>
      </c>
      <c r="D1725" s="12" t="str">
        <f>IFERROR(__xludf.DUMMYFUNCTION("IFS(
  REGEXMATCH(A1725&amp;B1725, ""(?i)openai|gpt|gemini|anthropic|claude|mistral|cohere|rag|vector|llm|chatbot|ai-powered""), ""AI &amp; LLM"",
  REGEXMATCH(A1725&amp;B1725, ""(?i)twitter|instagram|facebook|linkedin|youtube|tiktok|threads|bluesky|pinterest|social"&amp;" video|reels?|shorts?""), ""Social Media"",
  REGEXMATCH(A1725&amp;B1725, ""(?i)hubspot|pipedrive|stripe|shopify|woocommerce|sales|crm|invoice|order|leads?|recruitment|bamboohr|erpnext""), ""CRM &amp; Sales"",
  REGEXMATCH(A1725&amp;B1725, ""(?i)gmail|outlook|calenda"&amp;"r|slack|discord|telegram|whatsapp|notion|trello|drive|sheets?|meeting|scheduler|appointment|mattermost""), ""Productivity &amp; Communication"",
  REGEXMATCH(A1725&amp;B1725, ""(?i)github|api|webhook|http|mysql|supabase|mongodb|redis|rss|pr|code review|incident|p"&amp;"agerduty|jira""), ""Development &amp; Utilities"",
  TRUE, ""Others""
)"),"Development &amp; Utilities")</f>
        <v>Development &amp; Utilities</v>
      </c>
    </row>
    <row r="1726" ht="15.75" customHeight="1">
      <c r="A1726" s="14" t="s">
        <v>3422</v>
      </c>
      <c r="B1726" s="15" t="s">
        <v>3423</v>
      </c>
      <c r="C1726" s="16" t="s">
        <v>7</v>
      </c>
      <c r="D1726" s="12" t="str">
        <f>IFERROR(__xludf.DUMMYFUNCTION("IFS(
  REGEXMATCH(A1726&amp;B1726, ""(?i)openai|gpt|gemini|anthropic|claude|mistral|cohere|rag|vector|llm|chatbot|ai-powered""), ""AI &amp; LLM"",
  REGEXMATCH(A1726&amp;B1726, ""(?i)twitter|instagram|facebook|linkedin|youtube|tiktok|threads|bluesky|pinterest|social"&amp;" video|reels?|shorts?""), ""Social Media"",
  REGEXMATCH(A1726&amp;B1726, ""(?i)hubspot|pipedrive|stripe|shopify|woocommerce|sales|crm|invoice|order|leads?|recruitment|bamboohr|erpnext""), ""CRM &amp; Sales"",
  REGEXMATCH(A1726&amp;B1726, ""(?i)gmail|outlook|calenda"&amp;"r|slack|discord|telegram|whatsapp|notion|trello|drive|sheets?|meeting|scheduler|appointment|mattermost""), ""Productivity &amp; Communication"",
  REGEXMATCH(A1726&amp;B1726, ""(?i)github|api|webhook|http|mysql|supabase|mongodb|redis|rss|pr|code review|incident|p"&amp;"agerduty|jira""), ""Development &amp; Utilities"",
  TRUE, ""Others""
)"),"Productivity &amp; Communication")</f>
        <v>Productivity &amp; Communication</v>
      </c>
    </row>
    <row r="1727" ht="15.75" customHeight="1">
      <c r="A1727" s="14" t="s">
        <v>3424</v>
      </c>
      <c r="B1727" s="15" t="s">
        <v>3425</v>
      </c>
      <c r="C1727" s="16" t="s">
        <v>7</v>
      </c>
      <c r="D1727" s="12" t="str">
        <f>IFERROR(__xludf.DUMMYFUNCTION("IFS(
  REGEXMATCH(A1727&amp;B1727, ""(?i)openai|gpt|gemini|anthropic|claude|mistral|cohere|rag|vector|llm|chatbot|ai-powered""), ""AI &amp; LLM"",
  REGEXMATCH(A1727&amp;B1727, ""(?i)twitter|instagram|facebook|linkedin|youtube|tiktok|threads|bluesky|pinterest|social"&amp;" video|reels?|shorts?""), ""Social Media"",
  REGEXMATCH(A1727&amp;B1727, ""(?i)hubspot|pipedrive|stripe|shopify|woocommerce|sales|crm|invoice|order|leads?|recruitment|bamboohr|erpnext""), ""CRM &amp; Sales"",
  REGEXMATCH(A1727&amp;B1727, ""(?i)gmail|outlook|calenda"&amp;"r|slack|discord|telegram|whatsapp|notion|trello|drive|sheets?|meeting|scheduler|appointment|mattermost""), ""Productivity &amp; Communication"",
  REGEXMATCH(A1727&amp;B1727, ""(?i)github|api|webhook|http|mysql|supabase|mongodb|redis|rss|pr|code review|incident|p"&amp;"agerduty|jira""), ""Development &amp; Utilities"",
  TRUE, ""Others""
)"),"Development &amp; Utilities")</f>
        <v>Development &amp; Utilities</v>
      </c>
    </row>
    <row r="1728" ht="15.75" customHeight="1">
      <c r="A1728" s="14" t="s">
        <v>3426</v>
      </c>
      <c r="B1728" s="15" t="s">
        <v>3427</v>
      </c>
      <c r="C1728" s="16" t="s">
        <v>7</v>
      </c>
      <c r="D1728" s="12" t="str">
        <f>IFERROR(__xludf.DUMMYFUNCTION("IFS(
  REGEXMATCH(A1728&amp;B1728, ""(?i)openai|gpt|gemini|anthropic|claude|mistral|cohere|rag|vector|llm|chatbot|ai-powered""), ""AI &amp; LLM"",
  REGEXMATCH(A1728&amp;B1728, ""(?i)twitter|instagram|facebook|linkedin|youtube|tiktok|threads|bluesky|pinterest|social"&amp;" video|reels?|shorts?""), ""Social Media"",
  REGEXMATCH(A1728&amp;B1728, ""(?i)hubspot|pipedrive|stripe|shopify|woocommerce|sales|crm|invoice|order|leads?|recruitment|bamboohr|erpnext""), ""CRM &amp; Sales"",
  REGEXMATCH(A1728&amp;B1728, ""(?i)gmail|outlook|calenda"&amp;"r|slack|discord|telegram|whatsapp|notion|trello|drive|sheets?|meeting|scheduler|appointment|mattermost""), ""Productivity &amp; Communication"",
  REGEXMATCH(A1728&amp;B1728, ""(?i)github|api|webhook|http|mysql|supabase|mongodb|redis|rss|pr|code review|incident|p"&amp;"agerduty|jira""), ""Development &amp; Utilities"",
  TRUE, ""Others""
)"),"AI &amp; LLM")</f>
        <v>AI &amp; LLM</v>
      </c>
    </row>
    <row r="1729" ht="15.75" customHeight="1">
      <c r="A1729" s="14" t="s">
        <v>3428</v>
      </c>
      <c r="B1729" s="15" t="s">
        <v>3429</v>
      </c>
      <c r="C1729" s="16" t="s">
        <v>7</v>
      </c>
      <c r="D1729" s="12" t="str">
        <f>IFERROR(__xludf.DUMMYFUNCTION("IFS(
  REGEXMATCH(A1729&amp;B1729, ""(?i)openai|gpt|gemini|anthropic|claude|mistral|cohere|rag|vector|llm|chatbot|ai-powered""), ""AI &amp; LLM"",
  REGEXMATCH(A1729&amp;B1729, ""(?i)twitter|instagram|facebook|linkedin|youtube|tiktok|threads|bluesky|pinterest|social"&amp;" video|reels?|shorts?""), ""Social Media"",
  REGEXMATCH(A1729&amp;B1729, ""(?i)hubspot|pipedrive|stripe|shopify|woocommerce|sales|crm|invoice|order|leads?|recruitment|bamboohr|erpnext""), ""CRM &amp; Sales"",
  REGEXMATCH(A1729&amp;B1729, ""(?i)gmail|outlook|calenda"&amp;"r|slack|discord|telegram|whatsapp|notion|trello|drive|sheets?|meeting|scheduler|appointment|mattermost""), ""Productivity &amp; Communication"",
  REGEXMATCH(A1729&amp;B1729, ""(?i)github|api|webhook|http|mysql|supabase|mongodb|redis|rss|pr|code review|incident|p"&amp;"agerduty|jira""), ""Development &amp; Utilities"",
  TRUE, ""Others""
)"),"AI &amp; LLM")</f>
        <v>AI &amp; LLM</v>
      </c>
    </row>
    <row r="1730" ht="15.75" customHeight="1">
      <c r="A1730" s="14" t="s">
        <v>3430</v>
      </c>
      <c r="B1730" s="15" t="s">
        <v>3431</v>
      </c>
      <c r="C1730" s="16" t="s">
        <v>7</v>
      </c>
      <c r="D1730" s="12" t="str">
        <f>IFERROR(__xludf.DUMMYFUNCTION("IFS(
  REGEXMATCH(A1730&amp;B1730, ""(?i)openai|gpt|gemini|anthropic|claude|mistral|cohere|rag|vector|llm|chatbot|ai-powered""), ""AI &amp; LLM"",
  REGEXMATCH(A1730&amp;B1730, ""(?i)twitter|instagram|facebook|linkedin|youtube|tiktok|threads|bluesky|pinterest|social"&amp;" video|reels?|shorts?""), ""Social Media"",
  REGEXMATCH(A1730&amp;B1730, ""(?i)hubspot|pipedrive|stripe|shopify|woocommerce|sales|crm|invoice|order|leads?|recruitment|bamboohr|erpnext""), ""CRM &amp; Sales"",
  REGEXMATCH(A1730&amp;B1730, ""(?i)gmail|outlook|calenda"&amp;"r|slack|discord|telegram|whatsapp|notion|trello|drive|sheets?|meeting|scheduler|appointment|mattermost""), ""Productivity &amp; Communication"",
  REGEXMATCH(A1730&amp;B1730, ""(?i)github|api|webhook|http|mysql|supabase|mongodb|redis|rss|pr|code review|incident|p"&amp;"agerduty|jira""), ""Development &amp; Utilities"",
  TRUE, ""Others""
)"),"AI &amp; LLM")</f>
        <v>AI &amp; LLM</v>
      </c>
    </row>
    <row r="1731" ht="15.75" customHeight="1">
      <c r="A1731" s="14" t="s">
        <v>3432</v>
      </c>
      <c r="B1731" s="15" t="s">
        <v>3433</v>
      </c>
      <c r="C1731" s="16" t="s">
        <v>7</v>
      </c>
      <c r="D1731" s="12" t="str">
        <f>IFERROR(__xludf.DUMMYFUNCTION("IFS(
  REGEXMATCH(A1731&amp;B1731, ""(?i)openai|gpt|gemini|anthropic|claude|mistral|cohere|rag|vector|llm|chatbot|ai-powered""), ""AI &amp; LLM"",
  REGEXMATCH(A1731&amp;B1731, ""(?i)twitter|instagram|facebook|linkedin|youtube|tiktok|threads|bluesky|pinterest|social"&amp;" video|reels?|shorts?""), ""Social Media"",
  REGEXMATCH(A1731&amp;B1731, ""(?i)hubspot|pipedrive|stripe|shopify|woocommerce|sales|crm|invoice|order|leads?|recruitment|bamboohr|erpnext""), ""CRM &amp; Sales"",
  REGEXMATCH(A1731&amp;B1731, ""(?i)gmail|outlook|calenda"&amp;"r|slack|discord|telegram|whatsapp|notion|trello|drive|sheets?|meeting|scheduler|appointment|mattermost""), ""Productivity &amp; Communication"",
  REGEXMATCH(A1731&amp;B1731, ""(?i)github|api|webhook|http|mysql|supabase|mongodb|redis|rss|pr|code review|incident|p"&amp;"agerduty|jira""), ""Development &amp; Utilities"",
  TRUE, ""Others""
)"),"AI &amp; LLM")</f>
        <v>AI &amp; LLM</v>
      </c>
    </row>
    <row r="1732" ht="15.75" customHeight="1">
      <c r="A1732" s="14" t="s">
        <v>3434</v>
      </c>
      <c r="B1732" s="15" t="s">
        <v>3435</v>
      </c>
      <c r="C1732" s="16" t="s">
        <v>7</v>
      </c>
      <c r="D1732" s="12" t="str">
        <f>IFERROR(__xludf.DUMMYFUNCTION("IFS(
  REGEXMATCH(A1732&amp;B1732, ""(?i)openai|gpt|gemini|anthropic|claude|mistral|cohere|rag|vector|llm|chatbot|ai-powered""), ""AI &amp; LLM"",
  REGEXMATCH(A1732&amp;B1732, ""(?i)twitter|instagram|facebook|linkedin|youtube|tiktok|threads|bluesky|pinterest|social"&amp;" video|reels?|shorts?""), ""Social Media"",
  REGEXMATCH(A1732&amp;B1732, ""(?i)hubspot|pipedrive|stripe|shopify|woocommerce|sales|crm|invoice|order|leads?|recruitment|bamboohr|erpnext""), ""CRM &amp; Sales"",
  REGEXMATCH(A1732&amp;B1732, ""(?i)gmail|outlook|calenda"&amp;"r|slack|discord|telegram|whatsapp|notion|trello|drive|sheets?|meeting|scheduler|appointment|mattermost""), ""Productivity &amp; Communication"",
  REGEXMATCH(A1732&amp;B1732, ""(?i)github|api|webhook|http|mysql|supabase|mongodb|redis|rss|pr|code review|incident|p"&amp;"agerduty|jira""), ""Development &amp; Utilities"",
  TRUE, ""Others""
)"),"Development &amp; Utilities")</f>
        <v>Development &amp; Utilities</v>
      </c>
    </row>
    <row r="1733" ht="15.75" customHeight="1">
      <c r="A1733" s="14" t="s">
        <v>3436</v>
      </c>
      <c r="B1733" s="15" t="s">
        <v>3437</v>
      </c>
      <c r="C1733" s="16" t="s">
        <v>7</v>
      </c>
      <c r="D1733" s="12" t="str">
        <f>IFERROR(__xludf.DUMMYFUNCTION("IFS(
  REGEXMATCH(A1733&amp;B1733, ""(?i)openai|gpt|gemini|anthropic|claude|mistral|cohere|rag|vector|llm|chatbot|ai-powered""), ""AI &amp; LLM"",
  REGEXMATCH(A1733&amp;B1733, ""(?i)twitter|instagram|facebook|linkedin|youtube|tiktok|threads|bluesky|pinterest|social"&amp;" video|reels?|shorts?""), ""Social Media"",
  REGEXMATCH(A1733&amp;B1733, ""(?i)hubspot|pipedrive|stripe|shopify|woocommerce|sales|crm|invoice|order|leads?|recruitment|bamboohr|erpnext""), ""CRM &amp; Sales"",
  REGEXMATCH(A1733&amp;B1733, ""(?i)gmail|outlook|calenda"&amp;"r|slack|discord|telegram|whatsapp|notion|trello|drive|sheets?|meeting|scheduler|appointment|mattermost""), ""Productivity &amp; Communication"",
  REGEXMATCH(A1733&amp;B1733, ""(?i)github|api|webhook|http|mysql|supabase|mongodb|redis|rss|pr|code review|incident|p"&amp;"agerduty|jira""), ""Development &amp; Utilities"",
  TRUE, ""Others""
)"),"Productivity &amp; Communication")</f>
        <v>Productivity &amp; Communication</v>
      </c>
    </row>
    <row r="1734" ht="15.75" customHeight="1">
      <c r="A1734" s="14" t="s">
        <v>3438</v>
      </c>
      <c r="B1734" s="15" t="s">
        <v>3439</v>
      </c>
      <c r="C1734" s="16" t="s">
        <v>7</v>
      </c>
      <c r="D1734" s="12" t="str">
        <f>IFERROR(__xludf.DUMMYFUNCTION("IFS(
  REGEXMATCH(A1734&amp;B1734, ""(?i)openai|gpt|gemini|anthropic|claude|mistral|cohere|rag|vector|llm|chatbot|ai-powered""), ""AI &amp; LLM"",
  REGEXMATCH(A1734&amp;B1734, ""(?i)twitter|instagram|facebook|linkedin|youtube|tiktok|threads|bluesky|pinterest|social"&amp;" video|reels?|shorts?""), ""Social Media"",
  REGEXMATCH(A1734&amp;B1734, ""(?i)hubspot|pipedrive|stripe|shopify|woocommerce|sales|crm|invoice|order|leads?|recruitment|bamboohr|erpnext""), ""CRM &amp; Sales"",
  REGEXMATCH(A1734&amp;B1734, ""(?i)gmail|outlook|calenda"&amp;"r|slack|discord|telegram|whatsapp|notion|trello|drive|sheets?|meeting|scheduler|appointment|mattermost""), ""Productivity &amp; Communication"",
  REGEXMATCH(A1734&amp;B1734, ""(?i)github|api|webhook|http|mysql|supabase|mongodb|redis|rss|pr|code review|incident|p"&amp;"agerduty|jira""), ""Development &amp; Utilities"",
  TRUE, ""Others""
)"),"AI &amp; LLM")</f>
        <v>AI &amp; LLM</v>
      </c>
    </row>
    <row r="1735" ht="15.75" customHeight="1">
      <c r="A1735" s="14" t="s">
        <v>3440</v>
      </c>
      <c r="B1735" s="15" t="s">
        <v>3441</v>
      </c>
      <c r="C1735" s="16" t="s">
        <v>7</v>
      </c>
      <c r="D1735" s="12" t="str">
        <f>IFERROR(__xludf.DUMMYFUNCTION("IFS(
  REGEXMATCH(A1735&amp;B1735, ""(?i)openai|gpt|gemini|anthropic|claude|mistral|cohere|rag|vector|llm|chatbot|ai-powered""), ""AI &amp; LLM"",
  REGEXMATCH(A1735&amp;B1735, ""(?i)twitter|instagram|facebook|linkedin|youtube|tiktok|threads|bluesky|pinterest|social"&amp;" video|reels?|shorts?""), ""Social Media"",
  REGEXMATCH(A1735&amp;B1735, ""(?i)hubspot|pipedrive|stripe|shopify|woocommerce|sales|crm|invoice|order|leads?|recruitment|bamboohr|erpnext""), ""CRM &amp; Sales"",
  REGEXMATCH(A1735&amp;B1735, ""(?i)gmail|outlook|calenda"&amp;"r|slack|discord|telegram|whatsapp|notion|trello|drive|sheets?|meeting|scheduler|appointment|mattermost""), ""Productivity &amp; Communication"",
  REGEXMATCH(A1735&amp;B1735, ""(?i)github|api|webhook|http|mysql|supabase|mongodb|redis|rss|pr|code review|incident|p"&amp;"agerduty|jira""), ""Development &amp; Utilities"",
  TRUE, ""Others""
)"),"AI &amp; LLM")</f>
        <v>AI &amp; LLM</v>
      </c>
    </row>
    <row r="1736" ht="15.75" customHeight="1">
      <c r="A1736" s="14" t="s">
        <v>3442</v>
      </c>
      <c r="B1736" s="15" t="s">
        <v>3443</v>
      </c>
      <c r="C1736" s="16" t="s">
        <v>7</v>
      </c>
      <c r="D1736" s="12" t="str">
        <f>IFERROR(__xludf.DUMMYFUNCTION("IFS(
  REGEXMATCH(A1736&amp;B1736, ""(?i)openai|gpt|gemini|anthropic|claude|mistral|cohere|rag|vector|llm|chatbot|ai-powered""), ""AI &amp; LLM"",
  REGEXMATCH(A1736&amp;B1736, ""(?i)twitter|instagram|facebook|linkedin|youtube|tiktok|threads|bluesky|pinterest|social"&amp;" video|reels?|shorts?""), ""Social Media"",
  REGEXMATCH(A1736&amp;B1736, ""(?i)hubspot|pipedrive|stripe|shopify|woocommerce|sales|crm|invoice|order|leads?|recruitment|bamboohr|erpnext""), ""CRM &amp; Sales"",
  REGEXMATCH(A1736&amp;B1736, ""(?i)gmail|outlook|calenda"&amp;"r|slack|discord|telegram|whatsapp|notion|trello|drive|sheets?|meeting|scheduler|appointment|mattermost""), ""Productivity &amp; Communication"",
  REGEXMATCH(A1736&amp;B1736, ""(?i)github|api|webhook|http|mysql|supabase|mongodb|redis|rss|pr|code review|incident|p"&amp;"agerduty|jira""), ""Development &amp; Utilities"",
  TRUE, ""Others""
)"),"AI &amp; LLM")</f>
        <v>AI &amp; LLM</v>
      </c>
    </row>
    <row r="1737" ht="15.75" customHeight="1">
      <c r="A1737" s="14" t="s">
        <v>3444</v>
      </c>
      <c r="B1737" s="15" t="s">
        <v>3445</v>
      </c>
      <c r="C1737" s="16" t="s">
        <v>7</v>
      </c>
      <c r="D1737" s="12" t="str">
        <f>IFERROR(__xludf.DUMMYFUNCTION("IFS(
  REGEXMATCH(A1737&amp;B1737, ""(?i)openai|gpt|gemini|anthropic|claude|mistral|cohere|rag|vector|llm|chatbot|ai-powered""), ""AI &amp; LLM"",
  REGEXMATCH(A1737&amp;B1737, ""(?i)twitter|instagram|facebook|linkedin|youtube|tiktok|threads|bluesky|pinterest|social"&amp;" video|reels?|shorts?""), ""Social Media"",
  REGEXMATCH(A1737&amp;B1737, ""(?i)hubspot|pipedrive|stripe|shopify|woocommerce|sales|crm|invoice|order|leads?|recruitment|bamboohr|erpnext""), ""CRM &amp; Sales"",
  REGEXMATCH(A1737&amp;B1737, ""(?i)gmail|outlook|calenda"&amp;"r|slack|discord|telegram|whatsapp|notion|trello|drive|sheets?|meeting|scheduler|appointment|mattermost""), ""Productivity &amp; Communication"",
  REGEXMATCH(A1737&amp;B1737, ""(?i)github|api|webhook|http|mysql|supabase|mongodb|redis|rss|pr|code review|incident|p"&amp;"agerduty|jira""), ""Development &amp; Utilities"",
  TRUE, ""Others""
)"),"Productivity &amp; Communication")</f>
        <v>Productivity &amp; Communication</v>
      </c>
    </row>
    <row r="1738" ht="15.75" customHeight="1">
      <c r="A1738" s="14" t="s">
        <v>3446</v>
      </c>
      <c r="B1738" s="15" t="s">
        <v>3447</v>
      </c>
      <c r="C1738" s="16" t="s">
        <v>7</v>
      </c>
      <c r="D1738" s="12" t="str">
        <f>IFERROR(__xludf.DUMMYFUNCTION("IFS(
  REGEXMATCH(A1738&amp;B1738, ""(?i)openai|gpt|gemini|anthropic|claude|mistral|cohere|rag|vector|llm|chatbot|ai-powered""), ""AI &amp; LLM"",
  REGEXMATCH(A1738&amp;B1738, ""(?i)twitter|instagram|facebook|linkedin|youtube|tiktok|threads|bluesky|pinterest|social"&amp;" video|reels?|shorts?""), ""Social Media"",
  REGEXMATCH(A1738&amp;B1738, ""(?i)hubspot|pipedrive|stripe|shopify|woocommerce|sales|crm|invoice|order|leads?|recruitment|bamboohr|erpnext""), ""CRM &amp; Sales"",
  REGEXMATCH(A1738&amp;B1738, ""(?i)gmail|outlook|calenda"&amp;"r|slack|discord|telegram|whatsapp|notion|trello|drive|sheets?|meeting|scheduler|appointment|mattermost""), ""Productivity &amp; Communication"",
  REGEXMATCH(A1738&amp;B1738, ""(?i)github|api|webhook|http|mysql|supabase|mongodb|redis|rss|pr|code review|incident|p"&amp;"agerduty|jira""), ""Development &amp; Utilities"",
  TRUE, ""Others""
)"),"Social Media")</f>
        <v>Social Media</v>
      </c>
    </row>
    <row r="1739" ht="15.75" customHeight="1">
      <c r="A1739" s="14" t="s">
        <v>3448</v>
      </c>
      <c r="B1739" s="15" t="s">
        <v>3449</v>
      </c>
      <c r="C1739" s="16" t="s">
        <v>7</v>
      </c>
      <c r="D1739" s="12" t="str">
        <f>IFERROR(__xludf.DUMMYFUNCTION("IFS(
  REGEXMATCH(A1739&amp;B1739, ""(?i)openai|gpt|gemini|anthropic|claude|mistral|cohere|rag|vector|llm|chatbot|ai-powered""), ""AI &amp; LLM"",
  REGEXMATCH(A1739&amp;B1739, ""(?i)twitter|instagram|facebook|linkedin|youtube|tiktok|threads|bluesky|pinterest|social"&amp;" video|reels?|shorts?""), ""Social Media"",
  REGEXMATCH(A1739&amp;B1739, ""(?i)hubspot|pipedrive|stripe|shopify|woocommerce|sales|crm|invoice|order|leads?|recruitment|bamboohr|erpnext""), ""CRM &amp; Sales"",
  REGEXMATCH(A1739&amp;B1739, ""(?i)gmail|outlook|calenda"&amp;"r|slack|discord|telegram|whatsapp|notion|trello|drive|sheets?|meeting|scheduler|appointment|mattermost""), ""Productivity &amp; Communication"",
  REGEXMATCH(A1739&amp;B1739, ""(?i)github|api|webhook|http|mysql|supabase|mongodb|redis|rss|pr|code review|incident|p"&amp;"agerduty|jira""), ""Development &amp; Utilities"",
  TRUE, ""Others""
)"),"AI &amp; LLM")</f>
        <v>AI &amp; LLM</v>
      </c>
    </row>
    <row r="1740" ht="15.75" customHeight="1">
      <c r="A1740" s="14" t="s">
        <v>3450</v>
      </c>
      <c r="B1740" s="15" t="s">
        <v>3451</v>
      </c>
      <c r="C1740" s="16" t="s">
        <v>7</v>
      </c>
      <c r="D1740" s="12" t="str">
        <f>IFERROR(__xludf.DUMMYFUNCTION("IFS(
  REGEXMATCH(A1740&amp;B1740, ""(?i)openai|gpt|gemini|anthropic|claude|mistral|cohere|rag|vector|llm|chatbot|ai-powered""), ""AI &amp; LLM"",
  REGEXMATCH(A1740&amp;B1740, ""(?i)twitter|instagram|facebook|linkedin|youtube|tiktok|threads|bluesky|pinterest|social"&amp;" video|reels?|shorts?""), ""Social Media"",
  REGEXMATCH(A1740&amp;B1740, ""(?i)hubspot|pipedrive|stripe|shopify|woocommerce|sales|crm|invoice|order|leads?|recruitment|bamboohr|erpnext""), ""CRM &amp; Sales"",
  REGEXMATCH(A1740&amp;B1740, ""(?i)gmail|outlook|calenda"&amp;"r|slack|discord|telegram|whatsapp|notion|trello|drive|sheets?|meeting|scheduler|appointment|mattermost""), ""Productivity &amp; Communication"",
  REGEXMATCH(A1740&amp;B1740, ""(?i)github|api|webhook|http|mysql|supabase|mongodb|redis|rss|pr|code review|incident|p"&amp;"agerduty|jira""), ""Development &amp; Utilities"",
  TRUE, ""Others""
)"),"Productivity &amp; Communication")</f>
        <v>Productivity &amp; Communication</v>
      </c>
    </row>
    <row r="1741" ht="15.75" customHeight="1">
      <c r="A1741" s="14" t="s">
        <v>3452</v>
      </c>
      <c r="B1741" s="15" t="s">
        <v>3453</v>
      </c>
      <c r="C1741" s="16" t="s">
        <v>7</v>
      </c>
      <c r="D1741" s="12" t="str">
        <f>IFERROR(__xludf.DUMMYFUNCTION("IFS(
  REGEXMATCH(A1741&amp;B1741, ""(?i)openai|gpt|gemini|anthropic|claude|mistral|cohere|rag|vector|llm|chatbot|ai-powered""), ""AI &amp; LLM"",
  REGEXMATCH(A1741&amp;B1741, ""(?i)twitter|instagram|facebook|linkedin|youtube|tiktok|threads|bluesky|pinterest|social"&amp;" video|reels?|shorts?""), ""Social Media"",
  REGEXMATCH(A1741&amp;B1741, ""(?i)hubspot|pipedrive|stripe|shopify|woocommerce|sales|crm|invoice|order|leads?|recruitment|bamboohr|erpnext""), ""CRM &amp; Sales"",
  REGEXMATCH(A1741&amp;B1741, ""(?i)gmail|outlook|calenda"&amp;"r|slack|discord|telegram|whatsapp|notion|trello|drive|sheets?|meeting|scheduler|appointment|mattermost""), ""Productivity &amp; Communication"",
  REGEXMATCH(A1741&amp;B1741, ""(?i)github|api|webhook|http|mysql|supabase|mongodb|redis|rss|pr|code review|incident|p"&amp;"agerduty|jira""), ""Development &amp; Utilities"",
  TRUE, ""Others""
)"),"Development &amp; Utilities")</f>
        <v>Development &amp; Utilities</v>
      </c>
    </row>
    <row r="1742" ht="15.75" customHeight="1">
      <c r="A1742" s="14" t="s">
        <v>3454</v>
      </c>
      <c r="B1742" s="15" t="s">
        <v>3455</v>
      </c>
      <c r="C1742" s="16" t="s">
        <v>7</v>
      </c>
      <c r="D1742" s="12" t="str">
        <f>IFERROR(__xludf.DUMMYFUNCTION("IFS(
  REGEXMATCH(A1742&amp;B1742, ""(?i)openai|gpt|gemini|anthropic|claude|mistral|cohere|rag|vector|llm|chatbot|ai-powered""), ""AI &amp; LLM"",
  REGEXMATCH(A1742&amp;B1742, ""(?i)twitter|instagram|facebook|linkedin|youtube|tiktok|threads|bluesky|pinterest|social"&amp;" video|reels?|shorts?""), ""Social Media"",
  REGEXMATCH(A1742&amp;B1742, ""(?i)hubspot|pipedrive|stripe|shopify|woocommerce|sales|crm|invoice|order|leads?|recruitment|bamboohr|erpnext""), ""CRM &amp; Sales"",
  REGEXMATCH(A1742&amp;B1742, ""(?i)gmail|outlook|calenda"&amp;"r|slack|discord|telegram|whatsapp|notion|trello|drive|sheets?|meeting|scheduler|appointment|mattermost""), ""Productivity &amp; Communication"",
  REGEXMATCH(A1742&amp;B1742, ""(?i)github|api|webhook|http|mysql|supabase|mongodb|redis|rss|pr|code review|incident|p"&amp;"agerduty|jira""), ""Development &amp; Utilities"",
  TRUE, ""Others""
)"),"CRM &amp; Sales")</f>
        <v>CRM &amp; Sales</v>
      </c>
    </row>
    <row r="1743" ht="15.75" customHeight="1">
      <c r="A1743" s="14" t="s">
        <v>3456</v>
      </c>
      <c r="B1743" s="15" t="s">
        <v>3457</v>
      </c>
      <c r="C1743" s="16" t="s">
        <v>7</v>
      </c>
      <c r="D1743" s="12" t="str">
        <f>IFERROR(__xludf.DUMMYFUNCTION("IFS(
  REGEXMATCH(A1743&amp;B1743, ""(?i)openai|gpt|gemini|anthropic|claude|mistral|cohere|rag|vector|llm|chatbot|ai-powered""), ""AI &amp; LLM"",
  REGEXMATCH(A1743&amp;B1743, ""(?i)twitter|instagram|facebook|linkedin|youtube|tiktok|threads|bluesky|pinterest|social"&amp;" video|reels?|shorts?""), ""Social Media"",
  REGEXMATCH(A1743&amp;B1743, ""(?i)hubspot|pipedrive|stripe|shopify|woocommerce|sales|crm|invoice|order|leads?|recruitment|bamboohr|erpnext""), ""CRM &amp; Sales"",
  REGEXMATCH(A1743&amp;B1743, ""(?i)gmail|outlook|calenda"&amp;"r|slack|discord|telegram|whatsapp|notion|trello|drive|sheets?|meeting|scheduler|appointment|mattermost""), ""Productivity &amp; Communication"",
  REGEXMATCH(A1743&amp;B1743, ""(?i)github|api|webhook|http|mysql|supabase|mongodb|redis|rss|pr|code review|incident|p"&amp;"agerduty|jira""), ""Development &amp; Utilities"",
  TRUE, ""Others""
)"),"Development &amp; Utilities")</f>
        <v>Development &amp; Utilities</v>
      </c>
    </row>
    <row r="1744" ht="15.75" customHeight="1">
      <c r="A1744" s="14" t="s">
        <v>3458</v>
      </c>
      <c r="B1744" s="15" t="s">
        <v>3459</v>
      </c>
      <c r="C1744" s="16" t="s">
        <v>7</v>
      </c>
      <c r="D1744" s="12" t="str">
        <f>IFERROR(__xludf.DUMMYFUNCTION("IFS(
  REGEXMATCH(A1744&amp;B1744, ""(?i)openai|gpt|gemini|anthropic|claude|mistral|cohere|rag|vector|llm|chatbot|ai-powered""), ""AI &amp; LLM"",
  REGEXMATCH(A1744&amp;B1744, ""(?i)twitter|instagram|facebook|linkedin|youtube|tiktok|threads|bluesky|pinterest|social"&amp;" video|reels?|shorts?""), ""Social Media"",
  REGEXMATCH(A1744&amp;B1744, ""(?i)hubspot|pipedrive|stripe|shopify|woocommerce|sales|crm|invoice|order|leads?|recruitment|bamboohr|erpnext""), ""CRM &amp; Sales"",
  REGEXMATCH(A1744&amp;B1744, ""(?i)gmail|outlook|calenda"&amp;"r|slack|discord|telegram|whatsapp|notion|trello|drive|sheets?|meeting|scheduler|appointment|mattermost""), ""Productivity &amp; Communication"",
  REGEXMATCH(A1744&amp;B1744, ""(?i)github|api|webhook|http|mysql|supabase|mongodb|redis|rss|pr|code review|incident|p"&amp;"agerduty|jira""), ""Development &amp; Utilities"",
  TRUE, ""Others""
)"),"Development &amp; Utilities")</f>
        <v>Development &amp; Utilities</v>
      </c>
    </row>
    <row r="1745" ht="15.75" customHeight="1">
      <c r="A1745" s="14" t="s">
        <v>3460</v>
      </c>
      <c r="B1745" s="15" t="s">
        <v>3461</v>
      </c>
      <c r="C1745" s="16" t="s">
        <v>7</v>
      </c>
      <c r="D1745" s="12" t="str">
        <f>IFERROR(__xludf.DUMMYFUNCTION("IFS(
  REGEXMATCH(A1745&amp;B1745, ""(?i)openai|gpt|gemini|anthropic|claude|mistral|cohere|rag|vector|llm|chatbot|ai-powered""), ""AI &amp; LLM"",
  REGEXMATCH(A1745&amp;B1745, ""(?i)twitter|instagram|facebook|linkedin|youtube|tiktok|threads|bluesky|pinterest|social"&amp;" video|reels?|shorts?""), ""Social Media"",
  REGEXMATCH(A1745&amp;B1745, ""(?i)hubspot|pipedrive|stripe|shopify|woocommerce|sales|crm|invoice|order|leads?|recruitment|bamboohr|erpnext""), ""CRM &amp; Sales"",
  REGEXMATCH(A1745&amp;B1745, ""(?i)gmail|outlook|calenda"&amp;"r|slack|discord|telegram|whatsapp|notion|trello|drive|sheets?|meeting|scheduler|appointment|mattermost""), ""Productivity &amp; Communication"",
  REGEXMATCH(A1745&amp;B1745, ""(?i)github|api|webhook|http|mysql|supabase|mongodb|redis|rss|pr|code review|incident|p"&amp;"agerduty|jira""), ""Development &amp; Utilities"",
  TRUE, ""Others""
)"),"Others")</f>
        <v>Others</v>
      </c>
    </row>
    <row r="1746" ht="15.75" customHeight="1">
      <c r="A1746" s="14" t="s">
        <v>3462</v>
      </c>
      <c r="B1746" s="15" t="s">
        <v>3463</v>
      </c>
      <c r="C1746" s="16" t="s">
        <v>7</v>
      </c>
      <c r="D1746" s="12" t="str">
        <f>IFERROR(__xludf.DUMMYFUNCTION("IFS(
  REGEXMATCH(A1746&amp;B1746, ""(?i)openai|gpt|gemini|anthropic|claude|mistral|cohere|rag|vector|llm|chatbot|ai-powered""), ""AI &amp; LLM"",
  REGEXMATCH(A1746&amp;B1746, ""(?i)twitter|instagram|facebook|linkedin|youtube|tiktok|threads|bluesky|pinterest|social"&amp;" video|reels?|shorts?""), ""Social Media"",
  REGEXMATCH(A1746&amp;B1746, ""(?i)hubspot|pipedrive|stripe|shopify|woocommerce|sales|crm|invoice|order|leads?|recruitment|bamboohr|erpnext""), ""CRM &amp; Sales"",
  REGEXMATCH(A1746&amp;B1746, ""(?i)gmail|outlook|calenda"&amp;"r|slack|discord|telegram|whatsapp|notion|trello|drive|sheets?|meeting|scheduler|appointment|mattermost""), ""Productivity &amp; Communication"",
  REGEXMATCH(A1746&amp;B1746, ""(?i)github|api|webhook|http|mysql|supabase|mongodb|redis|rss|pr|code review|incident|p"&amp;"agerduty|jira""), ""Development &amp; Utilities"",
  TRUE, ""Others""
)"),"CRM &amp; Sales")</f>
        <v>CRM &amp; Sales</v>
      </c>
    </row>
    <row r="1747" ht="15.75" customHeight="1">
      <c r="A1747" s="14" t="s">
        <v>3464</v>
      </c>
      <c r="B1747" s="15" t="s">
        <v>3465</v>
      </c>
      <c r="C1747" s="16" t="s">
        <v>7</v>
      </c>
      <c r="D1747" s="12" t="str">
        <f>IFERROR(__xludf.DUMMYFUNCTION("IFS(
  REGEXMATCH(A1747&amp;B1747, ""(?i)openai|gpt|gemini|anthropic|claude|mistral|cohere|rag|vector|llm|chatbot|ai-powered""), ""AI &amp; LLM"",
  REGEXMATCH(A1747&amp;B1747, ""(?i)twitter|instagram|facebook|linkedin|youtube|tiktok|threads|bluesky|pinterest|social"&amp;" video|reels?|shorts?""), ""Social Media"",
  REGEXMATCH(A1747&amp;B1747, ""(?i)hubspot|pipedrive|stripe|shopify|woocommerce|sales|crm|invoice|order|leads?|recruitment|bamboohr|erpnext""), ""CRM &amp; Sales"",
  REGEXMATCH(A1747&amp;B1747, ""(?i)gmail|outlook|calenda"&amp;"r|slack|discord|telegram|whatsapp|notion|trello|drive|sheets?|meeting|scheduler|appointment|mattermost""), ""Productivity &amp; Communication"",
  REGEXMATCH(A1747&amp;B1747, ""(?i)github|api|webhook|http|mysql|supabase|mongodb|redis|rss|pr|code review|incident|p"&amp;"agerduty|jira""), ""Development &amp; Utilities"",
  TRUE, ""Others""
)"),"Development &amp; Utilities")</f>
        <v>Development &amp; Utilities</v>
      </c>
    </row>
    <row r="1748" ht="15.75" customHeight="1">
      <c r="A1748" s="14" t="s">
        <v>3466</v>
      </c>
      <c r="B1748" s="15" t="s">
        <v>3467</v>
      </c>
      <c r="C1748" s="16" t="s">
        <v>7</v>
      </c>
      <c r="D1748" s="12" t="str">
        <f>IFERROR(__xludf.DUMMYFUNCTION("IFS(
  REGEXMATCH(A1748&amp;B1748, ""(?i)openai|gpt|gemini|anthropic|claude|mistral|cohere|rag|vector|llm|chatbot|ai-powered""), ""AI &amp; LLM"",
  REGEXMATCH(A1748&amp;B1748, ""(?i)twitter|instagram|facebook|linkedin|youtube|tiktok|threads|bluesky|pinterest|social"&amp;" video|reels?|shorts?""), ""Social Media"",
  REGEXMATCH(A1748&amp;B1748, ""(?i)hubspot|pipedrive|stripe|shopify|woocommerce|sales|crm|invoice|order|leads?|recruitment|bamboohr|erpnext""), ""CRM &amp; Sales"",
  REGEXMATCH(A1748&amp;B1748, ""(?i)gmail|outlook|calenda"&amp;"r|slack|discord|telegram|whatsapp|notion|trello|drive|sheets?|meeting|scheduler|appointment|mattermost""), ""Productivity &amp; Communication"",
  REGEXMATCH(A1748&amp;B1748, ""(?i)github|api|webhook|http|mysql|supabase|mongodb|redis|rss|pr|code review|incident|p"&amp;"agerduty|jira""), ""Development &amp; Utilities"",
  TRUE, ""Others""
)"),"Development &amp; Utilities")</f>
        <v>Development &amp; Utilities</v>
      </c>
    </row>
    <row r="1749" ht="15.75" customHeight="1">
      <c r="A1749" s="14" t="s">
        <v>3468</v>
      </c>
      <c r="B1749" s="15" t="s">
        <v>3469</v>
      </c>
      <c r="C1749" s="16" t="s">
        <v>7</v>
      </c>
      <c r="D1749" s="12" t="str">
        <f>IFERROR(__xludf.DUMMYFUNCTION("IFS(
  REGEXMATCH(A1749&amp;B1749, ""(?i)openai|gpt|gemini|anthropic|claude|mistral|cohere|rag|vector|llm|chatbot|ai-powered""), ""AI &amp; LLM"",
  REGEXMATCH(A1749&amp;B1749, ""(?i)twitter|instagram|facebook|linkedin|youtube|tiktok|threads|bluesky|pinterest|social"&amp;" video|reels?|shorts?""), ""Social Media"",
  REGEXMATCH(A1749&amp;B1749, ""(?i)hubspot|pipedrive|stripe|shopify|woocommerce|sales|crm|invoice|order|leads?|recruitment|bamboohr|erpnext""), ""CRM &amp; Sales"",
  REGEXMATCH(A1749&amp;B1749, ""(?i)gmail|outlook|calenda"&amp;"r|slack|discord|telegram|whatsapp|notion|trello|drive|sheets?|meeting|scheduler|appointment|mattermost""), ""Productivity &amp; Communication"",
  REGEXMATCH(A1749&amp;B1749, ""(?i)github|api|webhook|http|mysql|supabase|mongodb|redis|rss|pr|code review|incident|p"&amp;"agerduty|jira""), ""Development &amp; Utilities"",
  TRUE, ""Others""
)"),"Development &amp; Utilities")</f>
        <v>Development &amp; Utilities</v>
      </c>
    </row>
    <row r="1750" ht="15.75" customHeight="1">
      <c r="A1750" s="14" t="s">
        <v>3470</v>
      </c>
      <c r="B1750" s="15" t="s">
        <v>3471</v>
      </c>
      <c r="C1750" s="16" t="s">
        <v>7</v>
      </c>
      <c r="D1750" s="12" t="str">
        <f>IFERROR(__xludf.DUMMYFUNCTION("IFS(
  REGEXMATCH(A1750&amp;B1750, ""(?i)openai|gpt|gemini|anthropic|claude|mistral|cohere|rag|vector|llm|chatbot|ai-powered""), ""AI &amp; LLM"",
  REGEXMATCH(A1750&amp;B1750, ""(?i)twitter|instagram|facebook|linkedin|youtube|tiktok|threads|bluesky|pinterest|social"&amp;" video|reels?|shorts?""), ""Social Media"",
  REGEXMATCH(A1750&amp;B1750, ""(?i)hubspot|pipedrive|stripe|shopify|woocommerce|sales|crm|invoice|order|leads?|recruitment|bamboohr|erpnext""), ""CRM &amp; Sales"",
  REGEXMATCH(A1750&amp;B1750, ""(?i)gmail|outlook|calenda"&amp;"r|slack|discord|telegram|whatsapp|notion|trello|drive|sheets?|meeting|scheduler|appointment|mattermost""), ""Productivity &amp; Communication"",
  REGEXMATCH(A1750&amp;B1750, ""(?i)github|api|webhook|http|mysql|supabase|mongodb|redis|rss|pr|code review|incident|p"&amp;"agerduty|jira""), ""Development &amp; Utilities"",
  TRUE, ""Others""
)"),"Productivity &amp; Communication")</f>
        <v>Productivity &amp; Communication</v>
      </c>
    </row>
    <row r="1751" ht="15.75" customHeight="1">
      <c r="A1751" s="14" t="s">
        <v>3472</v>
      </c>
      <c r="B1751" s="15" t="s">
        <v>3473</v>
      </c>
      <c r="C1751" s="16" t="s">
        <v>7</v>
      </c>
      <c r="D1751" s="12" t="str">
        <f>IFERROR(__xludf.DUMMYFUNCTION("IFS(
  REGEXMATCH(A1751&amp;B1751, ""(?i)openai|gpt|gemini|anthropic|claude|mistral|cohere|rag|vector|llm|chatbot|ai-powered""), ""AI &amp; LLM"",
  REGEXMATCH(A1751&amp;B1751, ""(?i)twitter|instagram|facebook|linkedin|youtube|tiktok|threads|bluesky|pinterest|social"&amp;" video|reels?|shorts?""), ""Social Media"",
  REGEXMATCH(A1751&amp;B1751, ""(?i)hubspot|pipedrive|stripe|shopify|woocommerce|sales|crm|invoice|order|leads?|recruitment|bamboohr|erpnext""), ""CRM &amp; Sales"",
  REGEXMATCH(A1751&amp;B1751, ""(?i)gmail|outlook|calenda"&amp;"r|slack|discord|telegram|whatsapp|notion|trello|drive|sheets?|meeting|scheduler|appointment|mattermost""), ""Productivity &amp; Communication"",
  REGEXMATCH(A1751&amp;B1751, ""(?i)github|api|webhook|http|mysql|supabase|mongodb|redis|rss|pr|code review|incident|p"&amp;"agerduty|jira""), ""Development &amp; Utilities"",
  TRUE, ""Others""
)"),"Productivity &amp; Communication")</f>
        <v>Productivity &amp; Communication</v>
      </c>
    </row>
    <row r="1752" ht="15.75" customHeight="1">
      <c r="A1752" s="14" t="s">
        <v>3474</v>
      </c>
      <c r="B1752" s="15" t="s">
        <v>3475</v>
      </c>
      <c r="C1752" s="16" t="s">
        <v>7</v>
      </c>
      <c r="D1752" s="12" t="str">
        <f>IFERROR(__xludf.DUMMYFUNCTION("IFS(
  REGEXMATCH(A1752&amp;B1752, ""(?i)openai|gpt|gemini|anthropic|claude|mistral|cohere|rag|vector|llm|chatbot|ai-powered""), ""AI &amp; LLM"",
  REGEXMATCH(A1752&amp;B1752, ""(?i)twitter|instagram|facebook|linkedin|youtube|tiktok|threads|bluesky|pinterest|social"&amp;" video|reels?|shorts?""), ""Social Media"",
  REGEXMATCH(A1752&amp;B1752, ""(?i)hubspot|pipedrive|stripe|shopify|woocommerce|sales|crm|invoice|order|leads?|recruitment|bamboohr|erpnext""), ""CRM &amp; Sales"",
  REGEXMATCH(A1752&amp;B1752, ""(?i)gmail|outlook|calenda"&amp;"r|slack|discord|telegram|whatsapp|notion|trello|drive|sheets?|meeting|scheduler|appointment|mattermost""), ""Productivity &amp; Communication"",
  REGEXMATCH(A1752&amp;B1752, ""(?i)github|api|webhook|http|mysql|supabase|mongodb|redis|rss|pr|code review|incident|p"&amp;"agerduty|jira""), ""Development &amp; Utilities"",
  TRUE, ""Others""
)"),"Development &amp; Utilities")</f>
        <v>Development &amp; Utilities</v>
      </c>
    </row>
    <row r="1753" ht="15.75" customHeight="1">
      <c r="A1753" s="14" t="s">
        <v>3476</v>
      </c>
      <c r="B1753" s="15" t="s">
        <v>3477</v>
      </c>
      <c r="C1753" s="16" t="s">
        <v>7</v>
      </c>
      <c r="D1753" s="12" t="str">
        <f>IFERROR(__xludf.DUMMYFUNCTION("IFS(
  REGEXMATCH(A1753&amp;B1753, ""(?i)openai|gpt|gemini|anthropic|claude|mistral|cohere|rag|vector|llm|chatbot|ai-powered""), ""AI &amp; LLM"",
  REGEXMATCH(A1753&amp;B1753, ""(?i)twitter|instagram|facebook|linkedin|youtube|tiktok|threads|bluesky|pinterest|social"&amp;" video|reels?|shorts?""), ""Social Media"",
  REGEXMATCH(A1753&amp;B1753, ""(?i)hubspot|pipedrive|stripe|shopify|woocommerce|sales|crm|invoice|order|leads?|recruitment|bamboohr|erpnext""), ""CRM &amp; Sales"",
  REGEXMATCH(A1753&amp;B1753, ""(?i)gmail|outlook|calenda"&amp;"r|slack|discord|telegram|whatsapp|notion|trello|drive|sheets?|meeting|scheduler|appointment|mattermost""), ""Productivity &amp; Communication"",
  REGEXMATCH(A1753&amp;B1753, ""(?i)github|api|webhook|http|mysql|supabase|mongodb|redis|rss|pr|code review|incident|p"&amp;"agerduty|jira""), ""Development &amp; Utilities"",
  TRUE, ""Others""
)"),"CRM &amp; Sales")</f>
        <v>CRM &amp; Sales</v>
      </c>
    </row>
    <row r="1754" ht="15.75" customHeight="1">
      <c r="A1754" s="14" t="s">
        <v>3478</v>
      </c>
      <c r="B1754" s="15" t="s">
        <v>3479</v>
      </c>
      <c r="C1754" s="16" t="s">
        <v>7</v>
      </c>
      <c r="D1754" s="12" t="str">
        <f>IFERROR(__xludf.DUMMYFUNCTION("IFS(
  REGEXMATCH(A1754&amp;B1754, ""(?i)openai|gpt|gemini|anthropic|claude|mistral|cohere|rag|vector|llm|chatbot|ai-powered""), ""AI &amp; LLM"",
  REGEXMATCH(A1754&amp;B1754, ""(?i)twitter|instagram|facebook|linkedin|youtube|tiktok|threads|bluesky|pinterest|social"&amp;" video|reels?|shorts?""), ""Social Media"",
  REGEXMATCH(A1754&amp;B1754, ""(?i)hubspot|pipedrive|stripe|shopify|woocommerce|sales|crm|invoice|order|leads?|recruitment|bamboohr|erpnext""), ""CRM &amp; Sales"",
  REGEXMATCH(A1754&amp;B1754, ""(?i)gmail|outlook|calenda"&amp;"r|slack|discord|telegram|whatsapp|notion|trello|drive|sheets?|meeting|scheduler|appointment|mattermost""), ""Productivity &amp; Communication"",
  REGEXMATCH(A1754&amp;B1754, ""(?i)github|api|webhook|http|mysql|supabase|mongodb|redis|rss|pr|code review|incident|p"&amp;"agerduty|jira""), ""Development &amp; Utilities"",
  TRUE, ""Others""
)"),"Productivity &amp; Communication")</f>
        <v>Productivity &amp; Communication</v>
      </c>
    </row>
    <row r="1755" ht="15.75" customHeight="1">
      <c r="A1755" s="14" t="s">
        <v>3480</v>
      </c>
      <c r="B1755" s="15" t="s">
        <v>3481</v>
      </c>
      <c r="C1755" s="16" t="s">
        <v>7</v>
      </c>
      <c r="D1755" s="12" t="str">
        <f>IFERROR(__xludf.DUMMYFUNCTION("IFS(
  REGEXMATCH(A1755&amp;B1755, ""(?i)openai|gpt|gemini|anthropic|claude|mistral|cohere|rag|vector|llm|chatbot|ai-powered""), ""AI &amp; LLM"",
  REGEXMATCH(A1755&amp;B1755, ""(?i)twitter|instagram|facebook|linkedin|youtube|tiktok|threads|bluesky|pinterest|social"&amp;" video|reels?|shorts?""), ""Social Media"",
  REGEXMATCH(A1755&amp;B1755, ""(?i)hubspot|pipedrive|stripe|shopify|woocommerce|sales|crm|invoice|order|leads?|recruitment|bamboohr|erpnext""), ""CRM &amp; Sales"",
  REGEXMATCH(A1755&amp;B1755, ""(?i)gmail|outlook|calenda"&amp;"r|slack|discord|telegram|whatsapp|notion|trello|drive|sheets?|meeting|scheduler|appointment|mattermost""), ""Productivity &amp; Communication"",
  REGEXMATCH(A1755&amp;B1755, ""(?i)github|api|webhook|http|mysql|supabase|mongodb|redis|rss|pr|code review|incident|p"&amp;"agerduty|jira""), ""Development &amp; Utilities"",
  TRUE, ""Others""
)"),"Development &amp; Utilities")</f>
        <v>Development &amp; Utilities</v>
      </c>
    </row>
    <row r="1756" ht="15.75" customHeight="1">
      <c r="A1756" s="14" t="s">
        <v>3482</v>
      </c>
      <c r="B1756" s="15" t="s">
        <v>3483</v>
      </c>
      <c r="C1756" s="16" t="s">
        <v>7</v>
      </c>
      <c r="D1756" s="12" t="str">
        <f>IFERROR(__xludf.DUMMYFUNCTION("IFS(
  REGEXMATCH(A1756&amp;B1756, ""(?i)openai|gpt|gemini|anthropic|claude|mistral|cohere|rag|vector|llm|chatbot|ai-powered""), ""AI &amp; LLM"",
  REGEXMATCH(A1756&amp;B1756, ""(?i)twitter|instagram|facebook|linkedin|youtube|tiktok|threads|bluesky|pinterest|social"&amp;" video|reels?|shorts?""), ""Social Media"",
  REGEXMATCH(A1756&amp;B1756, ""(?i)hubspot|pipedrive|stripe|shopify|woocommerce|sales|crm|invoice|order|leads?|recruitment|bamboohr|erpnext""), ""CRM &amp; Sales"",
  REGEXMATCH(A1756&amp;B1756, ""(?i)gmail|outlook|calenda"&amp;"r|slack|discord|telegram|whatsapp|notion|trello|drive|sheets?|meeting|scheduler|appointment|mattermost""), ""Productivity &amp; Communication"",
  REGEXMATCH(A1756&amp;B1756, ""(?i)github|api|webhook|http|mysql|supabase|mongodb|redis|rss|pr|code review|incident|p"&amp;"agerduty|jira""), ""Development &amp; Utilities"",
  TRUE, ""Others""
)"),"Development &amp; Utilities")</f>
        <v>Development &amp; Utilities</v>
      </c>
    </row>
    <row r="1757" ht="15.75" customHeight="1">
      <c r="A1757" s="14" t="s">
        <v>3484</v>
      </c>
      <c r="B1757" s="15" t="s">
        <v>3485</v>
      </c>
      <c r="C1757" s="16" t="s">
        <v>7</v>
      </c>
      <c r="D1757" s="12" t="str">
        <f>IFERROR(__xludf.DUMMYFUNCTION("IFS(
  REGEXMATCH(A1757&amp;B1757, ""(?i)openai|gpt|gemini|anthropic|claude|mistral|cohere|rag|vector|llm|chatbot|ai-powered""), ""AI &amp; LLM"",
  REGEXMATCH(A1757&amp;B1757, ""(?i)twitter|instagram|facebook|linkedin|youtube|tiktok|threads|bluesky|pinterest|social"&amp;" video|reels?|shorts?""), ""Social Media"",
  REGEXMATCH(A1757&amp;B1757, ""(?i)hubspot|pipedrive|stripe|shopify|woocommerce|sales|crm|invoice|order|leads?|recruitment|bamboohr|erpnext""), ""CRM &amp; Sales"",
  REGEXMATCH(A1757&amp;B1757, ""(?i)gmail|outlook|calenda"&amp;"r|slack|discord|telegram|whatsapp|notion|trello|drive|sheets?|meeting|scheduler|appointment|mattermost""), ""Productivity &amp; Communication"",
  REGEXMATCH(A1757&amp;B1757, ""(?i)github|api|webhook|http|mysql|supabase|mongodb|redis|rss|pr|code review|incident|p"&amp;"agerduty|jira""), ""Development &amp; Utilities"",
  TRUE, ""Others""
)"),"CRM &amp; Sales")</f>
        <v>CRM &amp; Sales</v>
      </c>
    </row>
    <row r="1758" ht="15.75" customHeight="1">
      <c r="A1758" s="14" t="s">
        <v>3486</v>
      </c>
      <c r="B1758" s="15" t="s">
        <v>3487</v>
      </c>
      <c r="C1758" s="16" t="s">
        <v>7</v>
      </c>
      <c r="D1758" s="12" t="str">
        <f>IFERROR(__xludf.DUMMYFUNCTION("IFS(
  REGEXMATCH(A1758&amp;B1758, ""(?i)openai|gpt|gemini|anthropic|claude|mistral|cohere|rag|vector|llm|chatbot|ai-powered""), ""AI &amp; LLM"",
  REGEXMATCH(A1758&amp;B1758, ""(?i)twitter|instagram|facebook|linkedin|youtube|tiktok|threads|bluesky|pinterest|social"&amp;" video|reels?|shorts?""), ""Social Media"",
  REGEXMATCH(A1758&amp;B1758, ""(?i)hubspot|pipedrive|stripe|shopify|woocommerce|sales|crm|invoice|order|leads?|recruitment|bamboohr|erpnext""), ""CRM &amp; Sales"",
  REGEXMATCH(A1758&amp;B1758, ""(?i)gmail|outlook|calenda"&amp;"r|slack|discord|telegram|whatsapp|notion|trello|drive|sheets?|meeting|scheduler|appointment|mattermost""), ""Productivity &amp; Communication"",
  REGEXMATCH(A1758&amp;B1758, ""(?i)github|api|webhook|http|mysql|supabase|mongodb|redis|rss|pr|code review|incident|p"&amp;"agerduty|jira""), ""Development &amp; Utilities"",
  TRUE, ""Others""
)"),"Development &amp; Utilities")</f>
        <v>Development &amp; Utilities</v>
      </c>
    </row>
    <row r="1759" ht="15.75" customHeight="1">
      <c r="A1759" s="14" t="s">
        <v>3488</v>
      </c>
      <c r="B1759" s="15" t="s">
        <v>3489</v>
      </c>
      <c r="C1759" s="16" t="s">
        <v>7</v>
      </c>
      <c r="D1759" s="12" t="str">
        <f>IFERROR(__xludf.DUMMYFUNCTION("IFS(
  REGEXMATCH(A1759&amp;B1759, ""(?i)openai|gpt|gemini|anthropic|claude|mistral|cohere|rag|vector|llm|chatbot|ai-powered""), ""AI &amp; LLM"",
  REGEXMATCH(A1759&amp;B1759, ""(?i)twitter|instagram|facebook|linkedin|youtube|tiktok|threads|bluesky|pinterest|social"&amp;" video|reels?|shorts?""), ""Social Media"",
  REGEXMATCH(A1759&amp;B1759, ""(?i)hubspot|pipedrive|stripe|shopify|woocommerce|sales|crm|invoice|order|leads?|recruitment|bamboohr|erpnext""), ""CRM &amp; Sales"",
  REGEXMATCH(A1759&amp;B1759, ""(?i)gmail|outlook|calenda"&amp;"r|slack|discord|telegram|whatsapp|notion|trello|drive|sheets?|meeting|scheduler|appointment|mattermost""), ""Productivity &amp; Communication"",
  REGEXMATCH(A1759&amp;B1759, ""(?i)github|api|webhook|http|mysql|supabase|mongodb|redis|rss|pr|code review|incident|p"&amp;"agerduty|jira""), ""Development &amp; Utilities"",
  TRUE, ""Others""
)"),"CRM &amp; Sales")</f>
        <v>CRM &amp; Sales</v>
      </c>
    </row>
    <row r="1760" ht="15.75" customHeight="1">
      <c r="A1760" s="14" t="s">
        <v>3490</v>
      </c>
      <c r="B1760" s="15" t="s">
        <v>3491</v>
      </c>
      <c r="C1760" s="16" t="s">
        <v>7</v>
      </c>
      <c r="D1760" s="12" t="str">
        <f>IFERROR(__xludf.DUMMYFUNCTION("IFS(
  REGEXMATCH(A1760&amp;B1760, ""(?i)openai|gpt|gemini|anthropic|claude|mistral|cohere|rag|vector|llm|chatbot|ai-powered""), ""AI &amp; LLM"",
  REGEXMATCH(A1760&amp;B1760, ""(?i)twitter|instagram|facebook|linkedin|youtube|tiktok|threads|bluesky|pinterest|social"&amp;" video|reels?|shorts?""), ""Social Media"",
  REGEXMATCH(A1760&amp;B1760, ""(?i)hubspot|pipedrive|stripe|shopify|woocommerce|sales|crm|invoice|order|leads?|recruitment|bamboohr|erpnext""), ""CRM &amp; Sales"",
  REGEXMATCH(A1760&amp;B1760, ""(?i)gmail|outlook|calenda"&amp;"r|slack|discord|telegram|whatsapp|notion|trello|drive|sheets?|meeting|scheduler|appointment|mattermost""), ""Productivity &amp; Communication"",
  REGEXMATCH(A1760&amp;B1760, ""(?i)github|api|webhook|http|mysql|supabase|mongodb|redis|rss|pr|code review|incident|p"&amp;"agerduty|jira""), ""Development &amp; Utilities"",
  TRUE, ""Others""
)"),"CRM &amp; Sales")</f>
        <v>CRM &amp; Sales</v>
      </c>
    </row>
    <row r="1761" ht="15.75" customHeight="1">
      <c r="A1761" s="14" t="s">
        <v>3492</v>
      </c>
      <c r="B1761" s="15" t="s">
        <v>3493</v>
      </c>
      <c r="C1761" s="16" t="s">
        <v>7</v>
      </c>
      <c r="D1761" s="12" t="str">
        <f>IFERROR(__xludf.DUMMYFUNCTION("IFS(
  REGEXMATCH(A1761&amp;B1761, ""(?i)openai|gpt|gemini|anthropic|claude|mistral|cohere|rag|vector|llm|chatbot|ai-powered""), ""AI &amp; LLM"",
  REGEXMATCH(A1761&amp;B1761, ""(?i)twitter|instagram|facebook|linkedin|youtube|tiktok|threads|bluesky|pinterest|social"&amp;" video|reels?|shorts?""), ""Social Media"",
  REGEXMATCH(A1761&amp;B1761, ""(?i)hubspot|pipedrive|stripe|shopify|woocommerce|sales|crm|invoice|order|leads?|recruitment|bamboohr|erpnext""), ""CRM &amp; Sales"",
  REGEXMATCH(A1761&amp;B1761, ""(?i)gmail|outlook|calenda"&amp;"r|slack|discord|telegram|whatsapp|notion|trello|drive|sheets?|meeting|scheduler|appointment|mattermost""), ""Productivity &amp; Communication"",
  REGEXMATCH(A1761&amp;B1761, ""(?i)github|api|webhook|http|mysql|supabase|mongodb|redis|rss|pr|code review|incident|p"&amp;"agerduty|jira""), ""Development &amp; Utilities"",
  TRUE, ""Others""
)"),"CRM &amp; Sales")</f>
        <v>CRM &amp; Sales</v>
      </c>
    </row>
    <row r="1762" ht="15.75" customHeight="1">
      <c r="A1762" s="14" t="s">
        <v>3494</v>
      </c>
      <c r="B1762" s="15" t="s">
        <v>3495</v>
      </c>
      <c r="C1762" s="16" t="s">
        <v>7</v>
      </c>
      <c r="D1762" s="12" t="str">
        <f>IFERROR(__xludf.DUMMYFUNCTION("IFS(
  REGEXMATCH(A1762&amp;B1762, ""(?i)openai|gpt|gemini|anthropic|claude|mistral|cohere|rag|vector|llm|chatbot|ai-powered""), ""AI &amp; LLM"",
  REGEXMATCH(A1762&amp;B1762, ""(?i)twitter|instagram|facebook|linkedin|youtube|tiktok|threads|bluesky|pinterest|social"&amp;" video|reels?|shorts?""), ""Social Media"",
  REGEXMATCH(A1762&amp;B1762, ""(?i)hubspot|pipedrive|stripe|shopify|woocommerce|sales|crm|invoice|order|leads?|recruitment|bamboohr|erpnext""), ""CRM &amp; Sales"",
  REGEXMATCH(A1762&amp;B1762, ""(?i)gmail|outlook|calenda"&amp;"r|slack|discord|telegram|whatsapp|notion|trello|drive|sheets?|meeting|scheduler|appointment|mattermost""), ""Productivity &amp; Communication"",
  REGEXMATCH(A1762&amp;B1762, ""(?i)github|api|webhook|http|mysql|supabase|mongodb|redis|rss|pr|code review|incident|p"&amp;"agerduty|jira""), ""Development &amp; Utilities"",
  TRUE, ""Others""
)"),"Social Media")</f>
        <v>Social Media</v>
      </c>
    </row>
    <row r="1763" ht="15.75" customHeight="1">
      <c r="A1763" s="14" t="s">
        <v>3496</v>
      </c>
      <c r="B1763" s="15" t="s">
        <v>3497</v>
      </c>
      <c r="C1763" s="16" t="s">
        <v>7</v>
      </c>
      <c r="D1763" s="12" t="str">
        <f>IFERROR(__xludf.DUMMYFUNCTION("IFS(
  REGEXMATCH(A1763&amp;B1763, ""(?i)openai|gpt|gemini|anthropic|claude|mistral|cohere|rag|vector|llm|chatbot|ai-powered""), ""AI &amp; LLM"",
  REGEXMATCH(A1763&amp;B1763, ""(?i)twitter|instagram|facebook|linkedin|youtube|tiktok|threads|bluesky|pinterest|social"&amp;" video|reels?|shorts?""), ""Social Media"",
  REGEXMATCH(A1763&amp;B1763, ""(?i)hubspot|pipedrive|stripe|shopify|woocommerce|sales|crm|invoice|order|leads?|recruitment|bamboohr|erpnext""), ""CRM &amp; Sales"",
  REGEXMATCH(A1763&amp;B1763, ""(?i)gmail|outlook|calenda"&amp;"r|slack|discord|telegram|whatsapp|notion|trello|drive|sheets?|meeting|scheduler|appointment|mattermost""), ""Productivity &amp; Communication"",
  REGEXMATCH(A1763&amp;B1763, ""(?i)github|api|webhook|http|mysql|supabase|mongodb|redis|rss|pr|code review|incident|p"&amp;"agerduty|jira""), ""Development &amp; Utilities"",
  TRUE, ""Others""
)"),"Social Media")</f>
        <v>Social Media</v>
      </c>
    </row>
    <row r="1764" ht="15.75" customHeight="1">
      <c r="A1764" s="14" t="s">
        <v>3498</v>
      </c>
      <c r="B1764" s="15" t="s">
        <v>3499</v>
      </c>
      <c r="C1764" s="16" t="s">
        <v>7</v>
      </c>
      <c r="D1764" s="12" t="str">
        <f>IFERROR(__xludf.DUMMYFUNCTION("IFS(
  REGEXMATCH(A1764&amp;B1764, ""(?i)openai|gpt|gemini|anthropic|claude|mistral|cohere|rag|vector|llm|chatbot|ai-powered""), ""AI &amp; LLM"",
  REGEXMATCH(A1764&amp;B1764, ""(?i)twitter|instagram|facebook|linkedin|youtube|tiktok|threads|bluesky|pinterest|social"&amp;" video|reels?|shorts?""), ""Social Media"",
  REGEXMATCH(A1764&amp;B1764, ""(?i)hubspot|pipedrive|stripe|shopify|woocommerce|sales|crm|invoice|order|leads?|recruitment|bamboohr|erpnext""), ""CRM &amp; Sales"",
  REGEXMATCH(A1764&amp;B1764, ""(?i)gmail|outlook|calenda"&amp;"r|slack|discord|telegram|whatsapp|notion|trello|drive|sheets?|meeting|scheduler|appointment|mattermost""), ""Productivity &amp; Communication"",
  REGEXMATCH(A1764&amp;B1764, ""(?i)github|api|webhook|http|mysql|supabase|mongodb|redis|rss|pr|code review|incident|p"&amp;"agerduty|jira""), ""Development &amp; Utilities"",
  TRUE, ""Others""
)"),"Productivity &amp; Communication")</f>
        <v>Productivity &amp; Communication</v>
      </c>
    </row>
    <row r="1765" ht="15.75" customHeight="1">
      <c r="A1765" s="14" t="s">
        <v>3500</v>
      </c>
      <c r="B1765" s="15" t="s">
        <v>3501</v>
      </c>
      <c r="C1765" s="16" t="s">
        <v>7</v>
      </c>
      <c r="D1765" s="12" t="str">
        <f>IFERROR(__xludf.DUMMYFUNCTION("IFS(
  REGEXMATCH(A1765&amp;B1765, ""(?i)openai|gpt|gemini|anthropic|claude|mistral|cohere|rag|vector|llm|chatbot|ai-powered""), ""AI &amp; LLM"",
  REGEXMATCH(A1765&amp;B1765, ""(?i)twitter|instagram|facebook|linkedin|youtube|tiktok|threads|bluesky|pinterest|social"&amp;" video|reels?|shorts?""), ""Social Media"",
  REGEXMATCH(A1765&amp;B1765, ""(?i)hubspot|pipedrive|stripe|shopify|woocommerce|sales|crm|invoice|order|leads?|recruitment|bamboohr|erpnext""), ""CRM &amp; Sales"",
  REGEXMATCH(A1765&amp;B1765, ""(?i)gmail|outlook|calenda"&amp;"r|slack|discord|telegram|whatsapp|notion|trello|drive|sheets?|meeting|scheduler|appointment|mattermost""), ""Productivity &amp; Communication"",
  REGEXMATCH(A1765&amp;B1765, ""(?i)github|api|webhook|http|mysql|supabase|mongodb|redis|rss|pr|code review|incident|p"&amp;"agerduty|jira""), ""Development &amp; Utilities"",
  TRUE, ""Others""
)"),"Development &amp; Utilities")</f>
        <v>Development &amp; Utilities</v>
      </c>
    </row>
    <row r="1766" ht="15.75" customHeight="1">
      <c r="A1766" s="14" t="s">
        <v>3502</v>
      </c>
      <c r="B1766" s="15" t="s">
        <v>3503</v>
      </c>
      <c r="C1766" s="16" t="s">
        <v>7</v>
      </c>
      <c r="D1766" s="12" t="str">
        <f>IFERROR(__xludf.DUMMYFUNCTION("IFS(
  REGEXMATCH(A1766&amp;B1766, ""(?i)openai|gpt|gemini|anthropic|claude|mistral|cohere|rag|vector|llm|chatbot|ai-powered""), ""AI &amp; LLM"",
  REGEXMATCH(A1766&amp;B1766, ""(?i)twitter|instagram|facebook|linkedin|youtube|tiktok|threads|bluesky|pinterest|social"&amp;" video|reels?|shorts?""), ""Social Media"",
  REGEXMATCH(A1766&amp;B1766, ""(?i)hubspot|pipedrive|stripe|shopify|woocommerce|sales|crm|invoice|order|leads?|recruitment|bamboohr|erpnext""), ""CRM &amp; Sales"",
  REGEXMATCH(A1766&amp;B1766, ""(?i)gmail|outlook|calenda"&amp;"r|slack|discord|telegram|whatsapp|notion|trello|drive|sheets?|meeting|scheduler|appointment|mattermost""), ""Productivity &amp; Communication"",
  REGEXMATCH(A1766&amp;B1766, ""(?i)github|api|webhook|http|mysql|supabase|mongodb|redis|rss|pr|code review|incident|p"&amp;"agerduty|jira""), ""Development &amp; Utilities"",
  TRUE, ""Others""
)"),"AI &amp; LLM")</f>
        <v>AI &amp; LLM</v>
      </c>
    </row>
    <row r="1767" ht="15.75" customHeight="1">
      <c r="A1767" s="14" t="s">
        <v>3504</v>
      </c>
      <c r="B1767" s="15" t="s">
        <v>3505</v>
      </c>
      <c r="C1767" s="16" t="s">
        <v>7</v>
      </c>
      <c r="D1767" s="12" t="str">
        <f>IFERROR(__xludf.DUMMYFUNCTION("IFS(
  REGEXMATCH(A1767&amp;B1767, ""(?i)openai|gpt|gemini|anthropic|claude|mistral|cohere|rag|vector|llm|chatbot|ai-powered""), ""AI &amp; LLM"",
  REGEXMATCH(A1767&amp;B1767, ""(?i)twitter|instagram|facebook|linkedin|youtube|tiktok|threads|bluesky|pinterest|social"&amp;" video|reels?|shorts?""), ""Social Media"",
  REGEXMATCH(A1767&amp;B1767, ""(?i)hubspot|pipedrive|stripe|shopify|woocommerce|sales|crm|invoice|order|leads?|recruitment|bamboohr|erpnext""), ""CRM &amp; Sales"",
  REGEXMATCH(A1767&amp;B1767, ""(?i)gmail|outlook|calenda"&amp;"r|slack|discord|telegram|whatsapp|notion|trello|drive|sheets?|meeting|scheduler|appointment|mattermost""), ""Productivity &amp; Communication"",
  REGEXMATCH(A1767&amp;B1767, ""(?i)github|api|webhook|http|mysql|supabase|mongodb|redis|rss|pr|code review|incident|p"&amp;"agerduty|jira""), ""Development &amp; Utilities"",
  TRUE, ""Others""
)"),"Development &amp; Utilities")</f>
        <v>Development &amp; Utilities</v>
      </c>
    </row>
    <row r="1768" ht="15.75" customHeight="1">
      <c r="A1768" s="14" t="s">
        <v>3506</v>
      </c>
      <c r="B1768" s="15" t="s">
        <v>3507</v>
      </c>
      <c r="C1768" s="16" t="s">
        <v>7</v>
      </c>
      <c r="D1768" s="12" t="str">
        <f>IFERROR(__xludf.DUMMYFUNCTION("IFS(
  REGEXMATCH(A1768&amp;B1768, ""(?i)openai|gpt|gemini|anthropic|claude|mistral|cohere|rag|vector|llm|chatbot|ai-powered""), ""AI &amp; LLM"",
  REGEXMATCH(A1768&amp;B1768, ""(?i)twitter|instagram|facebook|linkedin|youtube|tiktok|threads|bluesky|pinterest|social"&amp;" video|reels?|shorts?""), ""Social Media"",
  REGEXMATCH(A1768&amp;B1768, ""(?i)hubspot|pipedrive|stripe|shopify|woocommerce|sales|crm|invoice|order|leads?|recruitment|bamboohr|erpnext""), ""CRM &amp; Sales"",
  REGEXMATCH(A1768&amp;B1768, ""(?i)gmail|outlook|calenda"&amp;"r|slack|discord|telegram|whatsapp|notion|trello|drive|sheets?|meeting|scheduler|appointment|mattermost""), ""Productivity &amp; Communication"",
  REGEXMATCH(A1768&amp;B1768, ""(?i)github|api|webhook|http|mysql|supabase|mongodb|redis|rss|pr|code review|incident|p"&amp;"agerduty|jira""), ""Development &amp; Utilities"",
  TRUE, ""Others""
)"),"Development &amp; Utilities")</f>
        <v>Development &amp; Utilities</v>
      </c>
    </row>
    <row r="1769" ht="15.75" customHeight="1">
      <c r="A1769" s="14" t="s">
        <v>3508</v>
      </c>
      <c r="B1769" s="15" t="s">
        <v>3509</v>
      </c>
      <c r="C1769" s="16" t="s">
        <v>7</v>
      </c>
      <c r="D1769" s="12" t="str">
        <f>IFERROR(__xludf.DUMMYFUNCTION("IFS(
  REGEXMATCH(A1769&amp;B1769, ""(?i)openai|gpt|gemini|anthropic|claude|mistral|cohere|rag|vector|llm|chatbot|ai-powered""), ""AI &amp; LLM"",
  REGEXMATCH(A1769&amp;B1769, ""(?i)twitter|instagram|facebook|linkedin|youtube|tiktok|threads|bluesky|pinterest|social"&amp;" video|reels?|shorts?""), ""Social Media"",
  REGEXMATCH(A1769&amp;B1769, ""(?i)hubspot|pipedrive|stripe|shopify|woocommerce|sales|crm|invoice|order|leads?|recruitment|bamboohr|erpnext""), ""CRM &amp; Sales"",
  REGEXMATCH(A1769&amp;B1769, ""(?i)gmail|outlook|calenda"&amp;"r|slack|discord|telegram|whatsapp|notion|trello|drive|sheets?|meeting|scheduler|appointment|mattermost""), ""Productivity &amp; Communication"",
  REGEXMATCH(A1769&amp;B1769, ""(?i)github|api|webhook|http|mysql|supabase|mongodb|redis|rss|pr|code review|incident|p"&amp;"agerduty|jira""), ""Development &amp; Utilities"",
  TRUE, ""Others""
)"),"Development &amp; Utilities")</f>
        <v>Development &amp; Utilities</v>
      </c>
    </row>
    <row r="1770" ht="15.75" customHeight="1">
      <c r="A1770" s="14" t="s">
        <v>3510</v>
      </c>
      <c r="B1770" s="15" t="s">
        <v>3511</v>
      </c>
      <c r="C1770" s="16" t="s">
        <v>7</v>
      </c>
      <c r="D1770" s="12" t="str">
        <f>IFERROR(__xludf.DUMMYFUNCTION("IFS(
  REGEXMATCH(A1770&amp;B1770, ""(?i)openai|gpt|gemini|anthropic|claude|mistral|cohere|rag|vector|llm|chatbot|ai-powered""), ""AI &amp; LLM"",
  REGEXMATCH(A1770&amp;B1770, ""(?i)twitter|instagram|facebook|linkedin|youtube|tiktok|threads|bluesky|pinterest|social"&amp;" video|reels?|shorts?""), ""Social Media"",
  REGEXMATCH(A1770&amp;B1770, ""(?i)hubspot|pipedrive|stripe|shopify|woocommerce|sales|crm|invoice|order|leads?|recruitment|bamboohr|erpnext""), ""CRM &amp; Sales"",
  REGEXMATCH(A1770&amp;B1770, ""(?i)gmail|outlook|calenda"&amp;"r|slack|discord|telegram|whatsapp|notion|trello|drive|sheets?|meeting|scheduler|appointment|mattermost""), ""Productivity &amp; Communication"",
  REGEXMATCH(A1770&amp;B1770, ""(?i)github|api|webhook|http|mysql|supabase|mongodb|redis|rss|pr|code review|incident|p"&amp;"agerduty|jira""), ""Development &amp; Utilities"",
  TRUE, ""Others""
)"),"CRM &amp; Sales")</f>
        <v>CRM &amp; Sales</v>
      </c>
    </row>
    <row r="1771" ht="15.75" customHeight="1">
      <c r="A1771" s="14" t="s">
        <v>3512</v>
      </c>
      <c r="B1771" s="15" t="s">
        <v>3513</v>
      </c>
      <c r="C1771" s="16" t="s">
        <v>7</v>
      </c>
      <c r="D1771" s="12" t="str">
        <f>IFERROR(__xludf.DUMMYFUNCTION("IFS(
  REGEXMATCH(A1771&amp;B1771, ""(?i)openai|gpt|gemini|anthropic|claude|mistral|cohere|rag|vector|llm|chatbot|ai-powered""), ""AI &amp; LLM"",
  REGEXMATCH(A1771&amp;B1771, ""(?i)twitter|instagram|facebook|linkedin|youtube|tiktok|threads|bluesky|pinterest|social"&amp;" video|reels?|shorts?""), ""Social Media"",
  REGEXMATCH(A1771&amp;B1771, ""(?i)hubspot|pipedrive|stripe|shopify|woocommerce|sales|crm|invoice|order|leads?|recruitment|bamboohr|erpnext""), ""CRM &amp; Sales"",
  REGEXMATCH(A1771&amp;B1771, ""(?i)gmail|outlook|calenda"&amp;"r|slack|discord|telegram|whatsapp|notion|trello|drive|sheets?|meeting|scheduler|appointment|mattermost""), ""Productivity &amp; Communication"",
  REGEXMATCH(A1771&amp;B1771, ""(?i)github|api|webhook|http|mysql|supabase|mongodb|redis|rss|pr|code review|incident|p"&amp;"agerduty|jira""), ""Development &amp; Utilities"",
  TRUE, ""Others""
)"),"Productivity &amp; Communication")</f>
        <v>Productivity &amp; Communication</v>
      </c>
    </row>
    <row r="1772" ht="15.75" customHeight="1">
      <c r="A1772" s="14" t="s">
        <v>3514</v>
      </c>
      <c r="B1772" s="15" t="s">
        <v>3515</v>
      </c>
      <c r="C1772" s="16" t="s">
        <v>7</v>
      </c>
      <c r="D1772" s="12" t="str">
        <f>IFERROR(__xludf.DUMMYFUNCTION("IFS(
  REGEXMATCH(A1772&amp;B1772, ""(?i)openai|gpt|gemini|anthropic|claude|mistral|cohere|rag|vector|llm|chatbot|ai-powered""), ""AI &amp; LLM"",
  REGEXMATCH(A1772&amp;B1772, ""(?i)twitter|instagram|facebook|linkedin|youtube|tiktok|threads|bluesky|pinterest|social"&amp;" video|reels?|shorts?""), ""Social Media"",
  REGEXMATCH(A1772&amp;B1772, ""(?i)hubspot|pipedrive|stripe|shopify|woocommerce|sales|crm|invoice|order|leads?|recruitment|bamboohr|erpnext""), ""CRM &amp; Sales"",
  REGEXMATCH(A1772&amp;B1772, ""(?i)gmail|outlook|calenda"&amp;"r|slack|discord|telegram|whatsapp|notion|trello|drive|sheets?|meeting|scheduler|appointment|mattermost""), ""Productivity &amp; Communication"",
  REGEXMATCH(A1772&amp;B1772, ""(?i)github|api|webhook|http|mysql|supabase|mongodb|redis|rss|pr|code review|incident|p"&amp;"agerduty|jira""), ""Development &amp; Utilities"",
  TRUE, ""Others""
)"),"Others")</f>
        <v>Others</v>
      </c>
    </row>
    <row r="1773" ht="15.75" customHeight="1">
      <c r="A1773" s="14" t="s">
        <v>3516</v>
      </c>
      <c r="B1773" s="15" t="s">
        <v>3517</v>
      </c>
      <c r="C1773" s="16" t="s">
        <v>7</v>
      </c>
      <c r="D1773" s="12" t="str">
        <f>IFERROR(__xludf.DUMMYFUNCTION("IFS(
  REGEXMATCH(A1773&amp;B1773, ""(?i)openai|gpt|gemini|anthropic|claude|mistral|cohere|rag|vector|llm|chatbot|ai-powered""), ""AI &amp; LLM"",
  REGEXMATCH(A1773&amp;B1773, ""(?i)twitter|instagram|facebook|linkedin|youtube|tiktok|threads|bluesky|pinterest|social"&amp;" video|reels?|shorts?""), ""Social Media"",
  REGEXMATCH(A1773&amp;B1773, ""(?i)hubspot|pipedrive|stripe|shopify|woocommerce|sales|crm|invoice|order|leads?|recruitment|bamboohr|erpnext""), ""CRM &amp; Sales"",
  REGEXMATCH(A1773&amp;B1773, ""(?i)gmail|outlook|calenda"&amp;"r|slack|discord|telegram|whatsapp|notion|trello|drive|sheets?|meeting|scheduler|appointment|mattermost""), ""Productivity &amp; Communication"",
  REGEXMATCH(A1773&amp;B1773, ""(?i)github|api|webhook|http|mysql|supabase|mongodb|redis|rss|pr|code review|incident|p"&amp;"agerduty|jira""), ""Development &amp; Utilities"",
  TRUE, ""Others""
)"),"Development &amp; Utilities")</f>
        <v>Development &amp; Utilities</v>
      </c>
    </row>
    <row r="1774" ht="15.75" customHeight="1">
      <c r="A1774" s="14" t="s">
        <v>3518</v>
      </c>
      <c r="B1774" s="15" t="s">
        <v>3519</v>
      </c>
      <c r="C1774" s="16" t="s">
        <v>7</v>
      </c>
      <c r="D1774" s="12" t="str">
        <f>IFERROR(__xludf.DUMMYFUNCTION("IFS(
  REGEXMATCH(A1774&amp;B1774, ""(?i)openai|gpt|gemini|anthropic|claude|mistral|cohere|rag|vector|llm|chatbot|ai-powered""), ""AI &amp; LLM"",
  REGEXMATCH(A1774&amp;B1774, ""(?i)twitter|instagram|facebook|linkedin|youtube|tiktok|threads|bluesky|pinterest|social"&amp;" video|reels?|shorts?""), ""Social Media"",
  REGEXMATCH(A1774&amp;B1774, ""(?i)hubspot|pipedrive|stripe|shopify|woocommerce|sales|crm|invoice|order|leads?|recruitment|bamboohr|erpnext""), ""CRM &amp; Sales"",
  REGEXMATCH(A1774&amp;B1774, ""(?i)gmail|outlook|calenda"&amp;"r|slack|discord|telegram|whatsapp|notion|trello|drive|sheets?|meeting|scheduler|appointment|mattermost""), ""Productivity &amp; Communication"",
  REGEXMATCH(A1774&amp;B1774, ""(?i)github|api|webhook|http|mysql|supabase|mongodb|redis|rss|pr|code review|incident|p"&amp;"agerduty|jira""), ""Development &amp; Utilities"",
  TRUE, ""Others""
)"),"Development &amp; Utilities")</f>
        <v>Development &amp; Utilities</v>
      </c>
    </row>
    <row r="1775" ht="15.75" customHeight="1">
      <c r="A1775" s="14" t="s">
        <v>3520</v>
      </c>
      <c r="B1775" s="15" t="s">
        <v>3521</v>
      </c>
      <c r="C1775" s="16" t="s">
        <v>7</v>
      </c>
      <c r="D1775" s="12" t="str">
        <f>IFERROR(__xludf.DUMMYFUNCTION("IFS(
  REGEXMATCH(A1775&amp;B1775, ""(?i)openai|gpt|gemini|anthropic|claude|mistral|cohere|rag|vector|llm|chatbot|ai-powered""), ""AI &amp; LLM"",
  REGEXMATCH(A1775&amp;B1775, ""(?i)twitter|instagram|facebook|linkedin|youtube|tiktok|threads|bluesky|pinterest|social"&amp;" video|reels?|shorts?""), ""Social Media"",
  REGEXMATCH(A1775&amp;B1775, ""(?i)hubspot|pipedrive|stripe|shopify|woocommerce|sales|crm|invoice|order|leads?|recruitment|bamboohr|erpnext""), ""CRM &amp; Sales"",
  REGEXMATCH(A1775&amp;B1775, ""(?i)gmail|outlook|calenda"&amp;"r|slack|discord|telegram|whatsapp|notion|trello|drive|sheets?|meeting|scheduler|appointment|mattermost""), ""Productivity &amp; Communication"",
  REGEXMATCH(A1775&amp;B1775, ""(?i)github|api|webhook|http|mysql|supabase|mongodb|redis|rss|pr|code review|incident|p"&amp;"agerduty|jira""), ""Development &amp; Utilities"",
  TRUE, ""Others""
)"),"Development &amp; Utilities")</f>
        <v>Development &amp; Utilities</v>
      </c>
    </row>
    <row r="1776" ht="15.75" customHeight="1">
      <c r="A1776" s="14" t="s">
        <v>3522</v>
      </c>
      <c r="B1776" s="15" t="s">
        <v>3523</v>
      </c>
      <c r="C1776" s="16" t="s">
        <v>7</v>
      </c>
      <c r="D1776" s="12" t="str">
        <f>IFERROR(__xludf.DUMMYFUNCTION("IFS(
  REGEXMATCH(A1776&amp;B1776, ""(?i)openai|gpt|gemini|anthropic|claude|mistral|cohere|rag|vector|llm|chatbot|ai-powered""), ""AI &amp; LLM"",
  REGEXMATCH(A1776&amp;B1776, ""(?i)twitter|instagram|facebook|linkedin|youtube|tiktok|threads|bluesky|pinterest|social"&amp;" video|reels?|shorts?""), ""Social Media"",
  REGEXMATCH(A1776&amp;B1776, ""(?i)hubspot|pipedrive|stripe|shopify|woocommerce|sales|crm|invoice|order|leads?|recruitment|bamboohr|erpnext""), ""CRM &amp; Sales"",
  REGEXMATCH(A1776&amp;B1776, ""(?i)gmail|outlook|calenda"&amp;"r|slack|discord|telegram|whatsapp|notion|trello|drive|sheets?|meeting|scheduler|appointment|mattermost""), ""Productivity &amp; Communication"",
  REGEXMATCH(A1776&amp;B1776, ""(?i)github|api|webhook|http|mysql|supabase|mongodb|redis|rss|pr|code review|incident|p"&amp;"agerduty|jira""), ""Development &amp; Utilities"",
  TRUE, ""Others""
)"),"AI &amp; LLM")</f>
        <v>AI &amp; LLM</v>
      </c>
    </row>
    <row r="1777" ht="15.75" customHeight="1">
      <c r="A1777" s="14" t="s">
        <v>3524</v>
      </c>
      <c r="B1777" s="15" t="s">
        <v>3525</v>
      </c>
      <c r="C1777" s="16" t="s">
        <v>7</v>
      </c>
      <c r="D1777" s="12" t="str">
        <f>IFERROR(__xludf.DUMMYFUNCTION("IFS(
  REGEXMATCH(A1777&amp;B1777, ""(?i)openai|gpt|gemini|anthropic|claude|mistral|cohere|rag|vector|llm|chatbot|ai-powered""), ""AI &amp; LLM"",
  REGEXMATCH(A1777&amp;B1777, ""(?i)twitter|instagram|facebook|linkedin|youtube|tiktok|threads|bluesky|pinterest|social"&amp;" video|reels?|shorts?""), ""Social Media"",
  REGEXMATCH(A1777&amp;B1777, ""(?i)hubspot|pipedrive|stripe|shopify|woocommerce|sales|crm|invoice|order|leads?|recruitment|bamboohr|erpnext""), ""CRM &amp; Sales"",
  REGEXMATCH(A1777&amp;B1777, ""(?i)gmail|outlook|calenda"&amp;"r|slack|discord|telegram|whatsapp|notion|trello|drive|sheets?|meeting|scheduler|appointment|mattermost""), ""Productivity &amp; Communication"",
  REGEXMATCH(A1777&amp;B1777, ""(?i)github|api|webhook|http|mysql|supabase|mongodb|redis|rss|pr|code review|incident|p"&amp;"agerduty|jira""), ""Development &amp; Utilities"",
  TRUE, ""Others""
)"),"Productivity &amp; Communication")</f>
        <v>Productivity &amp; Communication</v>
      </c>
    </row>
    <row r="1778" ht="15.75" customHeight="1">
      <c r="A1778" s="14" t="s">
        <v>3526</v>
      </c>
      <c r="B1778" s="15" t="s">
        <v>3527</v>
      </c>
      <c r="C1778" s="16" t="s">
        <v>7</v>
      </c>
      <c r="D1778" s="12" t="str">
        <f>IFERROR(__xludf.DUMMYFUNCTION("IFS(
  REGEXMATCH(A1778&amp;B1778, ""(?i)openai|gpt|gemini|anthropic|claude|mistral|cohere|rag|vector|llm|chatbot|ai-powered""), ""AI &amp; LLM"",
  REGEXMATCH(A1778&amp;B1778, ""(?i)twitter|instagram|facebook|linkedin|youtube|tiktok|threads|bluesky|pinterest|social"&amp;" video|reels?|shorts?""), ""Social Media"",
  REGEXMATCH(A1778&amp;B1778, ""(?i)hubspot|pipedrive|stripe|shopify|woocommerce|sales|crm|invoice|order|leads?|recruitment|bamboohr|erpnext""), ""CRM &amp; Sales"",
  REGEXMATCH(A1778&amp;B1778, ""(?i)gmail|outlook|calenda"&amp;"r|slack|discord|telegram|whatsapp|notion|trello|drive|sheets?|meeting|scheduler|appointment|mattermost""), ""Productivity &amp; Communication"",
  REGEXMATCH(A1778&amp;B1778, ""(?i)github|api|webhook|http|mysql|supabase|mongodb|redis|rss|pr|code review|incident|p"&amp;"agerduty|jira""), ""Development &amp; Utilities"",
  TRUE, ""Others""
)"),"Development &amp; Utilities")</f>
        <v>Development &amp; Utilities</v>
      </c>
    </row>
    <row r="1779" ht="15.75" customHeight="1">
      <c r="A1779" s="14" t="s">
        <v>3528</v>
      </c>
      <c r="B1779" s="15" t="s">
        <v>3529</v>
      </c>
      <c r="C1779" s="16" t="s">
        <v>7</v>
      </c>
      <c r="D1779" s="12" t="str">
        <f>IFERROR(__xludf.DUMMYFUNCTION("IFS(
  REGEXMATCH(A1779&amp;B1779, ""(?i)openai|gpt|gemini|anthropic|claude|mistral|cohere|rag|vector|llm|chatbot|ai-powered""), ""AI &amp; LLM"",
  REGEXMATCH(A1779&amp;B1779, ""(?i)twitter|instagram|facebook|linkedin|youtube|tiktok|threads|bluesky|pinterest|social"&amp;" video|reels?|shorts?""), ""Social Media"",
  REGEXMATCH(A1779&amp;B1779, ""(?i)hubspot|pipedrive|stripe|shopify|woocommerce|sales|crm|invoice|order|leads?|recruitment|bamboohr|erpnext""), ""CRM &amp; Sales"",
  REGEXMATCH(A1779&amp;B1779, ""(?i)gmail|outlook|calenda"&amp;"r|slack|discord|telegram|whatsapp|notion|trello|drive|sheets?|meeting|scheduler|appointment|mattermost""), ""Productivity &amp; Communication"",
  REGEXMATCH(A1779&amp;B1779, ""(?i)github|api|webhook|http|mysql|supabase|mongodb|redis|rss|pr|code review|incident|p"&amp;"agerduty|jira""), ""Development &amp; Utilities"",
  TRUE, ""Others""
)"),"Productivity &amp; Communication")</f>
        <v>Productivity &amp; Communication</v>
      </c>
    </row>
    <row r="1780" ht="15.75" customHeight="1">
      <c r="A1780" s="14" t="s">
        <v>3530</v>
      </c>
      <c r="B1780" s="15" t="s">
        <v>3531</v>
      </c>
      <c r="C1780" s="16" t="s">
        <v>7</v>
      </c>
      <c r="D1780" s="12" t="str">
        <f>IFERROR(__xludf.DUMMYFUNCTION("IFS(
  REGEXMATCH(A1780&amp;B1780, ""(?i)openai|gpt|gemini|anthropic|claude|mistral|cohere|rag|vector|llm|chatbot|ai-powered""), ""AI &amp; LLM"",
  REGEXMATCH(A1780&amp;B1780, ""(?i)twitter|instagram|facebook|linkedin|youtube|tiktok|threads|bluesky|pinterest|social"&amp;" video|reels?|shorts?""), ""Social Media"",
  REGEXMATCH(A1780&amp;B1780, ""(?i)hubspot|pipedrive|stripe|shopify|woocommerce|sales|crm|invoice|order|leads?|recruitment|bamboohr|erpnext""), ""CRM &amp; Sales"",
  REGEXMATCH(A1780&amp;B1780, ""(?i)gmail|outlook|calenda"&amp;"r|slack|discord|telegram|whatsapp|notion|trello|drive|sheets?|meeting|scheduler|appointment|mattermost""), ""Productivity &amp; Communication"",
  REGEXMATCH(A1780&amp;B1780, ""(?i)github|api|webhook|http|mysql|supabase|mongodb|redis|rss|pr|code review|incident|p"&amp;"agerduty|jira""), ""Development &amp; Utilities"",
  TRUE, ""Others""
)"),"Development &amp; Utilities")</f>
        <v>Development &amp; Utilities</v>
      </c>
    </row>
    <row r="1781" ht="15.75" customHeight="1">
      <c r="A1781" s="14" t="s">
        <v>3532</v>
      </c>
      <c r="B1781" s="15" t="s">
        <v>3533</v>
      </c>
      <c r="C1781" s="16" t="s">
        <v>7</v>
      </c>
      <c r="D1781" s="12" t="str">
        <f>IFERROR(__xludf.DUMMYFUNCTION("IFS(
  REGEXMATCH(A1781&amp;B1781, ""(?i)openai|gpt|gemini|anthropic|claude|mistral|cohere|rag|vector|llm|chatbot|ai-powered""), ""AI &amp; LLM"",
  REGEXMATCH(A1781&amp;B1781, ""(?i)twitter|instagram|facebook|linkedin|youtube|tiktok|threads|bluesky|pinterest|social"&amp;" video|reels?|shorts?""), ""Social Media"",
  REGEXMATCH(A1781&amp;B1781, ""(?i)hubspot|pipedrive|stripe|shopify|woocommerce|sales|crm|invoice|order|leads?|recruitment|bamboohr|erpnext""), ""CRM &amp; Sales"",
  REGEXMATCH(A1781&amp;B1781, ""(?i)gmail|outlook|calenda"&amp;"r|slack|discord|telegram|whatsapp|notion|trello|drive|sheets?|meeting|scheduler|appointment|mattermost""), ""Productivity &amp; Communication"",
  REGEXMATCH(A1781&amp;B1781, ""(?i)github|api|webhook|http|mysql|supabase|mongodb|redis|rss|pr|code review|incident|p"&amp;"agerduty|jira""), ""Development &amp; Utilities"",
  TRUE, ""Others""
)"),"Development &amp; Utilities")</f>
        <v>Development &amp; Utilities</v>
      </c>
    </row>
    <row r="1782" ht="15.75" customHeight="1">
      <c r="A1782" s="14" t="s">
        <v>3534</v>
      </c>
      <c r="B1782" s="15" t="s">
        <v>3535</v>
      </c>
      <c r="C1782" s="16" t="s">
        <v>7</v>
      </c>
      <c r="D1782" s="12" t="str">
        <f>IFERROR(__xludf.DUMMYFUNCTION("IFS(
  REGEXMATCH(A1782&amp;B1782, ""(?i)openai|gpt|gemini|anthropic|claude|mistral|cohere|rag|vector|llm|chatbot|ai-powered""), ""AI &amp; LLM"",
  REGEXMATCH(A1782&amp;B1782, ""(?i)twitter|instagram|facebook|linkedin|youtube|tiktok|threads|bluesky|pinterest|social"&amp;" video|reels?|shorts?""), ""Social Media"",
  REGEXMATCH(A1782&amp;B1782, ""(?i)hubspot|pipedrive|stripe|shopify|woocommerce|sales|crm|invoice|order|leads?|recruitment|bamboohr|erpnext""), ""CRM &amp; Sales"",
  REGEXMATCH(A1782&amp;B1782, ""(?i)gmail|outlook|calenda"&amp;"r|slack|discord|telegram|whatsapp|notion|trello|drive|sheets?|meeting|scheduler|appointment|mattermost""), ""Productivity &amp; Communication"",
  REGEXMATCH(A1782&amp;B1782, ""(?i)github|api|webhook|http|mysql|supabase|mongodb|redis|rss|pr|code review|incident|p"&amp;"agerduty|jira""), ""Development &amp; Utilities"",
  TRUE, ""Others""
)"),"Development &amp; Utilities")</f>
        <v>Development &amp; Utilities</v>
      </c>
    </row>
    <row r="1783" ht="15.75" customHeight="1">
      <c r="A1783" s="14" t="s">
        <v>3536</v>
      </c>
      <c r="B1783" s="15" t="s">
        <v>3537</v>
      </c>
      <c r="C1783" s="16" t="s">
        <v>7</v>
      </c>
      <c r="D1783" s="12" t="str">
        <f>IFERROR(__xludf.DUMMYFUNCTION("IFS(
  REGEXMATCH(A1783&amp;B1783, ""(?i)openai|gpt|gemini|anthropic|claude|mistral|cohere|rag|vector|llm|chatbot|ai-powered""), ""AI &amp; LLM"",
  REGEXMATCH(A1783&amp;B1783, ""(?i)twitter|instagram|facebook|linkedin|youtube|tiktok|threads|bluesky|pinterest|social"&amp;" video|reels?|shorts?""), ""Social Media"",
  REGEXMATCH(A1783&amp;B1783, ""(?i)hubspot|pipedrive|stripe|shopify|woocommerce|sales|crm|invoice|order|leads?|recruitment|bamboohr|erpnext""), ""CRM &amp; Sales"",
  REGEXMATCH(A1783&amp;B1783, ""(?i)gmail|outlook|calenda"&amp;"r|slack|discord|telegram|whatsapp|notion|trello|drive|sheets?|meeting|scheduler|appointment|mattermost""), ""Productivity &amp; Communication"",
  REGEXMATCH(A1783&amp;B1783, ""(?i)github|api|webhook|http|mysql|supabase|mongodb|redis|rss|pr|code review|incident|p"&amp;"agerduty|jira""), ""Development &amp; Utilities"",
  TRUE, ""Others""
)"),"Productivity &amp; Communication")</f>
        <v>Productivity &amp; Communication</v>
      </c>
    </row>
    <row r="1784" ht="15.75" customHeight="1">
      <c r="A1784" s="14" t="s">
        <v>3538</v>
      </c>
      <c r="B1784" s="15" t="s">
        <v>3539</v>
      </c>
      <c r="C1784" s="16" t="s">
        <v>7</v>
      </c>
      <c r="D1784" s="12" t="str">
        <f>IFERROR(__xludf.DUMMYFUNCTION("IFS(
  REGEXMATCH(A1784&amp;B1784, ""(?i)openai|gpt|gemini|anthropic|claude|mistral|cohere|rag|vector|llm|chatbot|ai-powered""), ""AI &amp; LLM"",
  REGEXMATCH(A1784&amp;B1784, ""(?i)twitter|instagram|facebook|linkedin|youtube|tiktok|threads|bluesky|pinterest|social"&amp;" video|reels?|shorts?""), ""Social Media"",
  REGEXMATCH(A1784&amp;B1784, ""(?i)hubspot|pipedrive|stripe|shopify|woocommerce|sales|crm|invoice|order|leads?|recruitment|bamboohr|erpnext""), ""CRM &amp; Sales"",
  REGEXMATCH(A1784&amp;B1784, ""(?i)gmail|outlook|calenda"&amp;"r|slack|discord|telegram|whatsapp|notion|trello|drive|sheets?|meeting|scheduler|appointment|mattermost""), ""Productivity &amp; Communication"",
  REGEXMATCH(A1784&amp;B1784, ""(?i)github|api|webhook|http|mysql|supabase|mongodb|redis|rss|pr|code review|incident|p"&amp;"agerduty|jira""), ""Development &amp; Utilities"",
  TRUE, ""Others""
)"),"Development &amp; Utilities")</f>
        <v>Development &amp; Utilities</v>
      </c>
    </row>
    <row r="1785" ht="15.75" customHeight="1">
      <c r="A1785" s="14" t="s">
        <v>3540</v>
      </c>
      <c r="B1785" s="15" t="s">
        <v>3541</v>
      </c>
      <c r="C1785" s="16" t="s">
        <v>7</v>
      </c>
      <c r="D1785" s="12" t="str">
        <f>IFERROR(__xludf.DUMMYFUNCTION("IFS(
  REGEXMATCH(A1785&amp;B1785, ""(?i)openai|gpt|gemini|anthropic|claude|mistral|cohere|rag|vector|llm|chatbot|ai-powered""), ""AI &amp; LLM"",
  REGEXMATCH(A1785&amp;B1785, ""(?i)twitter|instagram|facebook|linkedin|youtube|tiktok|threads|bluesky|pinterest|social"&amp;" video|reels?|shorts?""), ""Social Media"",
  REGEXMATCH(A1785&amp;B1785, ""(?i)hubspot|pipedrive|stripe|shopify|woocommerce|sales|crm|invoice|order|leads?|recruitment|bamboohr|erpnext""), ""CRM &amp; Sales"",
  REGEXMATCH(A1785&amp;B1785, ""(?i)gmail|outlook|calenda"&amp;"r|slack|discord|telegram|whatsapp|notion|trello|drive|sheets?|meeting|scheduler|appointment|mattermost""), ""Productivity &amp; Communication"",
  REGEXMATCH(A1785&amp;B1785, ""(?i)github|api|webhook|http|mysql|supabase|mongodb|redis|rss|pr|code review|incident|p"&amp;"agerduty|jira""), ""Development &amp; Utilities"",
  TRUE, ""Others""
)"),"Development &amp; Utilities")</f>
        <v>Development &amp; Utilities</v>
      </c>
    </row>
    <row r="1786" ht="15.75" customHeight="1">
      <c r="A1786" s="14" t="s">
        <v>3542</v>
      </c>
      <c r="B1786" s="15" t="s">
        <v>3543</v>
      </c>
      <c r="C1786" s="16" t="s">
        <v>7</v>
      </c>
      <c r="D1786" s="12" t="str">
        <f>IFERROR(__xludf.DUMMYFUNCTION("IFS(
  REGEXMATCH(A1786&amp;B1786, ""(?i)openai|gpt|gemini|anthropic|claude|mistral|cohere|rag|vector|llm|chatbot|ai-powered""), ""AI &amp; LLM"",
  REGEXMATCH(A1786&amp;B1786, ""(?i)twitter|instagram|facebook|linkedin|youtube|tiktok|threads|bluesky|pinterest|social"&amp;" video|reels?|shorts?""), ""Social Media"",
  REGEXMATCH(A1786&amp;B1786, ""(?i)hubspot|pipedrive|stripe|shopify|woocommerce|sales|crm|invoice|order|leads?|recruitment|bamboohr|erpnext""), ""CRM &amp; Sales"",
  REGEXMATCH(A1786&amp;B1786, ""(?i)gmail|outlook|calenda"&amp;"r|slack|discord|telegram|whatsapp|notion|trello|drive|sheets?|meeting|scheduler|appointment|mattermost""), ""Productivity &amp; Communication"",
  REGEXMATCH(A1786&amp;B1786, ""(?i)github|api|webhook|http|mysql|supabase|mongodb|redis|rss|pr|code review|incident|p"&amp;"agerduty|jira""), ""Development &amp; Utilities"",
  TRUE, ""Others""
)"),"Development &amp; Utilities")</f>
        <v>Development &amp; Utilities</v>
      </c>
    </row>
    <row r="1787" ht="15.75" customHeight="1">
      <c r="A1787" s="14" t="s">
        <v>3544</v>
      </c>
      <c r="B1787" s="15" t="s">
        <v>3545</v>
      </c>
      <c r="C1787" s="16" t="s">
        <v>7</v>
      </c>
      <c r="D1787" s="12" t="str">
        <f>IFERROR(__xludf.DUMMYFUNCTION("IFS(
  REGEXMATCH(A1787&amp;B1787, ""(?i)openai|gpt|gemini|anthropic|claude|mistral|cohere|rag|vector|llm|chatbot|ai-powered""), ""AI &amp; LLM"",
  REGEXMATCH(A1787&amp;B1787, ""(?i)twitter|instagram|facebook|linkedin|youtube|tiktok|threads|bluesky|pinterest|social"&amp;" video|reels?|shorts?""), ""Social Media"",
  REGEXMATCH(A1787&amp;B1787, ""(?i)hubspot|pipedrive|stripe|shopify|woocommerce|sales|crm|invoice|order|leads?|recruitment|bamboohr|erpnext""), ""CRM &amp; Sales"",
  REGEXMATCH(A1787&amp;B1787, ""(?i)gmail|outlook|calenda"&amp;"r|slack|discord|telegram|whatsapp|notion|trello|drive|sheets?|meeting|scheduler|appointment|mattermost""), ""Productivity &amp; Communication"",
  REGEXMATCH(A1787&amp;B1787, ""(?i)github|api|webhook|http|mysql|supabase|mongodb|redis|rss|pr|code review|incident|p"&amp;"agerduty|jira""), ""Development &amp; Utilities"",
  TRUE, ""Others""
)"),"Development &amp; Utilities")</f>
        <v>Development &amp; Utilities</v>
      </c>
    </row>
    <row r="1788" ht="15.75" customHeight="1">
      <c r="A1788" s="14" t="s">
        <v>3546</v>
      </c>
      <c r="B1788" s="15" t="s">
        <v>3547</v>
      </c>
      <c r="C1788" s="16" t="s">
        <v>7</v>
      </c>
      <c r="D1788" s="12" t="str">
        <f>IFERROR(__xludf.DUMMYFUNCTION("IFS(
  REGEXMATCH(A1788&amp;B1788, ""(?i)openai|gpt|gemini|anthropic|claude|mistral|cohere|rag|vector|llm|chatbot|ai-powered""), ""AI &amp; LLM"",
  REGEXMATCH(A1788&amp;B1788, ""(?i)twitter|instagram|facebook|linkedin|youtube|tiktok|threads|bluesky|pinterest|social"&amp;" video|reels?|shorts?""), ""Social Media"",
  REGEXMATCH(A1788&amp;B1788, ""(?i)hubspot|pipedrive|stripe|shopify|woocommerce|sales|crm|invoice|order|leads?|recruitment|bamboohr|erpnext""), ""CRM &amp; Sales"",
  REGEXMATCH(A1788&amp;B1788, ""(?i)gmail|outlook|calenda"&amp;"r|slack|discord|telegram|whatsapp|notion|trello|drive|sheets?|meeting|scheduler|appointment|mattermost""), ""Productivity &amp; Communication"",
  REGEXMATCH(A1788&amp;B1788, ""(?i)github|api|webhook|http|mysql|supabase|mongodb|redis|rss|pr|code review|incident|p"&amp;"agerduty|jira""), ""Development &amp; Utilities"",
  TRUE, ""Others""
)"),"Development &amp; Utilities")</f>
        <v>Development &amp; Utilities</v>
      </c>
    </row>
    <row r="1789" ht="15.75" customHeight="1">
      <c r="A1789" s="14" t="s">
        <v>3548</v>
      </c>
      <c r="B1789" s="15" t="s">
        <v>3549</v>
      </c>
      <c r="C1789" s="16" t="s">
        <v>7</v>
      </c>
      <c r="D1789" s="12" t="str">
        <f>IFERROR(__xludf.DUMMYFUNCTION("IFS(
  REGEXMATCH(A1789&amp;B1789, ""(?i)openai|gpt|gemini|anthropic|claude|mistral|cohere|rag|vector|llm|chatbot|ai-powered""), ""AI &amp; LLM"",
  REGEXMATCH(A1789&amp;B1789, ""(?i)twitter|instagram|facebook|linkedin|youtube|tiktok|threads|bluesky|pinterest|social"&amp;" video|reels?|shorts?""), ""Social Media"",
  REGEXMATCH(A1789&amp;B1789, ""(?i)hubspot|pipedrive|stripe|shopify|woocommerce|sales|crm|invoice|order|leads?|recruitment|bamboohr|erpnext""), ""CRM &amp; Sales"",
  REGEXMATCH(A1789&amp;B1789, ""(?i)gmail|outlook|calenda"&amp;"r|slack|discord|telegram|whatsapp|notion|trello|drive|sheets?|meeting|scheduler|appointment|mattermost""), ""Productivity &amp; Communication"",
  REGEXMATCH(A1789&amp;B1789, ""(?i)github|api|webhook|http|mysql|supabase|mongodb|redis|rss|pr|code review|incident|p"&amp;"agerduty|jira""), ""Development &amp; Utilities"",
  TRUE, ""Others""
)"),"Productivity &amp; Communication")</f>
        <v>Productivity &amp; Communication</v>
      </c>
    </row>
    <row r="1790" ht="15.75" customHeight="1">
      <c r="A1790" s="14" t="s">
        <v>3550</v>
      </c>
      <c r="B1790" s="15" t="s">
        <v>3551</v>
      </c>
      <c r="C1790" s="16" t="s">
        <v>7</v>
      </c>
      <c r="D1790" s="12" t="str">
        <f>IFERROR(__xludf.DUMMYFUNCTION("IFS(
  REGEXMATCH(A1790&amp;B1790, ""(?i)openai|gpt|gemini|anthropic|claude|mistral|cohere|rag|vector|llm|chatbot|ai-powered""), ""AI &amp; LLM"",
  REGEXMATCH(A1790&amp;B1790, ""(?i)twitter|instagram|facebook|linkedin|youtube|tiktok|threads|bluesky|pinterest|social"&amp;" video|reels?|shorts?""), ""Social Media"",
  REGEXMATCH(A1790&amp;B1790, ""(?i)hubspot|pipedrive|stripe|shopify|woocommerce|sales|crm|invoice|order|leads?|recruitment|bamboohr|erpnext""), ""CRM &amp; Sales"",
  REGEXMATCH(A1790&amp;B1790, ""(?i)gmail|outlook|calenda"&amp;"r|slack|discord|telegram|whatsapp|notion|trello|drive|sheets?|meeting|scheduler|appointment|mattermost""), ""Productivity &amp; Communication"",
  REGEXMATCH(A1790&amp;B1790, ""(?i)github|api|webhook|http|mysql|supabase|mongodb|redis|rss|pr|code review|incident|p"&amp;"agerduty|jira""), ""Development &amp; Utilities"",
  TRUE, ""Others""
)"),"Development &amp; Utilities")</f>
        <v>Development &amp; Utilities</v>
      </c>
    </row>
    <row r="1791" ht="15.75" customHeight="1">
      <c r="A1791" s="14" t="s">
        <v>3552</v>
      </c>
      <c r="B1791" s="15" t="s">
        <v>3553</v>
      </c>
      <c r="C1791" s="16" t="s">
        <v>7</v>
      </c>
      <c r="D1791" s="12" t="str">
        <f>IFERROR(__xludf.DUMMYFUNCTION("IFS(
  REGEXMATCH(A1791&amp;B1791, ""(?i)openai|gpt|gemini|anthropic|claude|mistral|cohere|rag|vector|llm|chatbot|ai-powered""), ""AI &amp; LLM"",
  REGEXMATCH(A1791&amp;B1791, ""(?i)twitter|instagram|facebook|linkedin|youtube|tiktok|threads|bluesky|pinterest|social"&amp;" video|reels?|shorts?""), ""Social Media"",
  REGEXMATCH(A1791&amp;B1791, ""(?i)hubspot|pipedrive|stripe|shopify|woocommerce|sales|crm|invoice|order|leads?|recruitment|bamboohr|erpnext""), ""CRM &amp; Sales"",
  REGEXMATCH(A1791&amp;B1791, ""(?i)gmail|outlook|calenda"&amp;"r|slack|discord|telegram|whatsapp|notion|trello|drive|sheets?|meeting|scheduler|appointment|mattermost""), ""Productivity &amp; Communication"",
  REGEXMATCH(A1791&amp;B1791, ""(?i)github|api|webhook|http|mysql|supabase|mongodb|redis|rss|pr|code review|incident|p"&amp;"agerduty|jira""), ""Development &amp; Utilities"",
  TRUE, ""Others""
)"),"Others")</f>
        <v>Others</v>
      </c>
    </row>
    <row r="1792" ht="15.75" customHeight="1">
      <c r="A1792" s="14" t="s">
        <v>3554</v>
      </c>
      <c r="B1792" s="15" t="s">
        <v>3555</v>
      </c>
      <c r="C1792" s="16" t="s">
        <v>7</v>
      </c>
      <c r="D1792" s="12" t="str">
        <f>IFERROR(__xludf.DUMMYFUNCTION("IFS(
  REGEXMATCH(A1792&amp;B1792, ""(?i)openai|gpt|gemini|anthropic|claude|mistral|cohere|rag|vector|llm|chatbot|ai-powered""), ""AI &amp; LLM"",
  REGEXMATCH(A1792&amp;B1792, ""(?i)twitter|instagram|facebook|linkedin|youtube|tiktok|threads|bluesky|pinterest|social"&amp;" video|reels?|shorts?""), ""Social Media"",
  REGEXMATCH(A1792&amp;B1792, ""(?i)hubspot|pipedrive|stripe|shopify|woocommerce|sales|crm|invoice|order|leads?|recruitment|bamboohr|erpnext""), ""CRM &amp; Sales"",
  REGEXMATCH(A1792&amp;B1792, ""(?i)gmail|outlook|calenda"&amp;"r|slack|discord|telegram|whatsapp|notion|trello|drive|sheets?|meeting|scheduler|appointment|mattermost""), ""Productivity &amp; Communication"",
  REGEXMATCH(A1792&amp;B1792, ""(?i)github|api|webhook|http|mysql|supabase|mongodb|redis|rss|pr|code review|incident|p"&amp;"agerduty|jira""), ""Development &amp; Utilities"",
  TRUE, ""Others""
)"),"Development &amp; Utilities")</f>
        <v>Development &amp; Utilities</v>
      </c>
    </row>
    <row r="1793" ht="15.75" customHeight="1">
      <c r="A1793" s="14" t="s">
        <v>3556</v>
      </c>
      <c r="B1793" s="15" t="s">
        <v>3557</v>
      </c>
      <c r="C1793" s="16" t="s">
        <v>7</v>
      </c>
      <c r="D1793" s="12" t="str">
        <f>IFERROR(__xludf.DUMMYFUNCTION("IFS(
  REGEXMATCH(A1793&amp;B1793, ""(?i)openai|gpt|gemini|anthropic|claude|mistral|cohere|rag|vector|llm|chatbot|ai-powered""), ""AI &amp; LLM"",
  REGEXMATCH(A1793&amp;B1793, ""(?i)twitter|instagram|facebook|linkedin|youtube|tiktok|threads|bluesky|pinterest|social"&amp;" video|reels?|shorts?""), ""Social Media"",
  REGEXMATCH(A1793&amp;B1793, ""(?i)hubspot|pipedrive|stripe|shopify|woocommerce|sales|crm|invoice|order|leads?|recruitment|bamboohr|erpnext""), ""CRM &amp; Sales"",
  REGEXMATCH(A1793&amp;B1793, ""(?i)gmail|outlook|calenda"&amp;"r|slack|discord|telegram|whatsapp|notion|trello|drive|sheets?|meeting|scheduler|appointment|mattermost""), ""Productivity &amp; Communication"",
  REGEXMATCH(A1793&amp;B1793, ""(?i)github|api|webhook|http|mysql|supabase|mongodb|redis|rss|pr|code review|incident|p"&amp;"agerduty|jira""), ""Development &amp; Utilities"",
  TRUE, ""Others""
)"),"AI &amp; LLM")</f>
        <v>AI &amp; LLM</v>
      </c>
    </row>
    <row r="1794" ht="15.75" customHeight="1">
      <c r="A1794" s="14" t="s">
        <v>3558</v>
      </c>
      <c r="B1794" s="15" t="s">
        <v>3559</v>
      </c>
      <c r="C1794" s="16" t="s">
        <v>7</v>
      </c>
      <c r="D1794" s="12" t="str">
        <f>IFERROR(__xludf.DUMMYFUNCTION("IFS(
  REGEXMATCH(A1794&amp;B1794, ""(?i)openai|gpt|gemini|anthropic|claude|mistral|cohere|rag|vector|llm|chatbot|ai-powered""), ""AI &amp; LLM"",
  REGEXMATCH(A1794&amp;B1794, ""(?i)twitter|instagram|facebook|linkedin|youtube|tiktok|threads|bluesky|pinterest|social"&amp;" video|reels?|shorts?""), ""Social Media"",
  REGEXMATCH(A1794&amp;B1794, ""(?i)hubspot|pipedrive|stripe|shopify|woocommerce|sales|crm|invoice|order|leads?|recruitment|bamboohr|erpnext""), ""CRM &amp; Sales"",
  REGEXMATCH(A1794&amp;B1794, ""(?i)gmail|outlook|calenda"&amp;"r|slack|discord|telegram|whatsapp|notion|trello|drive|sheets?|meeting|scheduler|appointment|mattermost""), ""Productivity &amp; Communication"",
  REGEXMATCH(A1794&amp;B1794, ""(?i)github|api|webhook|http|mysql|supabase|mongodb|redis|rss|pr|code review|incident|p"&amp;"agerduty|jira""), ""Development &amp; Utilities"",
  TRUE, ""Others""
)"),"Development &amp; Utilities")</f>
        <v>Development &amp; Utilities</v>
      </c>
    </row>
    <row r="1795" ht="15.75" customHeight="1">
      <c r="A1795" s="14" t="s">
        <v>3560</v>
      </c>
      <c r="B1795" s="15" t="s">
        <v>3561</v>
      </c>
      <c r="C1795" s="16" t="s">
        <v>7</v>
      </c>
      <c r="D1795" s="12" t="str">
        <f>IFERROR(__xludf.DUMMYFUNCTION("IFS(
  REGEXMATCH(A1795&amp;B1795, ""(?i)openai|gpt|gemini|anthropic|claude|mistral|cohere|rag|vector|llm|chatbot|ai-powered""), ""AI &amp; LLM"",
  REGEXMATCH(A1795&amp;B1795, ""(?i)twitter|instagram|facebook|linkedin|youtube|tiktok|threads|bluesky|pinterest|social"&amp;" video|reels?|shorts?""), ""Social Media"",
  REGEXMATCH(A1795&amp;B1795, ""(?i)hubspot|pipedrive|stripe|shopify|woocommerce|sales|crm|invoice|order|leads?|recruitment|bamboohr|erpnext""), ""CRM &amp; Sales"",
  REGEXMATCH(A1795&amp;B1795, ""(?i)gmail|outlook|calenda"&amp;"r|slack|discord|telegram|whatsapp|notion|trello|drive|sheets?|meeting|scheduler|appointment|mattermost""), ""Productivity &amp; Communication"",
  REGEXMATCH(A1795&amp;B1795, ""(?i)github|api|webhook|http|mysql|supabase|mongodb|redis|rss|pr|code review|incident|p"&amp;"agerduty|jira""), ""Development &amp; Utilities"",
  TRUE, ""Others""
)"),"Development &amp; Utilities")</f>
        <v>Development &amp; Utilities</v>
      </c>
    </row>
    <row r="1796" ht="15.75" customHeight="1">
      <c r="A1796" s="14" t="s">
        <v>3562</v>
      </c>
      <c r="B1796" s="15" t="s">
        <v>3563</v>
      </c>
      <c r="C1796" s="16" t="s">
        <v>7</v>
      </c>
      <c r="D1796" s="12" t="str">
        <f>IFERROR(__xludf.DUMMYFUNCTION("IFS(
  REGEXMATCH(A1796&amp;B1796, ""(?i)openai|gpt|gemini|anthropic|claude|mistral|cohere|rag|vector|llm|chatbot|ai-powered""), ""AI &amp; LLM"",
  REGEXMATCH(A1796&amp;B1796, ""(?i)twitter|instagram|facebook|linkedin|youtube|tiktok|threads|bluesky|pinterest|social"&amp;" video|reels?|shorts?""), ""Social Media"",
  REGEXMATCH(A1796&amp;B1796, ""(?i)hubspot|pipedrive|stripe|shopify|woocommerce|sales|crm|invoice|order|leads?|recruitment|bamboohr|erpnext""), ""CRM &amp; Sales"",
  REGEXMATCH(A1796&amp;B1796, ""(?i)gmail|outlook|calenda"&amp;"r|slack|discord|telegram|whatsapp|notion|trello|drive|sheets?|meeting|scheduler|appointment|mattermost""), ""Productivity &amp; Communication"",
  REGEXMATCH(A1796&amp;B1796, ""(?i)github|api|webhook|http|mysql|supabase|mongodb|redis|rss|pr|code review|incident|p"&amp;"agerduty|jira""), ""Development &amp; Utilities"",
  TRUE, ""Others""
)"),"Development &amp; Utilities")</f>
        <v>Development &amp; Utilities</v>
      </c>
    </row>
    <row r="1797" ht="15.75" customHeight="1">
      <c r="A1797" s="14" t="s">
        <v>3564</v>
      </c>
      <c r="B1797" s="15" t="s">
        <v>3565</v>
      </c>
      <c r="C1797" s="16" t="s">
        <v>7</v>
      </c>
      <c r="D1797" s="12" t="str">
        <f>IFERROR(__xludf.DUMMYFUNCTION("IFS(
  REGEXMATCH(A1797&amp;B1797, ""(?i)openai|gpt|gemini|anthropic|claude|mistral|cohere|rag|vector|llm|chatbot|ai-powered""), ""AI &amp; LLM"",
  REGEXMATCH(A1797&amp;B1797, ""(?i)twitter|instagram|facebook|linkedin|youtube|tiktok|threads|bluesky|pinterest|social"&amp;" video|reels?|shorts?""), ""Social Media"",
  REGEXMATCH(A1797&amp;B1797, ""(?i)hubspot|pipedrive|stripe|shopify|woocommerce|sales|crm|invoice|order|leads?|recruitment|bamboohr|erpnext""), ""CRM &amp; Sales"",
  REGEXMATCH(A1797&amp;B1797, ""(?i)gmail|outlook|calenda"&amp;"r|slack|discord|telegram|whatsapp|notion|trello|drive|sheets?|meeting|scheduler|appointment|mattermost""), ""Productivity &amp; Communication"",
  REGEXMATCH(A1797&amp;B1797, ""(?i)github|api|webhook|http|mysql|supabase|mongodb|redis|rss|pr|code review|incident|p"&amp;"agerduty|jira""), ""Development &amp; Utilities"",
  TRUE, ""Others""
)"),"Development &amp; Utilities")</f>
        <v>Development &amp; Utilities</v>
      </c>
    </row>
    <row r="1798" ht="15.75" customHeight="1">
      <c r="A1798" s="14" t="s">
        <v>3566</v>
      </c>
      <c r="B1798" s="15" t="s">
        <v>3567</v>
      </c>
      <c r="C1798" s="16" t="s">
        <v>7</v>
      </c>
      <c r="D1798" s="12" t="str">
        <f>IFERROR(__xludf.DUMMYFUNCTION("IFS(
  REGEXMATCH(A1798&amp;B1798, ""(?i)openai|gpt|gemini|anthropic|claude|mistral|cohere|rag|vector|llm|chatbot|ai-powered""), ""AI &amp; LLM"",
  REGEXMATCH(A1798&amp;B1798, ""(?i)twitter|instagram|facebook|linkedin|youtube|tiktok|threads|bluesky|pinterest|social"&amp;" video|reels?|shorts?""), ""Social Media"",
  REGEXMATCH(A1798&amp;B1798, ""(?i)hubspot|pipedrive|stripe|shopify|woocommerce|sales|crm|invoice|order|leads?|recruitment|bamboohr|erpnext""), ""CRM &amp; Sales"",
  REGEXMATCH(A1798&amp;B1798, ""(?i)gmail|outlook|calenda"&amp;"r|slack|discord|telegram|whatsapp|notion|trello|drive|sheets?|meeting|scheduler|appointment|mattermost""), ""Productivity &amp; Communication"",
  REGEXMATCH(A1798&amp;B1798, ""(?i)github|api|webhook|http|mysql|supabase|mongodb|redis|rss|pr|code review|incident|p"&amp;"agerduty|jira""), ""Development &amp; Utilities"",
  TRUE, ""Others""
)"),"Productivity &amp; Communication")</f>
        <v>Productivity &amp; Communication</v>
      </c>
    </row>
    <row r="1799" ht="15.75" customHeight="1">
      <c r="A1799" s="14" t="s">
        <v>3568</v>
      </c>
      <c r="B1799" s="15" t="s">
        <v>3569</v>
      </c>
      <c r="C1799" s="16" t="s">
        <v>7</v>
      </c>
      <c r="D1799" s="12" t="str">
        <f>IFERROR(__xludf.DUMMYFUNCTION("IFS(
  REGEXMATCH(A1799&amp;B1799, ""(?i)openai|gpt|gemini|anthropic|claude|mistral|cohere|rag|vector|llm|chatbot|ai-powered""), ""AI &amp; LLM"",
  REGEXMATCH(A1799&amp;B1799, ""(?i)twitter|instagram|facebook|linkedin|youtube|tiktok|threads|bluesky|pinterest|social"&amp;" video|reels?|shorts?""), ""Social Media"",
  REGEXMATCH(A1799&amp;B1799, ""(?i)hubspot|pipedrive|stripe|shopify|woocommerce|sales|crm|invoice|order|leads?|recruitment|bamboohr|erpnext""), ""CRM &amp; Sales"",
  REGEXMATCH(A1799&amp;B1799, ""(?i)gmail|outlook|calenda"&amp;"r|slack|discord|telegram|whatsapp|notion|trello|drive|sheets?|meeting|scheduler|appointment|mattermost""), ""Productivity &amp; Communication"",
  REGEXMATCH(A1799&amp;B1799, ""(?i)github|api|webhook|http|mysql|supabase|mongodb|redis|rss|pr|code review|incident|p"&amp;"agerduty|jira""), ""Development &amp; Utilities"",
  TRUE, ""Others""
)"),"Development &amp; Utilities")</f>
        <v>Development &amp; Utilities</v>
      </c>
    </row>
    <row r="1800" ht="15.75" customHeight="1">
      <c r="A1800" s="14" t="s">
        <v>3570</v>
      </c>
      <c r="B1800" s="15" t="s">
        <v>3571</v>
      </c>
      <c r="C1800" s="16" t="s">
        <v>7</v>
      </c>
      <c r="D1800" s="12" t="str">
        <f>IFERROR(__xludf.DUMMYFUNCTION("IFS(
  REGEXMATCH(A1800&amp;B1800, ""(?i)openai|gpt|gemini|anthropic|claude|mistral|cohere|rag|vector|llm|chatbot|ai-powered""), ""AI &amp; LLM"",
  REGEXMATCH(A1800&amp;B1800, ""(?i)twitter|instagram|facebook|linkedin|youtube|tiktok|threads|bluesky|pinterest|social"&amp;" video|reels?|shorts?""), ""Social Media"",
  REGEXMATCH(A1800&amp;B1800, ""(?i)hubspot|pipedrive|stripe|shopify|woocommerce|sales|crm|invoice|order|leads?|recruitment|bamboohr|erpnext""), ""CRM &amp; Sales"",
  REGEXMATCH(A1800&amp;B1800, ""(?i)gmail|outlook|calenda"&amp;"r|slack|discord|telegram|whatsapp|notion|trello|drive|sheets?|meeting|scheduler|appointment|mattermost""), ""Productivity &amp; Communication"",
  REGEXMATCH(A1800&amp;B1800, ""(?i)github|api|webhook|http|mysql|supabase|mongodb|redis|rss|pr|code review|incident|p"&amp;"agerduty|jira""), ""Development &amp; Utilities"",
  TRUE, ""Others""
)"),"Development &amp; Utilities")</f>
        <v>Development &amp; Utilities</v>
      </c>
    </row>
    <row r="1801" ht="15.75" customHeight="1">
      <c r="A1801" s="14" t="s">
        <v>3572</v>
      </c>
      <c r="B1801" s="15" t="s">
        <v>3573</v>
      </c>
      <c r="C1801" s="16" t="s">
        <v>7</v>
      </c>
      <c r="D1801" s="12" t="str">
        <f>IFERROR(__xludf.DUMMYFUNCTION("IFS(
  REGEXMATCH(A1801&amp;B1801, ""(?i)openai|gpt|gemini|anthropic|claude|mistral|cohere|rag|vector|llm|chatbot|ai-powered""), ""AI &amp; LLM"",
  REGEXMATCH(A1801&amp;B1801, ""(?i)twitter|instagram|facebook|linkedin|youtube|tiktok|threads|bluesky|pinterest|social"&amp;" video|reels?|shorts?""), ""Social Media"",
  REGEXMATCH(A1801&amp;B1801, ""(?i)hubspot|pipedrive|stripe|shopify|woocommerce|sales|crm|invoice|order|leads?|recruitment|bamboohr|erpnext""), ""CRM &amp; Sales"",
  REGEXMATCH(A1801&amp;B1801, ""(?i)gmail|outlook|calenda"&amp;"r|slack|discord|telegram|whatsapp|notion|trello|drive|sheets?|meeting|scheduler|appointment|mattermost""), ""Productivity &amp; Communication"",
  REGEXMATCH(A1801&amp;B1801, ""(?i)github|api|webhook|http|mysql|supabase|mongodb|redis|rss|pr|code review|incident|p"&amp;"agerduty|jira""), ""Development &amp; Utilities"",
  TRUE, ""Others""
)"),"Development &amp; Utilities")</f>
        <v>Development &amp; Utilities</v>
      </c>
    </row>
    <row r="1802" ht="15.75" customHeight="1">
      <c r="A1802" s="14" t="s">
        <v>3574</v>
      </c>
      <c r="B1802" s="15" t="s">
        <v>3575</v>
      </c>
      <c r="C1802" s="16" t="s">
        <v>7</v>
      </c>
      <c r="D1802" s="12" t="str">
        <f>IFERROR(__xludf.DUMMYFUNCTION("IFS(
  REGEXMATCH(A1802&amp;B1802, ""(?i)openai|gpt|gemini|anthropic|claude|mistral|cohere|rag|vector|llm|chatbot|ai-powered""), ""AI &amp; LLM"",
  REGEXMATCH(A1802&amp;B1802, ""(?i)twitter|instagram|facebook|linkedin|youtube|tiktok|threads|bluesky|pinterest|social"&amp;" video|reels?|shorts?""), ""Social Media"",
  REGEXMATCH(A1802&amp;B1802, ""(?i)hubspot|pipedrive|stripe|shopify|woocommerce|sales|crm|invoice|order|leads?|recruitment|bamboohr|erpnext""), ""CRM &amp; Sales"",
  REGEXMATCH(A1802&amp;B1802, ""(?i)gmail|outlook|calenda"&amp;"r|slack|discord|telegram|whatsapp|notion|trello|drive|sheets?|meeting|scheduler|appointment|mattermost""), ""Productivity &amp; Communication"",
  REGEXMATCH(A1802&amp;B1802, ""(?i)github|api|webhook|http|mysql|supabase|mongodb|redis|rss|pr|code review|incident|p"&amp;"agerduty|jira""), ""Development &amp; Utilities"",
  TRUE, ""Others""
)"),"CRM &amp; Sales")</f>
        <v>CRM &amp; Sales</v>
      </c>
    </row>
    <row r="1803" ht="15.75" customHeight="1">
      <c r="A1803" s="14" t="s">
        <v>3576</v>
      </c>
      <c r="B1803" s="15" t="s">
        <v>3577</v>
      </c>
      <c r="C1803" s="16" t="s">
        <v>7</v>
      </c>
      <c r="D1803" s="12" t="str">
        <f>IFERROR(__xludf.DUMMYFUNCTION("IFS(
  REGEXMATCH(A1803&amp;B1803, ""(?i)openai|gpt|gemini|anthropic|claude|mistral|cohere|rag|vector|llm|chatbot|ai-powered""), ""AI &amp; LLM"",
  REGEXMATCH(A1803&amp;B1803, ""(?i)twitter|instagram|facebook|linkedin|youtube|tiktok|threads|bluesky|pinterest|social"&amp;" video|reels?|shorts?""), ""Social Media"",
  REGEXMATCH(A1803&amp;B1803, ""(?i)hubspot|pipedrive|stripe|shopify|woocommerce|sales|crm|invoice|order|leads?|recruitment|bamboohr|erpnext""), ""CRM &amp; Sales"",
  REGEXMATCH(A1803&amp;B1803, ""(?i)gmail|outlook|calenda"&amp;"r|slack|discord|telegram|whatsapp|notion|trello|drive|sheets?|meeting|scheduler|appointment|mattermost""), ""Productivity &amp; Communication"",
  REGEXMATCH(A1803&amp;B1803, ""(?i)github|api|webhook|http|mysql|supabase|mongodb|redis|rss|pr|code review|incident|p"&amp;"agerduty|jira""), ""Development &amp; Utilities"",
  TRUE, ""Others""
)"),"Productivity &amp; Communication")</f>
        <v>Productivity &amp; Communication</v>
      </c>
    </row>
    <row r="1804" ht="15.75" customHeight="1">
      <c r="A1804" s="14" t="s">
        <v>3578</v>
      </c>
      <c r="B1804" s="15" t="s">
        <v>3579</v>
      </c>
      <c r="C1804" s="16" t="s">
        <v>7</v>
      </c>
      <c r="D1804" s="12" t="str">
        <f>IFERROR(__xludf.DUMMYFUNCTION("IFS(
  REGEXMATCH(A1804&amp;B1804, ""(?i)openai|gpt|gemini|anthropic|claude|mistral|cohere|rag|vector|llm|chatbot|ai-powered""), ""AI &amp; LLM"",
  REGEXMATCH(A1804&amp;B1804, ""(?i)twitter|instagram|facebook|linkedin|youtube|tiktok|threads|bluesky|pinterest|social"&amp;" video|reels?|shorts?""), ""Social Media"",
  REGEXMATCH(A1804&amp;B1804, ""(?i)hubspot|pipedrive|stripe|shopify|woocommerce|sales|crm|invoice|order|leads?|recruitment|bamboohr|erpnext""), ""CRM &amp; Sales"",
  REGEXMATCH(A1804&amp;B1804, ""(?i)gmail|outlook|calenda"&amp;"r|slack|discord|telegram|whatsapp|notion|trello|drive|sheets?|meeting|scheduler|appointment|mattermost""), ""Productivity &amp; Communication"",
  REGEXMATCH(A1804&amp;B1804, ""(?i)github|api|webhook|http|mysql|supabase|mongodb|redis|rss|pr|code review|incident|p"&amp;"agerduty|jira""), ""Development &amp; Utilities"",
  TRUE, ""Others""
)"),"Development &amp; Utilities")</f>
        <v>Development &amp; Utilities</v>
      </c>
    </row>
    <row r="1805" ht="15.75" customHeight="1">
      <c r="A1805" s="14" t="s">
        <v>3580</v>
      </c>
      <c r="B1805" s="15" t="s">
        <v>3581</v>
      </c>
      <c r="C1805" s="16" t="s">
        <v>7</v>
      </c>
      <c r="D1805" s="12" t="str">
        <f>IFERROR(__xludf.DUMMYFUNCTION("IFS(
  REGEXMATCH(A1805&amp;B1805, ""(?i)openai|gpt|gemini|anthropic|claude|mistral|cohere|rag|vector|llm|chatbot|ai-powered""), ""AI &amp; LLM"",
  REGEXMATCH(A1805&amp;B1805, ""(?i)twitter|instagram|facebook|linkedin|youtube|tiktok|threads|bluesky|pinterest|social"&amp;" video|reels?|shorts?""), ""Social Media"",
  REGEXMATCH(A1805&amp;B1805, ""(?i)hubspot|pipedrive|stripe|shopify|woocommerce|sales|crm|invoice|order|leads?|recruitment|bamboohr|erpnext""), ""CRM &amp; Sales"",
  REGEXMATCH(A1805&amp;B1805, ""(?i)gmail|outlook|calenda"&amp;"r|slack|discord|telegram|whatsapp|notion|trello|drive|sheets?|meeting|scheduler|appointment|mattermost""), ""Productivity &amp; Communication"",
  REGEXMATCH(A1805&amp;B1805, ""(?i)github|api|webhook|http|mysql|supabase|mongodb|redis|rss|pr|code review|incident|p"&amp;"agerduty|jira""), ""Development &amp; Utilities"",
  TRUE, ""Others""
)"),"Development &amp; Utilities")</f>
        <v>Development &amp; Utilities</v>
      </c>
    </row>
    <row r="1806" ht="15.75" customHeight="1">
      <c r="A1806" s="14" t="s">
        <v>3582</v>
      </c>
      <c r="B1806" s="15" t="s">
        <v>3583</v>
      </c>
      <c r="C1806" s="16" t="s">
        <v>7</v>
      </c>
      <c r="D1806" s="12" t="str">
        <f>IFERROR(__xludf.DUMMYFUNCTION("IFS(
  REGEXMATCH(A1806&amp;B1806, ""(?i)openai|gpt|gemini|anthropic|claude|mistral|cohere|rag|vector|llm|chatbot|ai-powered""), ""AI &amp; LLM"",
  REGEXMATCH(A1806&amp;B1806, ""(?i)twitter|instagram|facebook|linkedin|youtube|tiktok|threads|bluesky|pinterest|social"&amp;" video|reels?|shorts?""), ""Social Media"",
  REGEXMATCH(A1806&amp;B1806, ""(?i)hubspot|pipedrive|stripe|shopify|woocommerce|sales|crm|invoice|order|leads?|recruitment|bamboohr|erpnext""), ""CRM &amp; Sales"",
  REGEXMATCH(A1806&amp;B1806, ""(?i)gmail|outlook|calenda"&amp;"r|slack|discord|telegram|whatsapp|notion|trello|drive|sheets?|meeting|scheduler|appointment|mattermost""), ""Productivity &amp; Communication"",
  REGEXMATCH(A1806&amp;B1806, ""(?i)github|api|webhook|http|mysql|supabase|mongodb|redis|rss|pr|code review|incident|p"&amp;"agerduty|jira""), ""Development &amp; Utilities"",
  TRUE, ""Others""
)"),"Development &amp; Utilities")</f>
        <v>Development &amp; Utilities</v>
      </c>
    </row>
    <row r="1807" ht="15.75" customHeight="1">
      <c r="A1807" s="14" t="s">
        <v>3584</v>
      </c>
      <c r="B1807" s="15" t="s">
        <v>3585</v>
      </c>
      <c r="C1807" s="16" t="s">
        <v>7</v>
      </c>
      <c r="D1807" s="12" t="str">
        <f>IFERROR(__xludf.DUMMYFUNCTION("IFS(
  REGEXMATCH(A1807&amp;B1807, ""(?i)openai|gpt|gemini|anthropic|claude|mistral|cohere|rag|vector|llm|chatbot|ai-powered""), ""AI &amp; LLM"",
  REGEXMATCH(A1807&amp;B1807, ""(?i)twitter|instagram|facebook|linkedin|youtube|tiktok|threads|bluesky|pinterest|social"&amp;" video|reels?|shorts?""), ""Social Media"",
  REGEXMATCH(A1807&amp;B1807, ""(?i)hubspot|pipedrive|stripe|shopify|woocommerce|sales|crm|invoice|order|leads?|recruitment|bamboohr|erpnext""), ""CRM &amp; Sales"",
  REGEXMATCH(A1807&amp;B1807, ""(?i)gmail|outlook|calenda"&amp;"r|slack|discord|telegram|whatsapp|notion|trello|drive|sheets?|meeting|scheduler|appointment|mattermost""), ""Productivity &amp; Communication"",
  REGEXMATCH(A1807&amp;B1807, ""(?i)github|api|webhook|http|mysql|supabase|mongodb|redis|rss|pr|code review|incident|p"&amp;"agerduty|jira""), ""Development &amp; Utilities"",
  TRUE, ""Others""
)"),"Development &amp; Utilities")</f>
        <v>Development &amp; Utilities</v>
      </c>
    </row>
    <row r="1808" ht="15.75" customHeight="1">
      <c r="A1808" s="14" t="s">
        <v>3586</v>
      </c>
      <c r="B1808" s="15" t="s">
        <v>3587</v>
      </c>
      <c r="C1808" s="16" t="s">
        <v>7</v>
      </c>
      <c r="D1808" s="12" t="str">
        <f>IFERROR(__xludf.DUMMYFUNCTION("IFS(
  REGEXMATCH(A1808&amp;B1808, ""(?i)openai|gpt|gemini|anthropic|claude|mistral|cohere|rag|vector|llm|chatbot|ai-powered""), ""AI &amp; LLM"",
  REGEXMATCH(A1808&amp;B1808, ""(?i)twitter|instagram|facebook|linkedin|youtube|tiktok|threads|bluesky|pinterest|social"&amp;" video|reels?|shorts?""), ""Social Media"",
  REGEXMATCH(A1808&amp;B1808, ""(?i)hubspot|pipedrive|stripe|shopify|woocommerce|sales|crm|invoice|order|leads?|recruitment|bamboohr|erpnext""), ""CRM &amp; Sales"",
  REGEXMATCH(A1808&amp;B1808, ""(?i)gmail|outlook|calenda"&amp;"r|slack|discord|telegram|whatsapp|notion|trello|drive|sheets?|meeting|scheduler|appointment|mattermost""), ""Productivity &amp; Communication"",
  REGEXMATCH(A1808&amp;B1808, ""(?i)github|api|webhook|http|mysql|supabase|mongodb|redis|rss|pr|code review|incident|p"&amp;"agerduty|jira""), ""Development &amp; Utilities"",
  TRUE, ""Others""
)"),"Development &amp; Utilities")</f>
        <v>Development &amp; Utilities</v>
      </c>
    </row>
    <row r="1809" ht="15.75" customHeight="1">
      <c r="A1809" s="14" t="s">
        <v>3588</v>
      </c>
      <c r="B1809" s="15" t="s">
        <v>3589</v>
      </c>
      <c r="C1809" s="16" t="s">
        <v>7</v>
      </c>
      <c r="D1809" s="12" t="str">
        <f>IFERROR(__xludf.DUMMYFUNCTION("IFS(
  REGEXMATCH(A1809&amp;B1809, ""(?i)openai|gpt|gemini|anthropic|claude|mistral|cohere|rag|vector|llm|chatbot|ai-powered""), ""AI &amp; LLM"",
  REGEXMATCH(A1809&amp;B1809, ""(?i)twitter|instagram|facebook|linkedin|youtube|tiktok|threads|bluesky|pinterest|social"&amp;" video|reels?|shorts?""), ""Social Media"",
  REGEXMATCH(A1809&amp;B1809, ""(?i)hubspot|pipedrive|stripe|shopify|woocommerce|sales|crm|invoice|order|leads?|recruitment|bamboohr|erpnext""), ""CRM &amp; Sales"",
  REGEXMATCH(A1809&amp;B1809, ""(?i)gmail|outlook|calenda"&amp;"r|slack|discord|telegram|whatsapp|notion|trello|drive|sheets?|meeting|scheduler|appointment|mattermost""), ""Productivity &amp; Communication"",
  REGEXMATCH(A1809&amp;B1809, ""(?i)github|api|webhook|http|mysql|supabase|mongodb|redis|rss|pr|code review|incident|p"&amp;"agerduty|jira""), ""Development &amp; Utilities"",
  TRUE, ""Others""
)"),"Development &amp; Utilities")</f>
        <v>Development &amp; Utilities</v>
      </c>
    </row>
    <row r="1810" ht="15.75" customHeight="1">
      <c r="A1810" s="14" t="s">
        <v>3590</v>
      </c>
      <c r="B1810" s="15" t="s">
        <v>3591</v>
      </c>
      <c r="C1810" s="16" t="s">
        <v>7</v>
      </c>
      <c r="D1810" s="12" t="str">
        <f>IFERROR(__xludf.DUMMYFUNCTION("IFS(
  REGEXMATCH(A1810&amp;B1810, ""(?i)openai|gpt|gemini|anthropic|claude|mistral|cohere|rag|vector|llm|chatbot|ai-powered""), ""AI &amp; LLM"",
  REGEXMATCH(A1810&amp;B1810, ""(?i)twitter|instagram|facebook|linkedin|youtube|tiktok|threads|bluesky|pinterest|social"&amp;" video|reels?|shorts?""), ""Social Media"",
  REGEXMATCH(A1810&amp;B1810, ""(?i)hubspot|pipedrive|stripe|shopify|woocommerce|sales|crm|invoice|order|leads?|recruitment|bamboohr|erpnext""), ""CRM &amp; Sales"",
  REGEXMATCH(A1810&amp;B1810, ""(?i)gmail|outlook|calenda"&amp;"r|slack|discord|telegram|whatsapp|notion|trello|drive|sheets?|meeting|scheduler|appointment|mattermost""), ""Productivity &amp; Communication"",
  REGEXMATCH(A1810&amp;B1810, ""(?i)github|api|webhook|http|mysql|supabase|mongodb|redis|rss|pr|code review|incident|p"&amp;"agerduty|jira""), ""Development &amp; Utilities"",
  TRUE, ""Others""
)"),"Productivity &amp; Communication")</f>
        <v>Productivity &amp; Communication</v>
      </c>
    </row>
    <row r="1811" ht="15.75" customHeight="1">
      <c r="A1811" s="14" t="s">
        <v>3592</v>
      </c>
      <c r="B1811" s="15" t="s">
        <v>3593</v>
      </c>
      <c r="C1811" s="16" t="s">
        <v>7</v>
      </c>
      <c r="D1811" s="12" t="str">
        <f>IFERROR(__xludf.DUMMYFUNCTION("IFS(
  REGEXMATCH(A1811&amp;B1811, ""(?i)openai|gpt|gemini|anthropic|claude|mistral|cohere|rag|vector|llm|chatbot|ai-powered""), ""AI &amp; LLM"",
  REGEXMATCH(A1811&amp;B1811, ""(?i)twitter|instagram|facebook|linkedin|youtube|tiktok|threads|bluesky|pinterest|social"&amp;" video|reels?|shorts?""), ""Social Media"",
  REGEXMATCH(A1811&amp;B1811, ""(?i)hubspot|pipedrive|stripe|shopify|woocommerce|sales|crm|invoice|order|leads?|recruitment|bamboohr|erpnext""), ""CRM &amp; Sales"",
  REGEXMATCH(A1811&amp;B1811, ""(?i)gmail|outlook|calenda"&amp;"r|slack|discord|telegram|whatsapp|notion|trello|drive|sheets?|meeting|scheduler|appointment|mattermost""), ""Productivity &amp; Communication"",
  REGEXMATCH(A1811&amp;B1811, ""(?i)github|api|webhook|http|mysql|supabase|mongodb|redis|rss|pr|code review|incident|p"&amp;"agerduty|jira""), ""Development &amp; Utilities"",
  TRUE, ""Others""
)"),"Development &amp; Utilities")</f>
        <v>Development &amp; Utilities</v>
      </c>
    </row>
    <row r="1812" ht="15.75" customHeight="1">
      <c r="A1812" s="14" t="s">
        <v>3594</v>
      </c>
      <c r="B1812" s="15" t="s">
        <v>3595</v>
      </c>
      <c r="C1812" s="16" t="s">
        <v>7</v>
      </c>
      <c r="D1812" s="12" t="str">
        <f>IFERROR(__xludf.DUMMYFUNCTION("IFS(
  REGEXMATCH(A1812&amp;B1812, ""(?i)openai|gpt|gemini|anthropic|claude|mistral|cohere|rag|vector|llm|chatbot|ai-powered""), ""AI &amp; LLM"",
  REGEXMATCH(A1812&amp;B1812, ""(?i)twitter|instagram|facebook|linkedin|youtube|tiktok|threads|bluesky|pinterest|social"&amp;" video|reels?|shorts?""), ""Social Media"",
  REGEXMATCH(A1812&amp;B1812, ""(?i)hubspot|pipedrive|stripe|shopify|woocommerce|sales|crm|invoice|order|leads?|recruitment|bamboohr|erpnext""), ""CRM &amp; Sales"",
  REGEXMATCH(A1812&amp;B1812, ""(?i)gmail|outlook|calenda"&amp;"r|slack|discord|telegram|whatsapp|notion|trello|drive|sheets?|meeting|scheduler|appointment|mattermost""), ""Productivity &amp; Communication"",
  REGEXMATCH(A1812&amp;B1812, ""(?i)github|api|webhook|http|mysql|supabase|mongodb|redis|rss|pr|code review|incident|p"&amp;"agerduty|jira""), ""Development &amp; Utilities"",
  TRUE, ""Others""
)"),"Development &amp; Utilities")</f>
        <v>Development &amp; Utilities</v>
      </c>
    </row>
    <row r="1813" ht="15.75" customHeight="1">
      <c r="A1813" s="14" t="s">
        <v>3596</v>
      </c>
      <c r="B1813" s="15" t="s">
        <v>3597</v>
      </c>
      <c r="C1813" s="16" t="s">
        <v>7</v>
      </c>
      <c r="D1813" s="12" t="str">
        <f>IFERROR(__xludf.DUMMYFUNCTION("IFS(
  REGEXMATCH(A1813&amp;B1813, ""(?i)openai|gpt|gemini|anthropic|claude|mistral|cohere|rag|vector|llm|chatbot|ai-powered""), ""AI &amp; LLM"",
  REGEXMATCH(A1813&amp;B1813, ""(?i)twitter|instagram|facebook|linkedin|youtube|tiktok|threads|bluesky|pinterest|social"&amp;" video|reels?|shorts?""), ""Social Media"",
  REGEXMATCH(A1813&amp;B1813, ""(?i)hubspot|pipedrive|stripe|shopify|woocommerce|sales|crm|invoice|order|leads?|recruitment|bamboohr|erpnext""), ""CRM &amp; Sales"",
  REGEXMATCH(A1813&amp;B1813, ""(?i)gmail|outlook|calenda"&amp;"r|slack|discord|telegram|whatsapp|notion|trello|drive|sheets?|meeting|scheduler|appointment|mattermost""), ""Productivity &amp; Communication"",
  REGEXMATCH(A1813&amp;B1813, ""(?i)github|api|webhook|http|mysql|supabase|mongodb|redis|rss|pr|code review|incident|p"&amp;"agerduty|jira""), ""Development &amp; Utilities"",
  TRUE, ""Others""
)"),"Development &amp; Utilities")</f>
        <v>Development &amp; Utilities</v>
      </c>
    </row>
    <row r="1814" ht="15.75" customHeight="1">
      <c r="A1814" s="14" t="s">
        <v>3598</v>
      </c>
      <c r="B1814" s="15" t="s">
        <v>3599</v>
      </c>
      <c r="C1814" s="16" t="s">
        <v>7</v>
      </c>
      <c r="D1814" s="12" t="str">
        <f>IFERROR(__xludf.DUMMYFUNCTION("IFS(
  REGEXMATCH(A1814&amp;B1814, ""(?i)openai|gpt|gemini|anthropic|claude|mistral|cohere|rag|vector|llm|chatbot|ai-powered""), ""AI &amp; LLM"",
  REGEXMATCH(A1814&amp;B1814, ""(?i)twitter|instagram|facebook|linkedin|youtube|tiktok|threads|bluesky|pinterest|social"&amp;" video|reels?|shorts?""), ""Social Media"",
  REGEXMATCH(A1814&amp;B1814, ""(?i)hubspot|pipedrive|stripe|shopify|woocommerce|sales|crm|invoice|order|leads?|recruitment|bamboohr|erpnext""), ""CRM &amp; Sales"",
  REGEXMATCH(A1814&amp;B1814, ""(?i)gmail|outlook|calenda"&amp;"r|slack|discord|telegram|whatsapp|notion|trello|drive|sheets?|meeting|scheduler|appointment|mattermost""), ""Productivity &amp; Communication"",
  REGEXMATCH(A1814&amp;B1814, ""(?i)github|api|webhook|http|mysql|supabase|mongodb|redis|rss|pr|code review|incident|p"&amp;"agerduty|jira""), ""Development &amp; Utilities"",
  TRUE, ""Others""
)"),"Productivity &amp; Communication")</f>
        <v>Productivity &amp; Communication</v>
      </c>
    </row>
    <row r="1815" ht="15.75" customHeight="1">
      <c r="A1815" s="14" t="s">
        <v>3600</v>
      </c>
      <c r="B1815" s="15" t="s">
        <v>3601</v>
      </c>
      <c r="C1815" s="16" t="s">
        <v>7</v>
      </c>
      <c r="D1815" s="12" t="str">
        <f>IFERROR(__xludf.DUMMYFUNCTION("IFS(
  REGEXMATCH(A1815&amp;B1815, ""(?i)openai|gpt|gemini|anthropic|claude|mistral|cohere|rag|vector|llm|chatbot|ai-powered""), ""AI &amp; LLM"",
  REGEXMATCH(A1815&amp;B1815, ""(?i)twitter|instagram|facebook|linkedin|youtube|tiktok|threads|bluesky|pinterest|social"&amp;" video|reels?|shorts?""), ""Social Media"",
  REGEXMATCH(A1815&amp;B1815, ""(?i)hubspot|pipedrive|stripe|shopify|woocommerce|sales|crm|invoice|order|leads?|recruitment|bamboohr|erpnext""), ""CRM &amp; Sales"",
  REGEXMATCH(A1815&amp;B1815, ""(?i)gmail|outlook|calenda"&amp;"r|slack|discord|telegram|whatsapp|notion|trello|drive|sheets?|meeting|scheduler|appointment|mattermost""), ""Productivity &amp; Communication"",
  REGEXMATCH(A1815&amp;B1815, ""(?i)github|api|webhook|http|mysql|supabase|mongodb|redis|rss|pr|code review|incident|p"&amp;"agerduty|jira""), ""Development &amp; Utilities"",
  TRUE, ""Others""
)"),"Development &amp; Utilities")</f>
        <v>Development &amp; Utilities</v>
      </c>
    </row>
    <row r="1816" ht="15.75" customHeight="1">
      <c r="A1816" s="14" t="s">
        <v>3602</v>
      </c>
      <c r="B1816" s="15" t="s">
        <v>3603</v>
      </c>
      <c r="C1816" s="16" t="s">
        <v>7</v>
      </c>
      <c r="D1816" s="12" t="str">
        <f>IFERROR(__xludf.DUMMYFUNCTION("IFS(
  REGEXMATCH(A1816&amp;B1816, ""(?i)openai|gpt|gemini|anthropic|claude|mistral|cohere|rag|vector|llm|chatbot|ai-powered""), ""AI &amp; LLM"",
  REGEXMATCH(A1816&amp;B1816, ""(?i)twitter|instagram|facebook|linkedin|youtube|tiktok|threads|bluesky|pinterest|social"&amp;" video|reels?|shorts?""), ""Social Media"",
  REGEXMATCH(A1816&amp;B1816, ""(?i)hubspot|pipedrive|stripe|shopify|woocommerce|sales|crm|invoice|order|leads?|recruitment|bamboohr|erpnext""), ""CRM &amp; Sales"",
  REGEXMATCH(A1816&amp;B1816, ""(?i)gmail|outlook|calenda"&amp;"r|slack|discord|telegram|whatsapp|notion|trello|drive|sheets?|meeting|scheduler|appointment|mattermost""), ""Productivity &amp; Communication"",
  REGEXMATCH(A1816&amp;B1816, ""(?i)github|api|webhook|http|mysql|supabase|mongodb|redis|rss|pr|code review|incident|p"&amp;"agerduty|jira""), ""Development &amp; Utilities"",
  TRUE, ""Others""
)"),"Productivity &amp; Communication")</f>
        <v>Productivity &amp; Communication</v>
      </c>
    </row>
    <row r="1817" ht="15.75" customHeight="1">
      <c r="A1817" s="14" t="s">
        <v>3604</v>
      </c>
      <c r="B1817" s="15" t="s">
        <v>3605</v>
      </c>
      <c r="C1817" s="16" t="s">
        <v>7</v>
      </c>
      <c r="D1817" s="12" t="str">
        <f>IFERROR(__xludf.DUMMYFUNCTION("IFS(
  REGEXMATCH(A1817&amp;B1817, ""(?i)openai|gpt|gemini|anthropic|claude|mistral|cohere|rag|vector|llm|chatbot|ai-powered""), ""AI &amp; LLM"",
  REGEXMATCH(A1817&amp;B1817, ""(?i)twitter|instagram|facebook|linkedin|youtube|tiktok|threads|bluesky|pinterest|social"&amp;" video|reels?|shorts?""), ""Social Media"",
  REGEXMATCH(A1817&amp;B1817, ""(?i)hubspot|pipedrive|stripe|shopify|woocommerce|sales|crm|invoice|order|leads?|recruitment|bamboohr|erpnext""), ""CRM &amp; Sales"",
  REGEXMATCH(A1817&amp;B1817, ""(?i)gmail|outlook|calenda"&amp;"r|slack|discord|telegram|whatsapp|notion|trello|drive|sheets?|meeting|scheduler|appointment|mattermost""), ""Productivity &amp; Communication"",
  REGEXMATCH(A1817&amp;B1817, ""(?i)github|api|webhook|http|mysql|supabase|mongodb|redis|rss|pr|code review|incident|p"&amp;"agerduty|jira""), ""Development &amp; Utilities"",
  TRUE, ""Others""
)"),"Development &amp; Utilities")</f>
        <v>Development &amp; Utilities</v>
      </c>
    </row>
    <row r="1818" ht="15.75" customHeight="1">
      <c r="A1818" s="14" t="s">
        <v>3606</v>
      </c>
      <c r="B1818" s="15" t="s">
        <v>3607</v>
      </c>
      <c r="C1818" s="16" t="s">
        <v>7</v>
      </c>
      <c r="D1818" s="12" t="str">
        <f>IFERROR(__xludf.DUMMYFUNCTION("IFS(
  REGEXMATCH(A1818&amp;B1818, ""(?i)openai|gpt|gemini|anthropic|claude|mistral|cohere|rag|vector|llm|chatbot|ai-powered""), ""AI &amp; LLM"",
  REGEXMATCH(A1818&amp;B1818, ""(?i)twitter|instagram|facebook|linkedin|youtube|tiktok|threads|bluesky|pinterest|social"&amp;" video|reels?|shorts?""), ""Social Media"",
  REGEXMATCH(A1818&amp;B1818, ""(?i)hubspot|pipedrive|stripe|shopify|woocommerce|sales|crm|invoice|order|leads?|recruitment|bamboohr|erpnext""), ""CRM &amp; Sales"",
  REGEXMATCH(A1818&amp;B1818, ""(?i)gmail|outlook|calenda"&amp;"r|slack|discord|telegram|whatsapp|notion|trello|drive|sheets?|meeting|scheduler|appointment|mattermost""), ""Productivity &amp; Communication"",
  REGEXMATCH(A1818&amp;B1818, ""(?i)github|api|webhook|http|mysql|supabase|mongodb|redis|rss|pr|code review|incident|p"&amp;"agerduty|jira""), ""Development &amp; Utilities"",
  TRUE, ""Others""
)"),"Productivity &amp; Communication")</f>
        <v>Productivity &amp; Communication</v>
      </c>
    </row>
    <row r="1819" ht="15.75" customHeight="1">
      <c r="A1819" s="14" t="s">
        <v>3608</v>
      </c>
      <c r="B1819" s="15" t="s">
        <v>3609</v>
      </c>
      <c r="C1819" s="16" t="s">
        <v>7</v>
      </c>
      <c r="D1819" s="12" t="str">
        <f>IFERROR(__xludf.DUMMYFUNCTION("IFS(
  REGEXMATCH(A1819&amp;B1819, ""(?i)openai|gpt|gemini|anthropic|claude|mistral|cohere|rag|vector|llm|chatbot|ai-powered""), ""AI &amp; LLM"",
  REGEXMATCH(A1819&amp;B1819, ""(?i)twitter|instagram|facebook|linkedin|youtube|tiktok|threads|bluesky|pinterest|social"&amp;" video|reels?|shorts?""), ""Social Media"",
  REGEXMATCH(A1819&amp;B1819, ""(?i)hubspot|pipedrive|stripe|shopify|woocommerce|sales|crm|invoice|order|leads?|recruitment|bamboohr|erpnext""), ""CRM &amp; Sales"",
  REGEXMATCH(A1819&amp;B1819, ""(?i)gmail|outlook|calenda"&amp;"r|slack|discord|telegram|whatsapp|notion|trello|drive|sheets?|meeting|scheduler|appointment|mattermost""), ""Productivity &amp; Communication"",
  REGEXMATCH(A1819&amp;B1819, ""(?i)github|api|webhook|http|mysql|supabase|mongodb|redis|rss|pr|code review|incident|p"&amp;"agerduty|jira""), ""Development &amp; Utilities"",
  TRUE, ""Others""
)"),"Development &amp; Utilities")</f>
        <v>Development &amp; Utilities</v>
      </c>
    </row>
    <row r="1820" ht="15.75" customHeight="1">
      <c r="A1820" s="14" t="s">
        <v>3610</v>
      </c>
      <c r="B1820" s="15" t="s">
        <v>3611</v>
      </c>
      <c r="C1820" s="16" t="s">
        <v>7</v>
      </c>
      <c r="D1820" s="12" t="str">
        <f>IFERROR(__xludf.DUMMYFUNCTION("IFS(
  REGEXMATCH(A1820&amp;B1820, ""(?i)openai|gpt|gemini|anthropic|claude|mistral|cohere|rag|vector|llm|chatbot|ai-powered""), ""AI &amp; LLM"",
  REGEXMATCH(A1820&amp;B1820, ""(?i)twitter|instagram|facebook|linkedin|youtube|tiktok|threads|bluesky|pinterest|social"&amp;" video|reels?|shorts?""), ""Social Media"",
  REGEXMATCH(A1820&amp;B1820, ""(?i)hubspot|pipedrive|stripe|shopify|woocommerce|sales|crm|invoice|order|leads?|recruitment|bamboohr|erpnext""), ""CRM &amp; Sales"",
  REGEXMATCH(A1820&amp;B1820, ""(?i)gmail|outlook|calenda"&amp;"r|slack|discord|telegram|whatsapp|notion|trello|drive|sheets?|meeting|scheduler|appointment|mattermost""), ""Productivity &amp; Communication"",
  REGEXMATCH(A1820&amp;B1820, ""(?i)github|api|webhook|http|mysql|supabase|mongodb|redis|rss|pr|code review|incident|p"&amp;"agerduty|jira""), ""Development &amp; Utilities"",
  TRUE, ""Others""
)"),"Productivity &amp; Communication")</f>
        <v>Productivity &amp; Communication</v>
      </c>
    </row>
    <row r="1821" ht="15.75" customHeight="1">
      <c r="A1821" s="14" t="s">
        <v>3612</v>
      </c>
      <c r="B1821" s="15" t="s">
        <v>3613</v>
      </c>
      <c r="C1821" s="16" t="s">
        <v>7</v>
      </c>
      <c r="D1821" s="12" t="str">
        <f>IFERROR(__xludf.DUMMYFUNCTION("IFS(
  REGEXMATCH(A1821&amp;B1821, ""(?i)openai|gpt|gemini|anthropic|claude|mistral|cohere|rag|vector|llm|chatbot|ai-powered""), ""AI &amp; LLM"",
  REGEXMATCH(A1821&amp;B1821, ""(?i)twitter|instagram|facebook|linkedin|youtube|tiktok|threads|bluesky|pinterest|social"&amp;" video|reels?|shorts?""), ""Social Media"",
  REGEXMATCH(A1821&amp;B1821, ""(?i)hubspot|pipedrive|stripe|shopify|woocommerce|sales|crm|invoice|order|leads?|recruitment|bamboohr|erpnext""), ""CRM &amp; Sales"",
  REGEXMATCH(A1821&amp;B1821, ""(?i)gmail|outlook|calenda"&amp;"r|slack|discord|telegram|whatsapp|notion|trello|drive|sheets?|meeting|scheduler|appointment|mattermost""), ""Productivity &amp; Communication"",
  REGEXMATCH(A1821&amp;B1821, ""(?i)github|api|webhook|http|mysql|supabase|mongodb|redis|rss|pr|code review|incident|p"&amp;"agerduty|jira""), ""Development &amp; Utilities"",
  TRUE, ""Others""
)"),"Development &amp; Utilities")</f>
        <v>Development &amp; Utilities</v>
      </c>
    </row>
    <row r="1822" ht="15.75" customHeight="1">
      <c r="A1822" s="14" t="s">
        <v>3614</v>
      </c>
      <c r="B1822" s="15" t="s">
        <v>3615</v>
      </c>
      <c r="C1822" s="16" t="s">
        <v>7</v>
      </c>
      <c r="D1822" s="12" t="str">
        <f>IFERROR(__xludf.DUMMYFUNCTION("IFS(
  REGEXMATCH(A1822&amp;B1822, ""(?i)openai|gpt|gemini|anthropic|claude|mistral|cohere|rag|vector|llm|chatbot|ai-powered""), ""AI &amp; LLM"",
  REGEXMATCH(A1822&amp;B1822, ""(?i)twitter|instagram|facebook|linkedin|youtube|tiktok|threads|bluesky|pinterest|social"&amp;" video|reels?|shorts?""), ""Social Media"",
  REGEXMATCH(A1822&amp;B1822, ""(?i)hubspot|pipedrive|stripe|shopify|woocommerce|sales|crm|invoice|order|leads?|recruitment|bamboohr|erpnext""), ""CRM &amp; Sales"",
  REGEXMATCH(A1822&amp;B1822, ""(?i)gmail|outlook|calenda"&amp;"r|slack|discord|telegram|whatsapp|notion|trello|drive|sheets?|meeting|scheduler|appointment|mattermost""), ""Productivity &amp; Communication"",
  REGEXMATCH(A1822&amp;B1822, ""(?i)github|api|webhook|http|mysql|supabase|mongodb|redis|rss|pr|code review|incident|p"&amp;"agerduty|jira""), ""Development &amp; Utilities"",
  TRUE, ""Others""
)"),"Development &amp; Utilities")</f>
        <v>Development &amp; Utilities</v>
      </c>
    </row>
    <row r="1823" ht="15.75" customHeight="1">
      <c r="A1823" s="14" t="s">
        <v>3616</v>
      </c>
      <c r="B1823" s="15" t="s">
        <v>3617</v>
      </c>
      <c r="C1823" s="16" t="s">
        <v>7</v>
      </c>
      <c r="D1823" s="12" t="str">
        <f>IFERROR(__xludf.DUMMYFUNCTION("IFS(
  REGEXMATCH(A1823&amp;B1823, ""(?i)openai|gpt|gemini|anthropic|claude|mistral|cohere|rag|vector|llm|chatbot|ai-powered""), ""AI &amp; LLM"",
  REGEXMATCH(A1823&amp;B1823, ""(?i)twitter|instagram|facebook|linkedin|youtube|tiktok|threads|bluesky|pinterest|social"&amp;" video|reels?|shorts?""), ""Social Media"",
  REGEXMATCH(A1823&amp;B1823, ""(?i)hubspot|pipedrive|stripe|shopify|woocommerce|sales|crm|invoice|order|leads?|recruitment|bamboohr|erpnext""), ""CRM &amp; Sales"",
  REGEXMATCH(A1823&amp;B1823, ""(?i)gmail|outlook|calenda"&amp;"r|slack|discord|telegram|whatsapp|notion|trello|drive|sheets?|meeting|scheduler|appointment|mattermost""), ""Productivity &amp; Communication"",
  REGEXMATCH(A1823&amp;B1823, ""(?i)github|api|webhook|http|mysql|supabase|mongodb|redis|rss|pr|code review|incident|p"&amp;"agerduty|jira""), ""Development &amp; Utilities"",
  TRUE, ""Others""
)"),"CRM &amp; Sales")</f>
        <v>CRM &amp; Sales</v>
      </c>
    </row>
    <row r="1824" ht="15.75" customHeight="1">
      <c r="A1824" s="14" t="s">
        <v>3618</v>
      </c>
      <c r="B1824" s="15" t="s">
        <v>3619</v>
      </c>
      <c r="C1824" s="16" t="s">
        <v>7</v>
      </c>
      <c r="D1824" s="12" t="str">
        <f>IFERROR(__xludf.DUMMYFUNCTION("IFS(
  REGEXMATCH(A1824&amp;B1824, ""(?i)openai|gpt|gemini|anthropic|claude|mistral|cohere|rag|vector|llm|chatbot|ai-powered""), ""AI &amp; LLM"",
  REGEXMATCH(A1824&amp;B1824, ""(?i)twitter|instagram|facebook|linkedin|youtube|tiktok|threads|bluesky|pinterest|social"&amp;" video|reels?|shorts?""), ""Social Media"",
  REGEXMATCH(A1824&amp;B1824, ""(?i)hubspot|pipedrive|stripe|shopify|woocommerce|sales|crm|invoice|order|leads?|recruitment|bamboohr|erpnext""), ""CRM &amp; Sales"",
  REGEXMATCH(A1824&amp;B1824, ""(?i)gmail|outlook|calenda"&amp;"r|slack|discord|telegram|whatsapp|notion|trello|drive|sheets?|meeting|scheduler|appointment|mattermost""), ""Productivity &amp; Communication"",
  REGEXMATCH(A1824&amp;B1824, ""(?i)github|api|webhook|http|mysql|supabase|mongodb|redis|rss|pr|code review|incident|p"&amp;"agerduty|jira""), ""Development &amp; Utilities"",
  TRUE, ""Others""
)"),"Productivity &amp; Communication")</f>
        <v>Productivity &amp; Communication</v>
      </c>
    </row>
    <row r="1825" ht="15.75" customHeight="1">
      <c r="A1825" s="14" t="s">
        <v>3620</v>
      </c>
      <c r="B1825" s="15" t="s">
        <v>3621</v>
      </c>
      <c r="C1825" s="16" t="s">
        <v>7</v>
      </c>
      <c r="D1825" s="12" t="str">
        <f>IFERROR(__xludf.DUMMYFUNCTION("IFS(
  REGEXMATCH(A1825&amp;B1825, ""(?i)openai|gpt|gemini|anthropic|claude|mistral|cohere|rag|vector|llm|chatbot|ai-powered""), ""AI &amp; LLM"",
  REGEXMATCH(A1825&amp;B1825, ""(?i)twitter|instagram|facebook|linkedin|youtube|tiktok|threads|bluesky|pinterest|social"&amp;" video|reels?|shorts?""), ""Social Media"",
  REGEXMATCH(A1825&amp;B1825, ""(?i)hubspot|pipedrive|stripe|shopify|woocommerce|sales|crm|invoice|order|leads?|recruitment|bamboohr|erpnext""), ""CRM &amp; Sales"",
  REGEXMATCH(A1825&amp;B1825, ""(?i)gmail|outlook|calenda"&amp;"r|slack|discord|telegram|whatsapp|notion|trello|drive|sheets?|meeting|scheduler|appointment|mattermost""), ""Productivity &amp; Communication"",
  REGEXMATCH(A1825&amp;B1825, ""(?i)github|api|webhook|http|mysql|supabase|mongodb|redis|rss|pr|code review|incident|p"&amp;"agerduty|jira""), ""Development &amp; Utilities"",
  TRUE, ""Others""
)"),"CRM &amp; Sales")</f>
        <v>CRM &amp; Sales</v>
      </c>
    </row>
    <row r="1826" ht="15.75" customHeight="1">
      <c r="A1826" s="14" t="s">
        <v>3622</v>
      </c>
      <c r="B1826" s="15" t="s">
        <v>3623</v>
      </c>
      <c r="C1826" s="16" t="s">
        <v>7</v>
      </c>
      <c r="D1826" s="12" t="str">
        <f>IFERROR(__xludf.DUMMYFUNCTION("IFS(
  REGEXMATCH(A1826&amp;B1826, ""(?i)openai|gpt|gemini|anthropic|claude|mistral|cohere|rag|vector|llm|chatbot|ai-powered""), ""AI &amp; LLM"",
  REGEXMATCH(A1826&amp;B1826, ""(?i)twitter|instagram|facebook|linkedin|youtube|tiktok|threads|bluesky|pinterest|social"&amp;" video|reels?|shorts?""), ""Social Media"",
  REGEXMATCH(A1826&amp;B1826, ""(?i)hubspot|pipedrive|stripe|shopify|woocommerce|sales|crm|invoice|order|leads?|recruitment|bamboohr|erpnext""), ""CRM &amp; Sales"",
  REGEXMATCH(A1826&amp;B1826, ""(?i)gmail|outlook|calenda"&amp;"r|slack|discord|telegram|whatsapp|notion|trello|drive|sheets?|meeting|scheduler|appointment|mattermost""), ""Productivity &amp; Communication"",
  REGEXMATCH(A1826&amp;B1826, ""(?i)github|api|webhook|http|mysql|supabase|mongodb|redis|rss|pr|code review|incident|p"&amp;"agerduty|jira""), ""Development &amp; Utilities"",
  TRUE, ""Others""
)"),"Development &amp; Utilities")</f>
        <v>Development &amp; Utilities</v>
      </c>
    </row>
    <row r="1827" ht="15.75" customHeight="1">
      <c r="A1827" s="14" t="s">
        <v>3624</v>
      </c>
      <c r="B1827" s="15" t="s">
        <v>3625</v>
      </c>
      <c r="C1827" s="16" t="s">
        <v>7</v>
      </c>
      <c r="D1827" s="12" t="str">
        <f>IFERROR(__xludf.DUMMYFUNCTION("IFS(
  REGEXMATCH(A1827&amp;B1827, ""(?i)openai|gpt|gemini|anthropic|claude|mistral|cohere|rag|vector|llm|chatbot|ai-powered""), ""AI &amp; LLM"",
  REGEXMATCH(A1827&amp;B1827, ""(?i)twitter|instagram|facebook|linkedin|youtube|tiktok|threads|bluesky|pinterest|social"&amp;" video|reels?|shorts?""), ""Social Media"",
  REGEXMATCH(A1827&amp;B1827, ""(?i)hubspot|pipedrive|stripe|shopify|woocommerce|sales|crm|invoice|order|leads?|recruitment|bamboohr|erpnext""), ""CRM &amp; Sales"",
  REGEXMATCH(A1827&amp;B1827, ""(?i)gmail|outlook|calenda"&amp;"r|slack|discord|telegram|whatsapp|notion|trello|drive|sheets?|meeting|scheduler|appointment|mattermost""), ""Productivity &amp; Communication"",
  REGEXMATCH(A1827&amp;B1827, ""(?i)github|api|webhook|http|mysql|supabase|mongodb|redis|rss|pr|code review|incident|p"&amp;"agerduty|jira""), ""Development &amp; Utilities"",
  TRUE, ""Others""
)"),"Development &amp; Utilities")</f>
        <v>Development &amp; Utilities</v>
      </c>
    </row>
    <row r="1828" ht="15.75" customHeight="1">
      <c r="A1828" s="14" t="s">
        <v>3626</v>
      </c>
      <c r="B1828" s="15" t="s">
        <v>3627</v>
      </c>
      <c r="C1828" s="16" t="s">
        <v>7</v>
      </c>
      <c r="D1828" s="12" t="str">
        <f>IFERROR(__xludf.DUMMYFUNCTION("IFS(
  REGEXMATCH(A1828&amp;B1828, ""(?i)openai|gpt|gemini|anthropic|claude|mistral|cohere|rag|vector|llm|chatbot|ai-powered""), ""AI &amp; LLM"",
  REGEXMATCH(A1828&amp;B1828, ""(?i)twitter|instagram|facebook|linkedin|youtube|tiktok|threads|bluesky|pinterest|social"&amp;" video|reels?|shorts?""), ""Social Media"",
  REGEXMATCH(A1828&amp;B1828, ""(?i)hubspot|pipedrive|stripe|shopify|woocommerce|sales|crm|invoice|order|leads?|recruitment|bamboohr|erpnext""), ""CRM &amp; Sales"",
  REGEXMATCH(A1828&amp;B1828, ""(?i)gmail|outlook|calenda"&amp;"r|slack|discord|telegram|whatsapp|notion|trello|drive|sheets?|meeting|scheduler|appointment|mattermost""), ""Productivity &amp; Communication"",
  REGEXMATCH(A1828&amp;B1828, ""(?i)github|api|webhook|http|mysql|supabase|mongodb|redis|rss|pr|code review|incident|p"&amp;"agerduty|jira""), ""Development &amp; Utilities"",
  TRUE, ""Others""
)"),"Productivity &amp; Communication")</f>
        <v>Productivity &amp; Communication</v>
      </c>
    </row>
    <row r="1829" ht="15.75" customHeight="1">
      <c r="A1829" s="14" t="s">
        <v>3628</v>
      </c>
      <c r="B1829" s="15" t="s">
        <v>3629</v>
      </c>
      <c r="C1829" s="16" t="s">
        <v>7</v>
      </c>
      <c r="D1829" s="12" t="str">
        <f>IFERROR(__xludf.DUMMYFUNCTION("IFS(
  REGEXMATCH(A1829&amp;B1829, ""(?i)openai|gpt|gemini|anthropic|claude|mistral|cohere|rag|vector|llm|chatbot|ai-powered""), ""AI &amp; LLM"",
  REGEXMATCH(A1829&amp;B1829, ""(?i)twitter|instagram|facebook|linkedin|youtube|tiktok|threads|bluesky|pinterest|social"&amp;" video|reels?|shorts?""), ""Social Media"",
  REGEXMATCH(A1829&amp;B1829, ""(?i)hubspot|pipedrive|stripe|shopify|woocommerce|sales|crm|invoice|order|leads?|recruitment|bamboohr|erpnext""), ""CRM &amp; Sales"",
  REGEXMATCH(A1829&amp;B1829, ""(?i)gmail|outlook|calenda"&amp;"r|slack|discord|telegram|whatsapp|notion|trello|drive|sheets?|meeting|scheduler|appointment|mattermost""), ""Productivity &amp; Communication"",
  REGEXMATCH(A1829&amp;B1829, ""(?i)github|api|webhook|http|mysql|supabase|mongodb|redis|rss|pr|code review|incident|p"&amp;"agerduty|jira""), ""Development &amp; Utilities"",
  TRUE, ""Others""
)"),"Development &amp; Utilities")</f>
        <v>Development &amp; Utilities</v>
      </c>
    </row>
    <row r="1830" ht="15.75" customHeight="1">
      <c r="A1830" s="14" t="s">
        <v>3630</v>
      </c>
      <c r="B1830" s="15" t="s">
        <v>3631</v>
      </c>
      <c r="C1830" s="16" t="s">
        <v>7</v>
      </c>
      <c r="D1830" s="12" t="str">
        <f>IFERROR(__xludf.DUMMYFUNCTION("IFS(
  REGEXMATCH(A1830&amp;B1830, ""(?i)openai|gpt|gemini|anthropic|claude|mistral|cohere|rag|vector|llm|chatbot|ai-powered""), ""AI &amp; LLM"",
  REGEXMATCH(A1830&amp;B1830, ""(?i)twitter|instagram|facebook|linkedin|youtube|tiktok|threads|bluesky|pinterest|social"&amp;" video|reels?|shorts?""), ""Social Media"",
  REGEXMATCH(A1830&amp;B1830, ""(?i)hubspot|pipedrive|stripe|shopify|woocommerce|sales|crm|invoice|order|leads?|recruitment|bamboohr|erpnext""), ""CRM &amp; Sales"",
  REGEXMATCH(A1830&amp;B1830, ""(?i)gmail|outlook|calenda"&amp;"r|slack|discord|telegram|whatsapp|notion|trello|drive|sheets?|meeting|scheduler|appointment|mattermost""), ""Productivity &amp; Communication"",
  REGEXMATCH(A1830&amp;B1830, ""(?i)github|api|webhook|http|mysql|supabase|mongodb|redis|rss|pr|code review|incident|p"&amp;"agerduty|jira""), ""Development &amp; Utilities"",
  TRUE, ""Others""
)"),"Productivity &amp; Communication")</f>
        <v>Productivity &amp; Communication</v>
      </c>
    </row>
    <row r="1831" ht="15.75" customHeight="1">
      <c r="A1831" s="14" t="s">
        <v>3632</v>
      </c>
      <c r="B1831" s="15" t="s">
        <v>3633</v>
      </c>
      <c r="C1831" s="16" t="s">
        <v>7</v>
      </c>
      <c r="D1831" s="12" t="str">
        <f>IFERROR(__xludf.DUMMYFUNCTION("IFS(
  REGEXMATCH(A1831&amp;B1831, ""(?i)openai|gpt|gemini|anthropic|claude|mistral|cohere|rag|vector|llm|chatbot|ai-powered""), ""AI &amp; LLM"",
  REGEXMATCH(A1831&amp;B1831, ""(?i)twitter|instagram|facebook|linkedin|youtube|tiktok|threads|bluesky|pinterest|social"&amp;" video|reels?|shorts?""), ""Social Media"",
  REGEXMATCH(A1831&amp;B1831, ""(?i)hubspot|pipedrive|stripe|shopify|woocommerce|sales|crm|invoice|order|leads?|recruitment|bamboohr|erpnext""), ""CRM &amp; Sales"",
  REGEXMATCH(A1831&amp;B1831, ""(?i)gmail|outlook|calenda"&amp;"r|slack|discord|telegram|whatsapp|notion|trello|drive|sheets?|meeting|scheduler|appointment|mattermost""), ""Productivity &amp; Communication"",
  REGEXMATCH(A1831&amp;B1831, ""(?i)github|api|webhook|http|mysql|supabase|mongodb|redis|rss|pr|code review|incident|p"&amp;"agerduty|jira""), ""Development &amp; Utilities"",
  TRUE, ""Others""
)"),"Development &amp; Utilities")</f>
        <v>Development &amp; Utilities</v>
      </c>
    </row>
    <row r="1832" ht="15.75" customHeight="1">
      <c r="A1832" s="14" t="s">
        <v>3634</v>
      </c>
      <c r="B1832" s="15" t="s">
        <v>3635</v>
      </c>
      <c r="C1832" s="16" t="s">
        <v>7</v>
      </c>
      <c r="D1832" s="12" t="str">
        <f>IFERROR(__xludf.DUMMYFUNCTION("IFS(
  REGEXMATCH(A1832&amp;B1832, ""(?i)openai|gpt|gemini|anthropic|claude|mistral|cohere|rag|vector|llm|chatbot|ai-powered""), ""AI &amp; LLM"",
  REGEXMATCH(A1832&amp;B1832, ""(?i)twitter|instagram|facebook|linkedin|youtube|tiktok|threads|bluesky|pinterest|social"&amp;" video|reels?|shorts?""), ""Social Media"",
  REGEXMATCH(A1832&amp;B1832, ""(?i)hubspot|pipedrive|stripe|shopify|woocommerce|sales|crm|invoice|order|leads?|recruitment|bamboohr|erpnext""), ""CRM &amp; Sales"",
  REGEXMATCH(A1832&amp;B1832, ""(?i)gmail|outlook|calenda"&amp;"r|slack|discord|telegram|whatsapp|notion|trello|drive|sheets?|meeting|scheduler|appointment|mattermost""), ""Productivity &amp; Communication"",
  REGEXMATCH(A1832&amp;B1832, ""(?i)github|api|webhook|http|mysql|supabase|mongodb|redis|rss|pr|code review|incident|p"&amp;"agerduty|jira""), ""Development &amp; Utilities"",
  TRUE, ""Others""
)"),"Development &amp; Utilities")</f>
        <v>Development &amp; Utilities</v>
      </c>
    </row>
    <row r="1833" ht="15.75" customHeight="1">
      <c r="A1833" s="14" t="s">
        <v>3636</v>
      </c>
      <c r="B1833" s="15" t="s">
        <v>3637</v>
      </c>
      <c r="C1833" s="16" t="s">
        <v>7</v>
      </c>
      <c r="D1833" s="12" t="str">
        <f>IFERROR(__xludf.DUMMYFUNCTION("IFS(
  REGEXMATCH(A1833&amp;B1833, ""(?i)openai|gpt|gemini|anthropic|claude|mistral|cohere|rag|vector|llm|chatbot|ai-powered""), ""AI &amp; LLM"",
  REGEXMATCH(A1833&amp;B1833, ""(?i)twitter|instagram|facebook|linkedin|youtube|tiktok|threads|bluesky|pinterest|social"&amp;" video|reels?|shorts?""), ""Social Media"",
  REGEXMATCH(A1833&amp;B1833, ""(?i)hubspot|pipedrive|stripe|shopify|woocommerce|sales|crm|invoice|order|leads?|recruitment|bamboohr|erpnext""), ""CRM &amp; Sales"",
  REGEXMATCH(A1833&amp;B1833, ""(?i)gmail|outlook|calenda"&amp;"r|slack|discord|telegram|whatsapp|notion|trello|drive|sheets?|meeting|scheduler|appointment|mattermost""), ""Productivity &amp; Communication"",
  REGEXMATCH(A1833&amp;B1833, ""(?i)github|api|webhook|http|mysql|supabase|mongodb|redis|rss|pr|code review|incident|p"&amp;"agerduty|jira""), ""Development &amp; Utilities"",
  TRUE, ""Others""
)"),"CRM &amp; Sales")</f>
        <v>CRM &amp; Sales</v>
      </c>
    </row>
    <row r="1834" ht="15.75" customHeight="1">
      <c r="A1834" s="14" t="s">
        <v>3638</v>
      </c>
      <c r="B1834" s="15" t="s">
        <v>3639</v>
      </c>
      <c r="C1834" s="16" t="s">
        <v>7</v>
      </c>
      <c r="D1834" s="12" t="str">
        <f>IFERROR(__xludf.DUMMYFUNCTION("IFS(
  REGEXMATCH(A1834&amp;B1834, ""(?i)openai|gpt|gemini|anthropic|claude|mistral|cohere|rag|vector|llm|chatbot|ai-powered""), ""AI &amp; LLM"",
  REGEXMATCH(A1834&amp;B1834, ""(?i)twitter|instagram|facebook|linkedin|youtube|tiktok|threads|bluesky|pinterest|social"&amp;" video|reels?|shorts?""), ""Social Media"",
  REGEXMATCH(A1834&amp;B1834, ""(?i)hubspot|pipedrive|stripe|shopify|woocommerce|sales|crm|invoice|order|leads?|recruitment|bamboohr|erpnext""), ""CRM &amp; Sales"",
  REGEXMATCH(A1834&amp;B1834, ""(?i)gmail|outlook|calenda"&amp;"r|slack|discord|telegram|whatsapp|notion|trello|drive|sheets?|meeting|scheduler|appointment|mattermost""), ""Productivity &amp; Communication"",
  REGEXMATCH(A1834&amp;B1834, ""(?i)github|api|webhook|http|mysql|supabase|mongodb|redis|rss|pr|code review|incident|p"&amp;"agerduty|jira""), ""Development &amp; Utilities"",
  TRUE, ""Others""
)"),"Development &amp; Utilities")</f>
        <v>Development &amp; Utilities</v>
      </c>
    </row>
    <row r="1835" ht="15.75" customHeight="1">
      <c r="A1835" s="14" t="s">
        <v>3640</v>
      </c>
      <c r="B1835" s="15" t="s">
        <v>3641</v>
      </c>
      <c r="C1835" s="16" t="s">
        <v>7</v>
      </c>
      <c r="D1835" s="12" t="str">
        <f>IFERROR(__xludf.DUMMYFUNCTION("IFS(
  REGEXMATCH(A1835&amp;B1835, ""(?i)openai|gpt|gemini|anthropic|claude|mistral|cohere|rag|vector|llm|chatbot|ai-powered""), ""AI &amp; LLM"",
  REGEXMATCH(A1835&amp;B1835, ""(?i)twitter|instagram|facebook|linkedin|youtube|tiktok|threads|bluesky|pinterest|social"&amp;" video|reels?|shorts?""), ""Social Media"",
  REGEXMATCH(A1835&amp;B1835, ""(?i)hubspot|pipedrive|stripe|shopify|woocommerce|sales|crm|invoice|order|leads?|recruitment|bamboohr|erpnext""), ""CRM &amp; Sales"",
  REGEXMATCH(A1835&amp;B1835, ""(?i)gmail|outlook|calenda"&amp;"r|slack|discord|telegram|whatsapp|notion|trello|drive|sheets?|meeting|scheduler|appointment|mattermost""), ""Productivity &amp; Communication"",
  REGEXMATCH(A1835&amp;B1835, ""(?i)github|api|webhook|http|mysql|supabase|mongodb|redis|rss|pr|code review|incident|p"&amp;"agerduty|jira""), ""Development &amp; Utilities"",
  TRUE, ""Others""
)"),"Development &amp; Utilities")</f>
        <v>Development &amp; Utilities</v>
      </c>
    </row>
    <row r="1836" ht="15.75" customHeight="1">
      <c r="A1836" s="14" t="s">
        <v>3642</v>
      </c>
      <c r="B1836" s="15" t="s">
        <v>3643</v>
      </c>
      <c r="C1836" s="16" t="s">
        <v>7</v>
      </c>
      <c r="D1836" s="12" t="str">
        <f>IFERROR(__xludf.DUMMYFUNCTION("IFS(
  REGEXMATCH(A1836&amp;B1836, ""(?i)openai|gpt|gemini|anthropic|claude|mistral|cohere|rag|vector|llm|chatbot|ai-powered""), ""AI &amp; LLM"",
  REGEXMATCH(A1836&amp;B1836, ""(?i)twitter|instagram|facebook|linkedin|youtube|tiktok|threads|bluesky|pinterest|social"&amp;" video|reels?|shorts?""), ""Social Media"",
  REGEXMATCH(A1836&amp;B1836, ""(?i)hubspot|pipedrive|stripe|shopify|woocommerce|sales|crm|invoice|order|leads?|recruitment|bamboohr|erpnext""), ""CRM &amp; Sales"",
  REGEXMATCH(A1836&amp;B1836, ""(?i)gmail|outlook|calenda"&amp;"r|slack|discord|telegram|whatsapp|notion|trello|drive|sheets?|meeting|scheduler|appointment|mattermost""), ""Productivity &amp; Communication"",
  REGEXMATCH(A1836&amp;B1836, ""(?i)github|api|webhook|http|mysql|supabase|mongodb|redis|rss|pr|code review|incident|p"&amp;"agerduty|jira""), ""Development &amp; Utilities"",
  TRUE, ""Others""
)"),"Development &amp; Utilities")</f>
        <v>Development &amp; Utilities</v>
      </c>
    </row>
    <row r="1837" ht="15.75" customHeight="1">
      <c r="A1837" s="14" t="s">
        <v>3644</v>
      </c>
      <c r="B1837" s="15" t="s">
        <v>3645</v>
      </c>
      <c r="C1837" s="16" t="s">
        <v>7</v>
      </c>
      <c r="D1837" s="12" t="str">
        <f>IFERROR(__xludf.DUMMYFUNCTION("IFS(
  REGEXMATCH(A1837&amp;B1837, ""(?i)openai|gpt|gemini|anthropic|claude|mistral|cohere|rag|vector|llm|chatbot|ai-powered""), ""AI &amp; LLM"",
  REGEXMATCH(A1837&amp;B1837, ""(?i)twitter|instagram|facebook|linkedin|youtube|tiktok|threads|bluesky|pinterest|social"&amp;" video|reels?|shorts?""), ""Social Media"",
  REGEXMATCH(A1837&amp;B1837, ""(?i)hubspot|pipedrive|stripe|shopify|woocommerce|sales|crm|invoice|order|leads?|recruitment|bamboohr|erpnext""), ""CRM &amp; Sales"",
  REGEXMATCH(A1837&amp;B1837, ""(?i)gmail|outlook|calenda"&amp;"r|slack|discord|telegram|whatsapp|notion|trello|drive|sheets?|meeting|scheduler|appointment|mattermost""), ""Productivity &amp; Communication"",
  REGEXMATCH(A1837&amp;B1837, ""(?i)github|api|webhook|http|mysql|supabase|mongodb|redis|rss|pr|code review|incident|p"&amp;"agerduty|jira""), ""Development &amp; Utilities"",
  TRUE, ""Others""
)"),"Development &amp; Utilities")</f>
        <v>Development &amp; Utilities</v>
      </c>
    </row>
    <row r="1838" ht="15.75" customHeight="1">
      <c r="A1838" s="14" t="s">
        <v>3646</v>
      </c>
      <c r="B1838" s="15" t="s">
        <v>3647</v>
      </c>
      <c r="C1838" s="16" t="s">
        <v>7</v>
      </c>
      <c r="D1838" s="12" t="str">
        <f>IFERROR(__xludf.DUMMYFUNCTION("IFS(
  REGEXMATCH(A1838&amp;B1838, ""(?i)openai|gpt|gemini|anthropic|claude|mistral|cohere|rag|vector|llm|chatbot|ai-powered""), ""AI &amp; LLM"",
  REGEXMATCH(A1838&amp;B1838, ""(?i)twitter|instagram|facebook|linkedin|youtube|tiktok|threads|bluesky|pinterest|social"&amp;" video|reels?|shorts?""), ""Social Media"",
  REGEXMATCH(A1838&amp;B1838, ""(?i)hubspot|pipedrive|stripe|shopify|woocommerce|sales|crm|invoice|order|leads?|recruitment|bamboohr|erpnext""), ""CRM &amp; Sales"",
  REGEXMATCH(A1838&amp;B1838, ""(?i)gmail|outlook|calenda"&amp;"r|slack|discord|telegram|whatsapp|notion|trello|drive|sheets?|meeting|scheduler|appointment|mattermost""), ""Productivity &amp; Communication"",
  REGEXMATCH(A1838&amp;B1838, ""(?i)github|api|webhook|http|mysql|supabase|mongodb|redis|rss|pr|code review|incident|p"&amp;"agerduty|jira""), ""Development &amp; Utilities"",
  TRUE, ""Others""
)"),"AI &amp; LLM")</f>
        <v>AI &amp; LLM</v>
      </c>
    </row>
    <row r="1839" ht="15.75" customHeight="1">
      <c r="A1839" s="14" t="s">
        <v>3648</v>
      </c>
      <c r="B1839" s="15" t="s">
        <v>3649</v>
      </c>
      <c r="C1839" s="16" t="s">
        <v>7</v>
      </c>
      <c r="D1839" s="12" t="str">
        <f>IFERROR(__xludf.DUMMYFUNCTION("IFS(
  REGEXMATCH(A1839&amp;B1839, ""(?i)openai|gpt|gemini|anthropic|claude|mistral|cohere|rag|vector|llm|chatbot|ai-powered""), ""AI &amp; LLM"",
  REGEXMATCH(A1839&amp;B1839, ""(?i)twitter|instagram|facebook|linkedin|youtube|tiktok|threads|bluesky|pinterest|social"&amp;" video|reels?|shorts?""), ""Social Media"",
  REGEXMATCH(A1839&amp;B1839, ""(?i)hubspot|pipedrive|stripe|shopify|woocommerce|sales|crm|invoice|order|leads?|recruitment|bamboohr|erpnext""), ""CRM &amp; Sales"",
  REGEXMATCH(A1839&amp;B1839, ""(?i)gmail|outlook|calenda"&amp;"r|slack|discord|telegram|whatsapp|notion|trello|drive|sheets?|meeting|scheduler|appointment|mattermost""), ""Productivity &amp; Communication"",
  REGEXMATCH(A1839&amp;B1839, ""(?i)github|api|webhook|http|mysql|supabase|mongodb|redis|rss|pr|code review|incident|p"&amp;"agerduty|jira""), ""Development &amp; Utilities"",
  TRUE, ""Others""
)"),"Development &amp; Utilities")</f>
        <v>Development &amp; Utilities</v>
      </c>
    </row>
    <row r="1840" ht="15.75" customHeight="1">
      <c r="A1840" s="14" t="s">
        <v>3650</v>
      </c>
      <c r="B1840" s="15" t="s">
        <v>3651</v>
      </c>
      <c r="C1840" s="16" t="s">
        <v>7</v>
      </c>
      <c r="D1840" s="12" t="str">
        <f>IFERROR(__xludf.DUMMYFUNCTION("IFS(
  REGEXMATCH(A1840&amp;B1840, ""(?i)openai|gpt|gemini|anthropic|claude|mistral|cohere|rag|vector|llm|chatbot|ai-powered""), ""AI &amp; LLM"",
  REGEXMATCH(A1840&amp;B1840, ""(?i)twitter|instagram|facebook|linkedin|youtube|tiktok|threads|bluesky|pinterest|social"&amp;" video|reels?|shorts?""), ""Social Media"",
  REGEXMATCH(A1840&amp;B1840, ""(?i)hubspot|pipedrive|stripe|shopify|woocommerce|sales|crm|invoice|order|leads?|recruitment|bamboohr|erpnext""), ""CRM &amp; Sales"",
  REGEXMATCH(A1840&amp;B1840, ""(?i)gmail|outlook|calenda"&amp;"r|slack|discord|telegram|whatsapp|notion|trello|drive|sheets?|meeting|scheduler|appointment|mattermost""), ""Productivity &amp; Communication"",
  REGEXMATCH(A1840&amp;B1840, ""(?i)github|api|webhook|http|mysql|supabase|mongodb|redis|rss|pr|code review|incident|p"&amp;"agerduty|jira""), ""Development &amp; Utilities"",
  TRUE, ""Others""
)"),"Development &amp; Utilities")</f>
        <v>Development &amp; Utilities</v>
      </c>
    </row>
    <row r="1841" ht="15.75" customHeight="1">
      <c r="A1841" s="14" t="s">
        <v>3652</v>
      </c>
      <c r="B1841" s="15" t="s">
        <v>3653</v>
      </c>
      <c r="C1841" s="16" t="s">
        <v>7</v>
      </c>
      <c r="D1841" s="12" t="str">
        <f>IFERROR(__xludf.DUMMYFUNCTION("IFS(
  REGEXMATCH(A1841&amp;B1841, ""(?i)openai|gpt|gemini|anthropic|claude|mistral|cohere|rag|vector|llm|chatbot|ai-powered""), ""AI &amp; LLM"",
  REGEXMATCH(A1841&amp;B1841, ""(?i)twitter|instagram|facebook|linkedin|youtube|tiktok|threads|bluesky|pinterest|social"&amp;" video|reels?|shorts?""), ""Social Media"",
  REGEXMATCH(A1841&amp;B1841, ""(?i)hubspot|pipedrive|stripe|shopify|woocommerce|sales|crm|invoice|order|leads?|recruitment|bamboohr|erpnext""), ""CRM &amp; Sales"",
  REGEXMATCH(A1841&amp;B1841, ""(?i)gmail|outlook|calenda"&amp;"r|slack|discord|telegram|whatsapp|notion|trello|drive|sheets?|meeting|scheduler|appointment|mattermost""), ""Productivity &amp; Communication"",
  REGEXMATCH(A1841&amp;B1841, ""(?i)github|api|webhook|http|mysql|supabase|mongodb|redis|rss|pr|code review|incident|p"&amp;"agerduty|jira""), ""Development &amp; Utilities"",
  TRUE, ""Others""
)"),"Development &amp; Utilities")</f>
        <v>Development &amp; Utilities</v>
      </c>
    </row>
    <row r="1842" ht="15.75" customHeight="1">
      <c r="A1842" s="14" t="s">
        <v>3654</v>
      </c>
      <c r="B1842" s="15" t="s">
        <v>3655</v>
      </c>
      <c r="C1842" s="16" t="s">
        <v>7</v>
      </c>
      <c r="D1842" s="12" t="str">
        <f>IFERROR(__xludf.DUMMYFUNCTION("IFS(
  REGEXMATCH(A1842&amp;B1842, ""(?i)openai|gpt|gemini|anthropic|claude|mistral|cohere|rag|vector|llm|chatbot|ai-powered""), ""AI &amp; LLM"",
  REGEXMATCH(A1842&amp;B1842, ""(?i)twitter|instagram|facebook|linkedin|youtube|tiktok|threads|bluesky|pinterest|social"&amp;" video|reels?|shorts?""), ""Social Media"",
  REGEXMATCH(A1842&amp;B1842, ""(?i)hubspot|pipedrive|stripe|shopify|woocommerce|sales|crm|invoice|order|leads?|recruitment|bamboohr|erpnext""), ""CRM &amp; Sales"",
  REGEXMATCH(A1842&amp;B1842, ""(?i)gmail|outlook|calenda"&amp;"r|slack|discord|telegram|whatsapp|notion|trello|drive|sheets?|meeting|scheduler|appointment|mattermost""), ""Productivity &amp; Communication"",
  REGEXMATCH(A1842&amp;B1842, ""(?i)github|api|webhook|http|mysql|supabase|mongodb|redis|rss|pr|code review|incident|p"&amp;"agerduty|jira""), ""Development &amp; Utilities"",
  TRUE, ""Others""
)"),"Development &amp; Utilities")</f>
        <v>Development &amp; Utilities</v>
      </c>
    </row>
    <row r="1843" ht="15.75" customHeight="1">
      <c r="A1843" s="14" t="s">
        <v>3656</v>
      </c>
      <c r="B1843" s="15" t="s">
        <v>3657</v>
      </c>
      <c r="C1843" s="16" t="s">
        <v>7</v>
      </c>
      <c r="D1843" s="12" t="str">
        <f>IFERROR(__xludf.DUMMYFUNCTION("IFS(
  REGEXMATCH(A1843&amp;B1843, ""(?i)openai|gpt|gemini|anthropic|claude|mistral|cohere|rag|vector|llm|chatbot|ai-powered""), ""AI &amp; LLM"",
  REGEXMATCH(A1843&amp;B1843, ""(?i)twitter|instagram|facebook|linkedin|youtube|tiktok|threads|bluesky|pinterest|social"&amp;" video|reels?|shorts?""), ""Social Media"",
  REGEXMATCH(A1843&amp;B1843, ""(?i)hubspot|pipedrive|stripe|shopify|woocommerce|sales|crm|invoice|order|leads?|recruitment|bamboohr|erpnext""), ""CRM &amp; Sales"",
  REGEXMATCH(A1843&amp;B1843, ""(?i)gmail|outlook|calenda"&amp;"r|slack|discord|telegram|whatsapp|notion|trello|drive|sheets?|meeting|scheduler|appointment|mattermost""), ""Productivity &amp; Communication"",
  REGEXMATCH(A1843&amp;B1843, ""(?i)github|api|webhook|http|mysql|supabase|mongodb|redis|rss|pr|code review|incident|p"&amp;"agerduty|jira""), ""Development &amp; Utilities"",
  TRUE, ""Others""
)"),"Development &amp; Utilities")</f>
        <v>Development &amp; Utilities</v>
      </c>
    </row>
    <row r="1844" ht="15.75" customHeight="1">
      <c r="A1844" s="14" t="s">
        <v>3658</v>
      </c>
      <c r="B1844" s="15" t="s">
        <v>3659</v>
      </c>
      <c r="C1844" s="16" t="s">
        <v>7</v>
      </c>
      <c r="D1844" s="12" t="str">
        <f>IFERROR(__xludf.DUMMYFUNCTION("IFS(
  REGEXMATCH(A1844&amp;B1844, ""(?i)openai|gpt|gemini|anthropic|claude|mistral|cohere|rag|vector|llm|chatbot|ai-powered""), ""AI &amp; LLM"",
  REGEXMATCH(A1844&amp;B1844, ""(?i)twitter|instagram|facebook|linkedin|youtube|tiktok|threads|bluesky|pinterest|social"&amp;" video|reels?|shorts?""), ""Social Media"",
  REGEXMATCH(A1844&amp;B1844, ""(?i)hubspot|pipedrive|stripe|shopify|woocommerce|sales|crm|invoice|order|leads?|recruitment|bamboohr|erpnext""), ""CRM &amp; Sales"",
  REGEXMATCH(A1844&amp;B1844, ""(?i)gmail|outlook|calenda"&amp;"r|slack|discord|telegram|whatsapp|notion|trello|drive|sheets?|meeting|scheduler|appointment|mattermost""), ""Productivity &amp; Communication"",
  REGEXMATCH(A1844&amp;B1844, ""(?i)github|api|webhook|http|mysql|supabase|mongodb|redis|rss|pr|code review|incident|p"&amp;"agerduty|jira""), ""Development &amp; Utilities"",
  TRUE, ""Others""
)"),"Development &amp; Utilities")</f>
        <v>Development &amp; Utilities</v>
      </c>
    </row>
    <row r="1845" ht="15.75" customHeight="1">
      <c r="A1845" s="14" t="s">
        <v>3660</v>
      </c>
      <c r="B1845" s="15" t="s">
        <v>3661</v>
      </c>
      <c r="C1845" s="16" t="s">
        <v>7</v>
      </c>
      <c r="D1845" s="12" t="str">
        <f>IFERROR(__xludf.DUMMYFUNCTION("IFS(
  REGEXMATCH(A1845&amp;B1845, ""(?i)openai|gpt|gemini|anthropic|claude|mistral|cohere|rag|vector|llm|chatbot|ai-powered""), ""AI &amp; LLM"",
  REGEXMATCH(A1845&amp;B1845, ""(?i)twitter|instagram|facebook|linkedin|youtube|tiktok|threads|bluesky|pinterest|social"&amp;" video|reels?|shorts?""), ""Social Media"",
  REGEXMATCH(A1845&amp;B1845, ""(?i)hubspot|pipedrive|stripe|shopify|woocommerce|sales|crm|invoice|order|leads?|recruitment|bamboohr|erpnext""), ""CRM &amp; Sales"",
  REGEXMATCH(A1845&amp;B1845, ""(?i)gmail|outlook|calenda"&amp;"r|slack|discord|telegram|whatsapp|notion|trello|drive|sheets?|meeting|scheduler|appointment|mattermost""), ""Productivity &amp; Communication"",
  REGEXMATCH(A1845&amp;B1845, ""(?i)github|api|webhook|http|mysql|supabase|mongodb|redis|rss|pr|code review|incident|p"&amp;"agerduty|jira""), ""Development &amp; Utilities"",
  TRUE, ""Others""
)"),"Development &amp; Utilities")</f>
        <v>Development &amp; Utilities</v>
      </c>
    </row>
    <row r="1846" ht="15.75" customHeight="1">
      <c r="A1846" s="14" t="s">
        <v>3662</v>
      </c>
      <c r="B1846" s="15" t="s">
        <v>3663</v>
      </c>
      <c r="C1846" s="16" t="s">
        <v>7</v>
      </c>
      <c r="D1846" s="12" t="str">
        <f>IFERROR(__xludf.DUMMYFUNCTION("IFS(
  REGEXMATCH(A1846&amp;B1846, ""(?i)openai|gpt|gemini|anthropic|claude|mistral|cohere|rag|vector|llm|chatbot|ai-powered""), ""AI &amp; LLM"",
  REGEXMATCH(A1846&amp;B1846, ""(?i)twitter|instagram|facebook|linkedin|youtube|tiktok|threads|bluesky|pinterest|social"&amp;" video|reels?|shorts?""), ""Social Media"",
  REGEXMATCH(A1846&amp;B1846, ""(?i)hubspot|pipedrive|stripe|shopify|woocommerce|sales|crm|invoice|order|leads?|recruitment|bamboohr|erpnext""), ""CRM &amp; Sales"",
  REGEXMATCH(A1846&amp;B1846, ""(?i)gmail|outlook|calenda"&amp;"r|slack|discord|telegram|whatsapp|notion|trello|drive|sheets?|meeting|scheduler|appointment|mattermost""), ""Productivity &amp; Communication"",
  REGEXMATCH(A1846&amp;B1846, ""(?i)github|api|webhook|http|mysql|supabase|mongodb|redis|rss|pr|code review|incident|p"&amp;"agerduty|jira""), ""Development &amp; Utilities"",
  TRUE, ""Others""
)"),"CRM &amp; Sales")</f>
        <v>CRM &amp; Sales</v>
      </c>
    </row>
    <row r="1847" ht="15.75" customHeight="1">
      <c r="A1847" s="14" t="s">
        <v>3664</v>
      </c>
      <c r="B1847" s="15" t="s">
        <v>3665</v>
      </c>
      <c r="C1847" s="16" t="s">
        <v>7</v>
      </c>
      <c r="D1847" s="12" t="str">
        <f>IFERROR(__xludf.DUMMYFUNCTION("IFS(
  REGEXMATCH(A1847&amp;B1847, ""(?i)openai|gpt|gemini|anthropic|claude|mistral|cohere|rag|vector|llm|chatbot|ai-powered""), ""AI &amp; LLM"",
  REGEXMATCH(A1847&amp;B1847, ""(?i)twitter|instagram|facebook|linkedin|youtube|tiktok|threads|bluesky|pinterest|social"&amp;" video|reels?|shorts?""), ""Social Media"",
  REGEXMATCH(A1847&amp;B1847, ""(?i)hubspot|pipedrive|stripe|shopify|woocommerce|sales|crm|invoice|order|leads?|recruitment|bamboohr|erpnext""), ""CRM &amp; Sales"",
  REGEXMATCH(A1847&amp;B1847, ""(?i)gmail|outlook|calenda"&amp;"r|slack|discord|telegram|whatsapp|notion|trello|drive|sheets?|meeting|scheduler|appointment|mattermost""), ""Productivity &amp; Communication"",
  REGEXMATCH(A1847&amp;B1847, ""(?i)github|api|webhook|http|mysql|supabase|mongodb|redis|rss|pr|code review|incident|p"&amp;"agerduty|jira""), ""Development &amp; Utilities"",
  TRUE, ""Others""
)"),"Development &amp; Utilities")</f>
        <v>Development &amp; Utilities</v>
      </c>
    </row>
    <row r="1848" ht="15.75" customHeight="1">
      <c r="A1848" s="14" t="s">
        <v>3666</v>
      </c>
      <c r="B1848" s="15" t="s">
        <v>3667</v>
      </c>
      <c r="C1848" s="16" t="s">
        <v>7</v>
      </c>
      <c r="D1848" s="12" t="str">
        <f>IFERROR(__xludf.DUMMYFUNCTION("IFS(
  REGEXMATCH(A1848&amp;B1848, ""(?i)openai|gpt|gemini|anthropic|claude|mistral|cohere|rag|vector|llm|chatbot|ai-powered""), ""AI &amp; LLM"",
  REGEXMATCH(A1848&amp;B1848, ""(?i)twitter|instagram|facebook|linkedin|youtube|tiktok|threads|bluesky|pinterest|social"&amp;" video|reels?|shorts?""), ""Social Media"",
  REGEXMATCH(A1848&amp;B1848, ""(?i)hubspot|pipedrive|stripe|shopify|woocommerce|sales|crm|invoice|order|leads?|recruitment|bamboohr|erpnext""), ""CRM &amp; Sales"",
  REGEXMATCH(A1848&amp;B1848, ""(?i)gmail|outlook|calenda"&amp;"r|slack|discord|telegram|whatsapp|notion|trello|drive|sheets?|meeting|scheduler|appointment|mattermost""), ""Productivity &amp; Communication"",
  REGEXMATCH(A1848&amp;B1848, ""(?i)github|api|webhook|http|mysql|supabase|mongodb|redis|rss|pr|code review|incident|p"&amp;"agerduty|jira""), ""Development &amp; Utilities"",
  TRUE, ""Others""
)"),"Development &amp; Utilities")</f>
        <v>Development &amp; Utilities</v>
      </c>
    </row>
    <row r="1849" ht="15.75" customHeight="1">
      <c r="A1849" s="14" t="s">
        <v>3668</v>
      </c>
      <c r="B1849" s="15" t="s">
        <v>3669</v>
      </c>
      <c r="C1849" s="16" t="s">
        <v>7</v>
      </c>
      <c r="D1849" s="12" t="str">
        <f>IFERROR(__xludf.DUMMYFUNCTION("IFS(
  REGEXMATCH(A1849&amp;B1849, ""(?i)openai|gpt|gemini|anthropic|claude|mistral|cohere|rag|vector|llm|chatbot|ai-powered""), ""AI &amp; LLM"",
  REGEXMATCH(A1849&amp;B1849, ""(?i)twitter|instagram|facebook|linkedin|youtube|tiktok|threads|bluesky|pinterest|social"&amp;" video|reels?|shorts?""), ""Social Media"",
  REGEXMATCH(A1849&amp;B1849, ""(?i)hubspot|pipedrive|stripe|shopify|woocommerce|sales|crm|invoice|order|leads?|recruitment|bamboohr|erpnext""), ""CRM &amp; Sales"",
  REGEXMATCH(A1849&amp;B1849, ""(?i)gmail|outlook|calenda"&amp;"r|slack|discord|telegram|whatsapp|notion|trello|drive|sheets?|meeting|scheduler|appointment|mattermost""), ""Productivity &amp; Communication"",
  REGEXMATCH(A1849&amp;B1849, ""(?i)github|api|webhook|http|mysql|supabase|mongodb|redis|rss|pr|code review|incident|p"&amp;"agerduty|jira""), ""Development &amp; Utilities"",
  TRUE, ""Others""
)"),"Development &amp; Utilities")</f>
        <v>Development &amp; Utilities</v>
      </c>
    </row>
    <row r="1850" ht="15.75" customHeight="1">
      <c r="A1850" s="14" t="s">
        <v>3670</v>
      </c>
      <c r="B1850" s="15" t="s">
        <v>3671</v>
      </c>
      <c r="C1850" s="16" t="s">
        <v>7</v>
      </c>
      <c r="D1850" s="12" t="str">
        <f>IFERROR(__xludf.DUMMYFUNCTION("IFS(
  REGEXMATCH(A1850&amp;B1850, ""(?i)openai|gpt|gemini|anthropic|claude|mistral|cohere|rag|vector|llm|chatbot|ai-powered""), ""AI &amp; LLM"",
  REGEXMATCH(A1850&amp;B1850, ""(?i)twitter|instagram|facebook|linkedin|youtube|tiktok|threads|bluesky|pinterest|social"&amp;" video|reels?|shorts?""), ""Social Media"",
  REGEXMATCH(A1850&amp;B1850, ""(?i)hubspot|pipedrive|stripe|shopify|woocommerce|sales|crm|invoice|order|leads?|recruitment|bamboohr|erpnext""), ""CRM &amp; Sales"",
  REGEXMATCH(A1850&amp;B1850, ""(?i)gmail|outlook|calenda"&amp;"r|slack|discord|telegram|whatsapp|notion|trello|drive|sheets?|meeting|scheduler|appointment|mattermost""), ""Productivity &amp; Communication"",
  REGEXMATCH(A1850&amp;B1850, ""(?i)github|api|webhook|http|mysql|supabase|mongodb|redis|rss|pr|code review|incident|p"&amp;"agerduty|jira""), ""Development &amp; Utilities"",
  TRUE, ""Others""
)"),"Development &amp; Utilities")</f>
        <v>Development &amp; Utilities</v>
      </c>
    </row>
    <row r="1851" ht="15.75" customHeight="1">
      <c r="A1851" s="14" t="s">
        <v>3672</v>
      </c>
      <c r="B1851" s="15" t="s">
        <v>3673</v>
      </c>
      <c r="C1851" s="16" t="s">
        <v>7</v>
      </c>
      <c r="D1851" s="12" t="str">
        <f>IFERROR(__xludf.DUMMYFUNCTION("IFS(
  REGEXMATCH(A1851&amp;B1851, ""(?i)openai|gpt|gemini|anthropic|claude|mistral|cohere|rag|vector|llm|chatbot|ai-powered""), ""AI &amp; LLM"",
  REGEXMATCH(A1851&amp;B1851, ""(?i)twitter|instagram|facebook|linkedin|youtube|tiktok|threads|bluesky|pinterest|social"&amp;" video|reels?|shorts?""), ""Social Media"",
  REGEXMATCH(A1851&amp;B1851, ""(?i)hubspot|pipedrive|stripe|shopify|woocommerce|sales|crm|invoice|order|leads?|recruitment|bamboohr|erpnext""), ""CRM &amp; Sales"",
  REGEXMATCH(A1851&amp;B1851, ""(?i)gmail|outlook|calenda"&amp;"r|slack|discord|telegram|whatsapp|notion|trello|drive|sheets?|meeting|scheduler|appointment|mattermost""), ""Productivity &amp; Communication"",
  REGEXMATCH(A1851&amp;B1851, ""(?i)github|api|webhook|http|mysql|supabase|mongodb|redis|rss|pr|code review|incident|p"&amp;"agerduty|jira""), ""Development &amp; Utilities"",
  TRUE, ""Others""
)"),"Development &amp; Utilities")</f>
        <v>Development &amp; Utilities</v>
      </c>
    </row>
    <row r="1852" ht="15.75" customHeight="1">
      <c r="A1852" s="14" t="s">
        <v>3674</v>
      </c>
      <c r="B1852" s="15" t="s">
        <v>3675</v>
      </c>
      <c r="C1852" s="16" t="s">
        <v>7</v>
      </c>
      <c r="D1852" s="12" t="str">
        <f>IFERROR(__xludf.DUMMYFUNCTION("IFS(
  REGEXMATCH(A1852&amp;B1852, ""(?i)openai|gpt|gemini|anthropic|claude|mistral|cohere|rag|vector|llm|chatbot|ai-powered""), ""AI &amp; LLM"",
  REGEXMATCH(A1852&amp;B1852, ""(?i)twitter|instagram|facebook|linkedin|youtube|tiktok|threads|bluesky|pinterest|social"&amp;" video|reels?|shorts?""), ""Social Media"",
  REGEXMATCH(A1852&amp;B1852, ""(?i)hubspot|pipedrive|stripe|shopify|woocommerce|sales|crm|invoice|order|leads?|recruitment|bamboohr|erpnext""), ""CRM &amp; Sales"",
  REGEXMATCH(A1852&amp;B1852, ""(?i)gmail|outlook|calenda"&amp;"r|slack|discord|telegram|whatsapp|notion|trello|drive|sheets?|meeting|scheduler|appointment|mattermost""), ""Productivity &amp; Communication"",
  REGEXMATCH(A1852&amp;B1852, ""(?i)github|api|webhook|http|mysql|supabase|mongodb|redis|rss|pr|code review|incident|p"&amp;"agerduty|jira""), ""Development &amp; Utilities"",
  TRUE, ""Others""
)"),"AI &amp; LLM")</f>
        <v>AI &amp; LLM</v>
      </c>
    </row>
    <row r="1853" ht="15.75" customHeight="1">
      <c r="A1853" s="14" t="s">
        <v>3676</v>
      </c>
      <c r="B1853" s="15" t="s">
        <v>3677</v>
      </c>
      <c r="C1853" s="16" t="s">
        <v>7</v>
      </c>
      <c r="D1853" s="12" t="str">
        <f>IFERROR(__xludf.DUMMYFUNCTION("IFS(
  REGEXMATCH(A1853&amp;B1853, ""(?i)openai|gpt|gemini|anthropic|claude|mistral|cohere|rag|vector|llm|chatbot|ai-powered""), ""AI &amp; LLM"",
  REGEXMATCH(A1853&amp;B1853, ""(?i)twitter|instagram|facebook|linkedin|youtube|tiktok|threads|bluesky|pinterest|social"&amp;" video|reels?|shorts?""), ""Social Media"",
  REGEXMATCH(A1853&amp;B1853, ""(?i)hubspot|pipedrive|stripe|shopify|woocommerce|sales|crm|invoice|order|leads?|recruitment|bamboohr|erpnext""), ""CRM &amp; Sales"",
  REGEXMATCH(A1853&amp;B1853, ""(?i)gmail|outlook|calenda"&amp;"r|slack|discord|telegram|whatsapp|notion|trello|drive|sheets?|meeting|scheduler|appointment|mattermost""), ""Productivity &amp; Communication"",
  REGEXMATCH(A1853&amp;B1853, ""(?i)github|api|webhook|http|mysql|supabase|mongodb|redis|rss|pr|code review|incident|p"&amp;"agerduty|jira""), ""Development &amp; Utilities"",
  TRUE, ""Others""
)"),"Social Media")</f>
        <v>Social Media</v>
      </c>
    </row>
    <row r="1854" ht="15.75" customHeight="1">
      <c r="A1854" s="14" t="s">
        <v>3678</v>
      </c>
      <c r="B1854" s="15" t="s">
        <v>3679</v>
      </c>
      <c r="C1854" s="16" t="s">
        <v>7</v>
      </c>
      <c r="D1854" s="12" t="str">
        <f>IFERROR(__xludf.DUMMYFUNCTION("IFS(
  REGEXMATCH(A1854&amp;B1854, ""(?i)openai|gpt|gemini|anthropic|claude|mistral|cohere|rag|vector|llm|chatbot|ai-powered""), ""AI &amp; LLM"",
  REGEXMATCH(A1854&amp;B1854, ""(?i)twitter|instagram|facebook|linkedin|youtube|tiktok|threads|bluesky|pinterest|social"&amp;" video|reels?|shorts?""), ""Social Media"",
  REGEXMATCH(A1854&amp;B1854, ""(?i)hubspot|pipedrive|stripe|shopify|woocommerce|sales|crm|invoice|order|leads?|recruitment|bamboohr|erpnext""), ""CRM &amp; Sales"",
  REGEXMATCH(A1854&amp;B1854, ""(?i)gmail|outlook|calenda"&amp;"r|slack|discord|telegram|whatsapp|notion|trello|drive|sheets?|meeting|scheduler|appointment|mattermost""), ""Productivity &amp; Communication"",
  REGEXMATCH(A1854&amp;B1854, ""(?i)github|api|webhook|http|mysql|supabase|mongodb|redis|rss|pr|code review|incident|p"&amp;"agerduty|jira""), ""Development &amp; Utilities"",
  TRUE, ""Others""
)"),"AI &amp; LLM")</f>
        <v>AI &amp; LLM</v>
      </c>
    </row>
    <row r="1855" ht="15.75" customHeight="1">
      <c r="A1855" s="14" t="s">
        <v>3680</v>
      </c>
      <c r="B1855" s="15" t="s">
        <v>3681</v>
      </c>
      <c r="C1855" s="16" t="s">
        <v>7</v>
      </c>
      <c r="D1855" s="12" t="str">
        <f>IFERROR(__xludf.DUMMYFUNCTION("IFS(
  REGEXMATCH(A1855&amp;B1855, ""(?i)openai|gpt|gemini|anthropic|claude|mistral|cohere|rag|vector|llm|chatbot|ai-powered""), ""AI &amp; LLM"",
  REGEXMATCH(A1855&amp;B1855, ""(?i)twitter|instagram|facebook|linkedin|youtube|tiktok|threads|bluesky|pinterest|social"&amp;" video|reels?|shorts?""), ""Social Media"",
  REGEXMATCH(A1855&amp;B1855, ""(?i)hubspot|pipedrive|stripe|shopify|woocommerce|sales|crm|invoice|order|leads?|recruitment|bamboohr|erpnext""), ""CRM &amp; Sales"",
  REGEXMATCH(A1855&amp;B1855, ""(?i)gmail|outlook|calenda"&amp;"r|slack|discord|telegram|whatsapp|notion|trello|drive|sheets?|meeting|scheduler|appointment|mattermost""), ""Productivity &amp; Communication"",
  REGEXMATCH(A1855&amp;B1855, ""(?i)github|api|webhook|http|mysql|supabase|mongodb|redis|rss|pr|code review|incident|p"&amp;"agerduty|jira""), ""Development &amp; Utilities"",
  TRUE, ""Others""
)"),"Development &amp; Utilities")</f>
        <v>Development &amp; Utilities</v>
      </c>
    </row>
    <row r="1856" ht="15.75" customHeight="1">
      <c r="A1856" s="14" t="s">
        <v>3682</v>
      </c>
      <c r="B1856" s="15" t="s">
        <v>3683</v>
      </c>
      <c r="C1856" s="16" t="s">
        <v>7</v>
      </c>
      <c r="D1856" s="12" t="str">
        <f>IFERROR(__xludf.DUMMYFUNCTION("IFS(
  REGEXMATCH(A1856&amp;B1856, ""(?i)openai|gpt|gemini|anthropic|claude|mistral|cohere|rag|vector|llm|chatbot|ai-powered""), ""AI &amp; LLM"",
  REGEXMATCH(A1856&amp;B1856, ""(?i)twitter|instagram|facebook|linkedin|youtube|tiktok|threads|bluesky|pinterest|social"&amp;" video|reels?|shorts?""), ""Social Media"",
  REGEXMATCH(A1856&amp;B1856, ""(?i)hubspot|pipedrive|stripe|shopify|woocommerce|sales|crm|invoice|order|leads?|recruitment|bamboohr|erpnext""), ""CRM &amp; Sales"",
  REGEXMATCH(A1856&amp;B1856, ""(?i)gmail|outlook|calenda"&amp;"r|slack|discord|telegram|whatsapp|notion|trello|drive|sheets?|meeting|scheduler|appointment|mattermost""), ""Productivity &amp; Communication"",
  REGEXMATCH(A1856&amp;B1856, ""(?i)github|api|webhook|http|mysql|supabase|mongodb|redis|rss|pr|code review|incident|p"&amp;"agerduty|jira""), ""Development &amp; Utilities"",
  TRUE, ""Others""
)"),"Development &amp; Utilities")</f>
        <v>Development &amp; Utilities</v>
      </c>
    </row>
    <row r="1857" ht="15.75" customHeight="1">
      <c r="A1857" s="14" t="s">
        <v>3684</v>
      </c>
      <c r="B1857" s="15" t="s">
        <v>3685</v>
      </c>
      <c r="C1857" s="16" t="s">
        <v>7</v>
      </c>
      <c r="D1857" s="12" t="str">
        <f>IFERROR(__xludf.DUMMYFUNCTION("IFS(
  REGEXMATCH(A1857&amp;B1857, ""(?i)openai|gpt|gemini|anthropic|claude|mistral|cohere|rag|vector|llm|chatbot|ai-powered""), ""AI &amp; LLM"",
  REGEXMATCH(A1857&amp;B1857, ""(?i)twitter|instagram|facebook|linkedin|youtube|tiktok|threads|bluesky|pinterest|social"&amp;" video|reels?|shorts?""), ""Social Media"",
  REGEXMATCH(A1857&amp;B1857, ""(?i)hubspot|pipedrive|stripe|shopify|woocommerce|sales|crm|invoice|order|leads?|recruitment|bamboohr|erpnext""), ""CRM &amp; Sales"",
  REGEXMATCH(A1857&amp;B1857, ""(?i)gmail|outlook|calenda"&amp;"r|slack|discord|telegram|whatsapp|notion|trello|drive|sheets?|meeting|scheduler|appointment|mattermost""), ""Productivity &amp; Communication"",
  REGEXMATCH(A1857&amp;B1857, ""(?i)github|api|webhook|http|mysql|supabase|mongodb|redis|rss|pr|code review|incident|p"&amp;"agerduty|jira""), ""Development &amp; Utilities"",
  TRUE, ""Others""
)"),"Development &amp; Utilities")</f>
        <v>Development &amp; Utilities</v>
      </c>
    </row>
    <row r="1858" ht="15.75" customHeight="1">
      <c r="A1858" s="14" t="s">
        <v>3686</v>
      </c>
      <c r="B1858" s="15" t="s">
        <v>3687</v>
      </c>
      <c r="C1858" s="16" t="s">
        <v>7</v>
      </c>
      <c r="D1858" s="12" t="str">
        <f>IFERROR(__xludf.DUMMYFUNCTION("IFS(
  REGEXMATCH(A1858&amp;B1858, ""(?i)openai|gpt|gemini|anthropic|claude|mistral|cohere|rag|vector|llm|chatbot|ai-powered""), ""AI &amp; LLM"",
  REGEXMATCH(A1858&amp;B1858, ""(?i)twitter|instagram|facebook|linkedin|youtube|tiktok|threads|bluesky|pinterest|social"&amp;" video|reels?|shorts?""), ""Social Media"",
  REGEXMATCH(A1858&amp;B1858, ""(?i)hubspot|pipedrive|stripe|shopify|woocommerce|sales|crm|invoice|order|leads?|recruitment|bamboohr|erpnext""), ""CRM &amp; Sales"",
  REGEXMATCH(A1858&amp;B1858, ""(?i)gmail|outlook|calenda"&amp;"r|slack|discord|telegram|whatsapp|notion|trello|drive|sheets?|meeting|scheduler|appointment|mattermost""), ""Productivity &amp; Communication"",
  REGEXMATCH(A1858&amp;B1858, ""(?i)github|api|webhook|http|mysql|supabase|mongodb|redis|rss|pr|code review|incident|p"&amp;"agerduty|jira""), ""Development &amp; Utilities"",
  TRUE, ""Others""
)"),"Productivity &amp; Communication")</f>
        <v>Productivity &amp; Communication</v>
      </c>
    </row>
    <row r="1859" ht="15.75" customHeight="1">
      <c r="A1859" s="14" t="s">
        <v>3688</v>
      </c>
      <c r="B1859" s="15" t="s">
        <v>3689</v>
      </c>
      <c r="C1859" s="16" t="s">
        <v>7</v>
      </c>
      <c r="D1859" s="12" t="str">
        <f>IFERROR(__xludf.DUMMYFUNCTION("IFS(
  REGEXMATCH(A1859&amp;B1859, ""(?i)openai|gpt|gemini|anthropic|claude|mistral|cohere|rag|vector|llm|chatbot|ai-powered""), ""AI &amp; LLM"",
  REGEXMATCH(A1859&amp;B1859, ""(?i)twitter|instagram|facebook|linkedin|youtube|tiktok|threads|bluesky|pinterest|social"&amp;" video|reels?|shorts?""), ""Social Media"",
  REGEXMATCH(A1859&amp;B1859, ""(?i)hubspot|pipedrive|stripe|shopify|woocommerce|sales|crm|invoice|order|leads?|recruitment|bamboohr|erpnext""), ""CRM &amp; Sales"",
  REGEXMATCH(A1859&amp;B1859, ""(?i)gmail|outlook|calenda"&amp;"r|slack|discord|telegram|whatsapp|notion|trello|drive|sheets?|meeting|scheduler|appointment|mattermost""), ""Productivity &amp; Communication"",
  REGEXMATCH(A1859&amp;B1859, ""(?i)github|api|webhook|http|mysql|supabase|mongodb|redis|rss|pr|code review|incident|p"&amp;"agerduty|jira""), ""Development &amp; Utilities"",
  TRUE, ""Others""
)"),"Development &amp; Utilities")</f>
        <v>Development &amp; Utilities</v>
      </c>
    </row>
    <row r="1860" ht="15.75" customHeight="1">
      <c r="A1860" s="14" t="s">
        <v>3690</v>
      </c>
      <c r="B1860" s="15" t="s">
        <v>3691</v>
      </c>
      <c r="C1860" s="16" t="s">
        <v>7</v>
      </c>
      <c r="D1860" s="12" t="str">
        <f>IFERROR(__xludf.DUMMYFUNCTION("IFS(
  REGEXMATCH(A1860&amp;B1860, ""(?i)openai|gpt|gemini|anthropic|claude|mistral|cohere|rag|vector|llm|chatbot|ai-powered""), ""AI &amp; LLM"",
  REGEXMATCH(A1860&amp;B1860, ""(?i)twitter|instagram|facebook|linkedin|youtube|tiktok|threads|bluesky|pinterest|social"&amp;" video|reels?|shorts?""), ""Social Media"",
  REGEXMATCH(A1860&amp;B1860, ""(?i)hubspot|pipedrive|stripe|shopify|woocommerce|sales|crm|invoice|order|leads?|recruitment|bamboohr|erpnext""), ""CRM &amp; Sales"",
  REGEXMATCH(A1860&amp;B1860, ""(?i)gmail|outlook|calenda"&amp;"r|slack|discord|telegram|whatsapp|notion|trello|drive|sheets?|meeting|scheduler|appointment|mattermost""), ""Productivity &amp; Communication"",
  REGEXMATCH(A1860&amp;B1860, ""(?i)github|api|webhook|http|mysql|supabase|mongodb|redis|rss|pr|code review|incident|p"&amp;"agerduty|jira""), ""Development &amp; Utilities"",
  TRUE, ""Others""
)"),"Productivity &amp; Communication")</f>
        <v>Productivity &amp; Communication</v>
      </c>
    </row>
    <row r="1861" ht="15.75" customHeight="1">
      <c r="A1861" s="14" t="s">
        <v>3692</v>
      </c>
      <c r="B1861" s="15" t="s">
        <v>3693</v>
      </c>
      <c r="C1861" s="16" t="s">
        <v>7</v>
      </c>
      <c r="D1861" s="12" t="str">
        <f>IFERROR(__xludf.DUMMYFUNCTION("IFS(
  REGEXMATCH(A1861&amp;B1861, ""(?i)openai|gpt|gemini|anthropic|claude|mistral|cohere|rag|vector|llm|chatbot|ai-powered""), ""AI &amp; LLM"",
  REGEXMATCH(A1861&amp;B1861, ""(?i)twitter|instagram|facebook|linkedin|youtube|tiktok|threads|bluesky|pinterest|social"&amp;" video|reels?|shorts?""), ""Social Media"",
  REGEXMATCH(A1861&amp;B1861, ""(?i)hubspot|pipedrive|stripe|shopify|woocommerce|sales|crm|invoice|order|leads?|recruitment|bamboohr|erpnext""), ""CRM &amp; Sales"",
  REGEXMATCH(A1861&amp;B1861, ""(?i)gmail|outlook|calenda"&amp;"r|slack|discord|telegram|whatsapp|notion|trello|drive|sheets?|meeting|scheduler|appointment|mattermost""), ""Productivity &amp; Communication"",
  REGEXMATCH(A1861&amp;B1861, ""(?i)github|api|webhook|http|mysql|supabase|mongodb|redis|rss|pr|code review|incident|p"&amp;"agerduty|jira""), ""Development &amp; Utilities"",
  TRUE, ""Others""
)"),"Productivity &amp; Communication")</f>
        <v>Productivity &amp; Communication</v>
      </c>
    </row>
    <row r="1862" ht="15.75" customHeight="1">
      <c r="A1862" s="14" t="s">
        <v>3694</v>
      </c>
      <c r="B1862" s="15" t="s">
        <v>3695</v>
      </c>
      <c r="C1862" s="16" t="s">
        <v>7</v>
      </c>
      <c r="D1862" s="12" t="str">
        <f>IFERROR(__xludf.DUMMYFUNCTION("IFS(
  REGEXMATCH(A1862&amp;B1862, ""(?i)openai|gpt|gemini|anthropic|claude|mistral|cohere|rag|vector|llm|chatbot|ai-powered""), ""AI &amp; LLM"",
  REGEXMATCH(A1862&amp;B1862, ""(?i)twitter|instagram|facebook|linkedin|youtube|tiktok|threads|bluesky|pinterest|social"&amp;" video|reels?|shorts?""), ""Social Media"",
  REGEXMATCH(A1862&amp;B1862, ""(?i)hubspot|pipedrive|stripe|shopify|woocommerce|sales|crm|invoice|order|leads?|recruitment|bamboohr|erpnext""), ""CRM &amp; Sales"",
  REGEXMATCH(A1862&amp;B1862, ""(?i)gmail|outlook|calenda"&amp;"r|slack|discord|telegram|whatsapp|notion|trello|drive|sheets?|meeting|scheduler|appointment|mattermost""), ""Productivity &amp; Communication"",
  REGEXMATCH(A1862&amp;B1862, ""(?i)github|api|webhook|http|mysql|supabase|mongodb|redis|rss|pr|code review|incident|p"&amp;"agerduty|jira""), ""Development &amp; Utilities"",
  TRUE, ""Others""
)"),"Productivity &amp; Communication")</f>
        <v>Productivity &amp; Communication</v>
      </c>
    </row>
    <row r="1863" ht="15.75" customHeight="1">
      <c r="A1863" s="14" t="s">
        <v>3696</v>
      </c>
      <c r="B1863" s="15" t="s">
        <v>3697</v>
      </c>
      <c r="C1863" s="16" t="s">
        <v>7</v>
      </c>
      <c r="D1863" s="12" t="str">
        <f>IFERROR(__xludf.DUMMYFUNCTION("IFS(
  REGEXMATCH(A1863&amp;B1863, ""(?i)openai|gpt|gemini|anthropic|claude|mistral|cohere|rag|vector|llm|chatbot|ai-powered""), ""AI &amp; LLM"",
  REGEXMATCH(A1863&amp;B1863, ""(?i)twitter|instagram|facebook|linkedin|youtube|tiktok|threads|bluesky|pinterest|social"&amp;" video|reels?|shorts?""), ""Social Media"",
  REGEXMATCH(A1863&amp;B1863, ""(?i)hubspot|pipedrive|stripe|shopify|woocommerce|sales|crm|invoice|order|leads?|recruitment|bamboohr|erpnext""), ""CRM &amp; Sales"",
  REGEXMATCH(A1863&amp;B1863, ""(?i)gmail|outlook|calenda"&amp;"r|slack|discord|telegram|whatsapp|notion|trello|drive|sheets?|meeting|scheduler|appointment|mattermost""), ""Productivity &amp; Communication"",
  REGEXMATCH(A1863&amp;B1863, ""(?i)github|api|webhook|http|mysql|supabase|mongodb|redis|rss|pr|code review|incident|p"&amp;"agerduty|jira""), ""Development &amp; Utilities"",
  TRUE, ""Others""
)"),"Development &amp; Utilities")</f>
        <v>Development &amp; Utilities</v>
      </c>
    </row>
    <row r="1864" ht="15.75" customHeight="1">
      <c r="A1864" s="14" t="s">
        <v>3698</v>
      </c>
      <c r="B1864" s="15" t="s">
        <v>3699</v>
      </c>
      <c r="C1864" s="16" t="s">
        <v>7</v>
      </c>
      <c r="D1864" s="12" t="str">
        <f>IFERROR(__xludf.DUMMYFUNCTION("IFS(
  REGEXMATCH(A1864&amp;B1864, ""(?i)openai|gpt|gemini|anthropic|claude|mistral|cohere|rag|vector|llm|chatbot|ai-powered""), ""AI &amp; LLM"",
  REGEXMATCH(A1864&amp;B1864, ""(?i)twitter|instagram|facebook|linkedin|youtube|tiktok|threads|bluesky|pinterest|social"&amp;" video|reels?|shorts?""), ""Social Media"",
  REGEXMATCH(A1864&amp;B1864, ""(?i)hubspot|pipedrive|stripe|shopify|woocommerce|sales|crm|invoice|order|leads?|recruitment|bamboohr|erpnext""), ""CRM &amp; Sales"",
  REGEXMATCH(A1864&amp;B1864, ""(?i)gmail|outlook|calenda"&amp;"r|slack|discord|telegram|whatsapp|notion|trello|drive|sheets?|meeting|scheduler|appointment|mattermost""), ""Productivity &amp; Communication"",
  REGEXMATCH(A1864&amp;B1864, ""(?i)github|api|webhook|http|mysql|supabase|mongodb|redis|rss|pr|code review|incident|p"&amp;"agerduty|jira""), ""Development &amp; Utilities"",
  TRUE, ""Others""
)"),"Development &amp; Utilities")</f>
        <v>Development &amp; Utilities</v>
      </c>
    </row>
    <row r="1865" ht="15.75" customHeight="1">
      <c r="A1865" s="14" t="s">
        <v>3700</v>
      </c>
      <c r="B1865" s="15" t="s">
        <v>3701</v>
      </c>
      <c r="C1865" s="16" t="s">
        <v>7</v>
      </c>
      <c r="D1865" s="12" t="str">
        <f>IFERROR(__xludf.DUMMYFUNCTION("IFS(
  REGEXMATCH(A1865&amp;B1865, ""(?i)openai|gpt|gemini|anthropic|claude|mistral|cohere|rag|vector|llm|chatbot|ai-powered""), ""AI &amp; LLM"",
  REGEXMATCH(A1865&amp;B1865, ""(?i)twitter|instagram|facebook|linkedin|youtube|tiktok|threads|bluesky|pinterest|social"&amp;" video|reels?|shorts?""), ""Social Media"",
  REGEXMATCH(A1865&amp;B1865, ""(?i)hubspot|pipedrive|stripe|shopify|woocommerce|sales|crm|invoice|order|leads?|recruitment|bamboohr|erpnext""), ""CRM &amp; Sales"",
  REGEXMATCH(A1865&amp;B1865, ""(?i)gmail|outlook|calenda"&amp;"r|slack|discord|telegram|whatsapp|notion|trello|drive|sheets?|meeting|scheduler|appointment|mattermost""), ""Productivity &amp; Communication"",
  REGEXMATCH(A1865&amp;B1865, ""(?i)github|api|webhook|http|mysql|supabase|mongodb|redis|rss|pr|code review|incident|p"&amp;"agerduty|jira""), ""Development &amp; Utilities"",
  TRUE, ""Others""
)"),"CRM &amp; Sales")</f>
        <v>CRM &amp; Sales</v>
      </c>
    </row>
    <row r="1866" ht="15.75" customHeight="1">
      <c r="A1866" s="14" t="s">
        <v>3702</v>
      </c>
      <c r="B1866" s="15" t="s">
        <v>3703</v>
      </c>
      <c r="C1866" s="16" t="s">
        <v>7</v>
      </c>
      <c r="D1866" s="12" t="str">
        <f>IFERROR(__xludf.DUMMYFUNCTION("IFS(
  REGEXMATCH(A1866&amp;B1866, ""(?i)openai|gpt|gemini|anthropic|claude|mistral|cohere|rag|vector|llm|chatbot|ai-powered""), ""AI &amp; LLM"",
  REGEXMATCH(A1866&amp;B1866, ""(?i)twitter|instagram|facebook|linkedin|youtube|tiktok|threads|bluesky|pinterest|social"&amp;" video|reels?|shorts?""), ""Social Media"",
  REGEXMATCH(A1866&amp;B1866, ""(?i)hubspot|pipedrive|stripe|shopify|woocommerce|sales|crm|invoice|order|leads?|recruitment|bamboohr|erpnext""), ""CRM &amp; Sales"",
  REGEXMATCH(A1866&amp;B1866, ""(?i)gmail|outlook|calenda"&amp;"r|slack|discord|telegram|whatsapp|notion|trello|drive|sheets?|meeting|scheduler|appointment|mattermost""), ""Productivity &amp; Communication"",
  REGEXMATCH(A1866&amp;B1866, ""(?i)github|api|webhook|http|mysql|supabase|mongodb|redis|rss|pr|code review|incident|p"&amp;"agerduty|jira""), ""Development &amp; Utilities"",
  TRUE, ""Others""
)"),"Development &amp; Utilities")</f>
        <v>Development &amp; Utilities</v>
      </c>
    </row>
    <row r="1867" ht="15.75" customHeight="1">
      <c r="A1867" s="14" t="s">
        <v>3704</v>
      </c>
      <c r="B1867" s="15" t="s">
        <v>3705</v>
      </c>
      <c r="C1867" s="16" t="s">
        <v>7</v>
      </c>
      <c r="D1867" s="12" t="str">
        <f>IFERROR(__xludf.DUMMYFUNCTION("IFS(
  REGEXMATCH(A1867&amp;B1867, ""(?i)openai|gpt|gemini|anthropic|claude|mistral|cohere|rag|vector|llm|chatbot|ai-powered""), ""AI &amp; LLM"",
  REGEXMATCH(A1867&amp;B1867, ""(?i)twitter|instagram|facebook|linkedin|youtube|tiktok|threads|bluesky|pinterest|social"&amp;" video|reels?|shorts?""), ""Social Media"",
  REGEXMATCH(A1867&amp;B1867, ""(?i)hubspot|pipedrive|stripe|shopify|woocommerce|sales|crm|invoice|order|leads?|recruitment|bamboohr|erpnext""), ""CRM &amp; Sales"",
  REGEXMATCH(A1867&amp;B1867, ""(?i)gmail|outlook|calenda"&amp;"r|slack|discord|telegram|whatsapp|notion|trello|drive|sheets?|meeting|scheduler|appointment|mattermost""), ""Productivity &amp; Communication"",
  REGEXMATCH(A1867&amp;B1867, ""(?i)github|api|webhook|http|mysql|supabase|mongodb|redis|rss|pr|code review|incident|p"&amp;"agerduty|jira""), ""Development &amp; Utilities"",
  TRUE, ""Others""
)"),"Productivity &amp; Communication")</f>
        <v>Productivity &amp; Communication</v>
      </c>
    </row>
    <row r="1868" ht="15.75" customHeight="1">
      <c r="A1868" s="14" t="s">
        <v>3706</v>
      </c>
      <c r="B1868" s="15" t="s">
        <v>3707</v>
      </c>
      <c r="C1868" s="16" t="s">
        <v>7</v>
      </c>
      <c r="D1868" s="12" t="str">
        <f>IFERROR(__xludf.DUMMYFUNCTION("IFS(
  REGEXMATCH(A1868&amp;B1868, ""(?i)openai|gpt|gemini|anthropic|claude|mistral|cohere|rag|vector|llm|chatbot|ai-powered""), ""AI &amp; LLM"",
  REGEXMATCH(A1868&amp;B1868, ""(?i)twitter|instagram|facebook|linkedin|youtube|tiktok|threads|bluesky|pinterest|social"&amp;" video|reels?|shorts?""), ""Social Media"",
  REGEXMATCH(A1868&amp;B1868, ""(?i)hubspot|pipedrive|stripe|shopify|woocommerce|sales|crm|invoice|order|leads?|recruitment|bamboohr|erpnext""), ""CRM &amp; Sales"",
  REGEXMATCH(A1868&amp;B1868, ""(?i)gmail|outlook|calenda"&amp;"r|slack|discord|telegram|whatsapp|notion|trello|drive|sheets?|meeting|scheduler|appointment|mattermost""), ""Productivity &amp; Communication"",
  REGEXMATCH(A1868&amp;B1868, ""(?i)github|api|webhook|http|mysql|supabase|mongodb|redis|rss|pr|code review|incident|p"&amp;"agerduty|jira""), ""Development &amp; Utilities"",
  TRUE, ""Others""
)"),"Productivity &amp; Communication")</f>
        <v>Productivity &amp; Communication</v>
      </c>
    </row>
    <row r="1869" ht="15.75" customHeight="1">
      <c r="A1869" s="14" t="s">
        <v>3708</v>
      </c>
      <c r="B1869" s="15" t="s">
        <v>3709</v>
      </c>
      <c r="C1869" s="16" t="s">
        <v>7</v>
      </c>
      <c r="D1869" s="12" t="str">
        <f>IFERROR(__xludf.DUMMYFUNCTION("IFS(
  REGEXMATCH(A1869&amp;B1869, ""(?i)openai|gpt|gemini|anthropic|claude|mistral|cohere|rag|vector|llm|chatbot|ai-powered""), ""AI &amp; LLM"",
  REGEXMATCH(A1869&amp;B1869, ""(?i)twitter|instagram|facebook|linkedin|youtube|tiktok|threads|bluesky|pinterest|social"&amp;" video|reels?|shorts?""), ""Social Media"",
  REGEXMATCH(A1869&amp;B1869, ""(?i)hubspot|pipedrive|stripe|shopify|woocommerce|sales|crm|invoice|order|leads?|recruitment|bamboohr|erpnext""), ""CRM &amp; Sales"",
  REGEXMATCH(A1869&amp;B1869, ""(?i)gmail|outlook|calenda"&amp;"r|slack|discord|telegram|whatsapp|notion|trello|drive|sheets?|meeting|scheduler|appointment|mattermost""), ""Productivity &amp; Communication"",
  REGEXMATCH(A1869&amp;B1869, ""(?i)github|api|webhook|http|mysql|supabase|mongodb|redis|rss|pr|code review|incident|p"&amp;"agerduty|jira""), ""Development &amp; Utilities"",
  TRUE, ""Others""
)"),"Development &amp; Utilities")</f>
        <v>Development &amp; Utilities</v>
      </c>
    </row>
    <row r="1870" ht="15.75" customHeight="1">
      <c r="A1870" s="14" t="s">
        <v>3710</v>
      </c>
      <c r="B1870" s="15" t="s">
        <v>3711</v>
      </c>
      <c r="C1870" s="16" t="s">
        <v>7</v>
      </c>
      <c r="D1870" s="12" t="str">
        <f>IFERROR(__xludf.DUMMYFUNCTION("IFS(
  REGEXMATCH(A1870&amp;B1870, ""(?i)openai|gpt|gemini|anthropic|claude|mistral|cohere|rag|vector|llm|chatbot|ai-powered""), ""AI &amp; LLM"",
  REGEXMATCH(A1870&amp;B1870, ""(?i)twitter|instagram|facebook|linkedin|youtube|tiktok|threads|bluesky|pinterest|social"&amp;" video|reels?|shorts?""), ""Social Media"",
  REGEXMATCH(A1870&amp;B1870, ""(?i)hubspot|pipedrive|stripe|shopify|woocommerce|sales|crm|invoice|order|leads?|recruitment|bamboohr|erpnext""), ""CRM &amp; Sales"",
  REGEXMATCH(A1870&amp;B1870, ""(?i)gmail|outlook|calenda"&amp;"r|slack|discord|telegram|whatsapp|notion|trello|drive|sheets?|meeting|scheduler|appointment|mattermost""), ""Productivity &amp; Communication"",
  REGEXMATCH(A1870&amp;B1870, ""(?i)github|api|webhook|http|mysql|supabase|mongodb|redis|rss|pr|code review|incident|p"&amp;"agerduty|jira""), ""Development &amp; Utilities"",
  TRUE, ""Others""
)"),"Productivity &amp; Communication")</f>
        <v>Productivity &amp; Communication</v>
      </c>
    </row>
    <row r="1871" ht="15.75" customHeight="1">
      <c r="A1871" s="14" t="s">
        <v>3712</v>
      </c>
      <c r="B1871" s="15" t="s">
        <v>3713</v>
      </c>
      <c r="C1871" s="16" t="s">
        <v>7</v>
      </c>
      <c r="D1871" s="12" t="str">
        <f>IFERROR(__xludf.DUMMYFUNCTION("IFS(
  REGEXMATCH(A1871&amp;B1871, ""(?i)openai|gpt|gemini|anthropic|claude|mistral|cohere|rag|vector|llm|chatbot|ai-powered""), ""AI &amp; LLM"",
  REGEXMATCH(A1871&amp;B1871, ""(?i)twitter|instagram|facebook|linkedin|youtube|tiktok|threads|bluesky|pinterest|social"&amp;" video|reels?|shorts?""), ""Social Media"",
  REGEXMATCH(A1871&amp;B1871, ""(?i)hubspot|pipedrive|stripe|shopify|woocommerce|sales|crm|invoice|order|leads?|recruitment|bamboohr|erpnext""), ""CRM &amp; Sales"",
  REGEXMATCH(A1871&amp;B1871, ""(?i)gmail|outlook|calenda"&amp;"r|slack|discord|telegram|whatsapp|notion|trello|drive|sheets?|meeting|scheduler|appointment|mattermost""), ""Productivity &amp; Communication"",
  REGEXMATCH(A1871&amp;B1871, ""(?i)github|api|webhook|http|mysql|supabase|mongodb|redis|rss|pr|code review|incident|p"&amp;"agerduty|jira""), ""Development &amp; Utilities"",
  TRUE, ""Others""
)"),"Development &amp; Utilities")</f>
        <v>Development &amp; Utilities</v>
      </c>
    </row>
    <row r="1872" ht="15.75" customHeight="1">
      <c r="A1872" s="14" t="s">
        <v>3714</v>
      </c>
      <c r="B1872" s="15" t="s">
        <v>3715</v>
      </c>
      <c r="C1872" s="16" t="s">
        <v>7</v>
      </c>
      <c r="D1872" s="12" t="str">
        <f>IFERROR(__xludf.DUMMYFUNCTION("IFS(
  REGEXMATCH(A1872&amp;B1872, ""(?i)openai|gpt|gemini|anthropic|claude|mistral|cohere|rag|vector|llm|chatbot|ai-powered""), ""AI &amp; LLM"",
  REGEXMATCH(A1872&amp;B1872, ""(?i)twitter|instagram|facebook|linkedin|youtube|tiktok|threads|bluesky|pinterest|social"&amp;" video|reels?|shorts?""), ""Social Media"",
  REGEXMATCH(A1872&amp;B1872, ""(?i)hubspot|pipedrive|stripe|shopify|woocommerce|sales|crm|invoice|order|leads?|recruitment|bamboohr|erpnext""), ""CRM &amp; Sales"",
  REGEXMATCH(A1872&amp;B1872, ""(?i)gmail|outlook|calenda"&amp;"r|slack|discord|telegram|whatsapp|notion|trello|drive|sheets?|meeting|scheduler|appointment|mattermost""), ""Productivity &amp; Communication"",
  REGEXMATCH(A1872&amp;B1872, ""(?i)github|api|webhook|http|mysql|supabase|mongodb|redis|rss|pr|code review|incident|p"&amp;"agerduty|jira""), ""Development &amp; Utilities"",
  TRUE, ""Others""
)"),"Productivity &amp; Communication")</f>
        <v>Productivity &amp; Communication</v>
      </c>
    </row>
    <row r="1873" ht="15.75" customHeight="1">
      <c r="A1873" s="14" t="s">
        <v>3716</v>
      </c>
      <c r="B1873" s="15" t="s">
        <v>3717</v>
      </c>
      <c r="C1873" s="16" t="s">
        <v>7</v>
      </c>
      <c r="D1873" s="12" t="str">
        <f>IFERROR(__xludf.DUMMYFUNCTION("IFS(
  REGEXMATCH(A1873&amp;B1873, ""(?i)openai|gpt|gemini|anthropic|claude|mistral|cohere|rag|vector|llm|chatbot|ai-powered""), ""AI &amp; LLM"",
  REGEXMATCH(A1873&amp;B1873, ""(?i)twitter|instagram|facebook|linkedin|youtube|tiktok|threads|bluesky|pinterest|social"&amp;" video|reels?|shorts?""), ""Social Media"",
  REGEXMATCH(A1873&amp;B1873, ""(?i)hubspot|pipedrive|stripe|shopify|woocommerce|sales|crm|invoice|order|leads?|recruitment|bamboohr|erpnext""), ""CRM &amp; Sales"",
  REGEXMATCH(A1873&amp;B1873, ""(?i)gmail|outlook|calenda"&amp;"r|slack|discord|telegram|whatsapp|notion|trello|drive|sheets?|meeting|scheduler|appointment|mattermost""), ""Productivity &amp; Communication"",
  REGEXMATCH(A1873&amp;B1873, ""(?i)github|api|webhook|http|mysql|supabase|mongodb|redis|rss|pr|code review|incident|p"&amp;"agerduty|jira""), ""Development &amp; Utilities"",
  TRUE, ""Others""
)"),"Development &amp; Utilities")</f>
        <v>Development &amp; Utilities</v>
      </c>
    </row>
    <row r="1874" ht="15.75" customHeight="1">
      <c r="A1874" s="14" t="s">
        <v>3718</v>
      </c>
      <c r="B1874" s="15" t="s">
        <v>3719</v>
      </c>
      <c r="C1874" s="16" t="s">
        <v>7</v>
      </c>
      <c r="D1874" s="12" t="str">
        <f>IFERROR(__xludf.DUMMYFUNCTION("IFS(
  REGEXMATCH(A1874&amp;B1874, ""(?i)openai|gpt|gemini|anthropic|claude|mistral|cohere|rag|vector|llm|chatbot|ai-powered""), ""AI &amp; LLM"",
  REGEXMATCH(A1874&amp;B1874, ""(?i)twitter|instagram|facebook|linkedin|youtube|tiktok|threads|bluesky|pinterest|social"&amp;" video|reels?|shorts?""), ""Social Media"",
  REGEXMATCH(A1874&amp;B1874, ""(?i)hubspot|pipedrive|stripe|shopify|woocommerce|sales|crm|invoice|order|leads?|recruitment|bamboohr|erpnext""), ""CRM &amp; Sales"",
  REGEXMATCH(A1874&amp;B1874, ""(?i)gmail|outlook|calenda"&amp;"r|slack|discord|telegram|whatsapp|notion|trello|drive|sheets?|meeting|scheduler|appointment|mattermost""), ""Productivity &amp; Communication"",
  REGEXMATCH(A1874&amp;B1874, ""(?i)github|api|webhook|http|mysql|supabase|mongodb|redis|rss|pr|code review|incident|p"&amp;"agerduty|jira""), ""Development &amp; Utilities"",
  TRUE, ""Others""
)"),"Development &amp; Utilities")</f>
        <v>Development &amp; Utilities</v>
      </c>
    </row>
    <row r="1875" ht="15.75" customHeight="1">
      <c r="A1875" s="14" t="s">
        <v>3720</v>
      </c>
      <c r="B1875" s="15" t="s">
        <v>3721</v>
      </c>
      <c r="C1875" s="16" t="s">
        <v>7</v>
      </c>
      <c r="D1875" s="12" t="str">
        <f>IFERROR(__xludf.DUMMYFUNCTION("IFS(
  REGEXMATCH(A1875&amp;B1875, ""(?i)openai|gpt|gemini|anthropic|claude|mistral|cohere|rag|vector|llm|chatbot|ai-powered""), ""AI &amp; LLM"",
  REGEXMATCH(A1875&amp;B1875, ""(?i)twitter|instagram|facebook|linkedin|youtube|tiktok|threads|bluesky|pinterest|social"&amp;" video|reels?|shorts?""), ""Social Media"",
  REGEXMATCH(A1875&amp;B1875, ""(?i)hubspot|pipedrive|stripe|shopify|woocommerce|sales|crm|invoice|order|leads?|recruitment|bamboohr|erpnext""), ""CRM &amp; Sales"",
  REGEXMATCH(A1875&amp;B1875, ""(?i)gmail|outlook|calenda"&amp;"r|slack|discord|telegram|whatsapp|notion|trello|drive|sheets?|meeting|scheduler|appointment|mattermost""), ""Productivity &amp; Communication"",
  REGEXMATCH(A1875&amp;B1875, ""(?i)github|api|webhook|http|mysql|supabase|mongodb|redis|rss|pr|code review|incident|p"&amp;"agerduty|jira""), ""Development &amp; Utilities"",
  TRUE, ""Others""
)"),"Others")</f>
        <v>Others</v>
      </c>
    </row>
    <row r="1876" ht="15.75" customHeight="1">
      <c r="A1876" s="14" t="s">
        <v>3722</v>
      </c>
      <c r="B1876" s="15" t="s">
        <v>3723</v>
      </c>
      <c r="C1876" s="16" t="s">
        <v>7</v>
      </c>
      <c r="D1876" s="12" t="str">
        <f>IFERROR(__xludf.DUMMYFUNCTION("IFS(
  REGEXMATCH(A1876&amp;B1876, ""(?i)openai|gpt|gemini|anthropic|claude|mistral|cohere|rag|vector|llm|chatbot|ai-powered""), ""AI &amp; LLM"",
  REGEXMATCH(A1876&amp;B1876, ""(?i)twitter|instagram|facebook|linkedin|youtube|tiktok|threads|bluesky|pinterest|social"&amp;" video|reels?|shorts?""), ""Social Media"",
  REGEXMATCH(A1876&amp;B1876, ""(?i)hubspot|pipedrive|stripe|shopify|woocommerce|sales|crm|invoice|order|leads?|recruitment|bamboohr|erpnext""), ""CRM &amp; Sales"",
  REGEXMATCH(A1876&amp;B1876, ""(?i)gmail|outlook|calenda"&amp;"r|slack|discord|telegram|whatsapp|notion|trello|drive|sheets?|meeting|scheduler|appointment|mattermost""), ""Productivity &amp; Communication"",
  REGEXMATCH(A1876&amp;B1876, ""(?i)github|api|webhook|http|mysql|supabase|mongodb|redis|rss|pr|code review|incident|p"&amp;"agerduty|jira""), ""Development &amp; Utilities"",
  TRUE, ""Others""
)"),"Development &amp; Utilities")</f>
        <v>Development &amp; Utilities</v>
      </c>
    </row>
    <row r="1877" ht="15.75" customHeight="1">
      <c r="A1877" s="14" t="s">
        <v>3724</v>
      </c>
      <c r="B1877" s="15" t="s">
        <v>3725</v>
      </c>
      <c r="C1877" s="16" t="s">
        <v>7</v>
      </c>
      <c r="D1877" s="12" t="str">
        <f>IFERROR(__xludf.DUMMYFUNCTION("IFS(
  REGEXMATCH(A1877&amp;B1877, ""(?i)openai|gpt|gemini|anthropic|claude|mistral|cohere|rag|vector|llm|chatbot|ai-powered""), ""AI &amp; LLM"",
  REGEXMATCH(A1877&amp;B1877, ""(?i)twitter|instagram|facebook|linkedin|youtube|tiktok|threads|bluesky|pinterest|social"&amp;" video|reels?|shorts?""), ""Social Media"",
  REGEXMATCH(A1877&amp;B1877, ""(?i)hubspot|pipedrive|stripe|shopify|woocommerce|sales|crm|invoice|order|leads?|recruitment|bamboohr|erpnext""), ""CRM &amp; Sales"",
  REGEXMATCH(A1877&amp;B1877, ""(?i)gmail|outlook|calenda"&amp;"r|slack|discord|telegram|whatsapp|notion|trello|drive|sheets?|meeting|scheduler|appointment|mattermost""), ""Productivity &amp; Communication"",
  REGEXMATCH(A1877&amp;B1877, ""(?i)github|api|webhook|http|mysql|supabase|mongodb|redis|rss|pr|code review|incident|p"&amp;"agerduty|jira""), ""Development &amp; Utilities"",
  TRUE, ""Others""
)"),"AI &amp; LLM")</f>
        <v>AI &amp; LLM</v>
      </c>
    </row>
    <row r="1878" ht="15.75" customHeight="1">
      <c r="A1878" s="14" t="s">
        <v>3726</v>
      </c>
      <c r="B1878" s="15" t="s">
        <v>3727</v>
      </c>
      <c r="C1878" s="16" t="s">
        <v>7</v>
      </c>
      <c r="D1878" s="12" t="str">
        <f>IFERROR(__xludf.DUMMYFUNCTION("IFS(
  REGEXMATCH(A1878&amp;B1878, ""(?i)openai|gpt|gemini|anthropic|claude|mistral|cohere|rag|vector|llm|chatbot|ai-powered""), ""AI &amp; LLM"",
  REGEXMATCH(A1878&amp;B1878, ""(?i)twitter|instagram|facebook|linkedin|youtube|tiktok|threads|bluesky|pinterest|social"&amp;" video|reels?|shorts?""), ""Social Media"",
  REGEXMATCH(A1878&amp;B1878, ""(?i)hubspot|pipedrive|stripe|shopify|woocommerce|sales|crm|invoice|order|leads?|recruitment|bamboohr|erpnext""), ""CRM &amp; Sales"",
  REGEXMATCH(A1878&amp;B1878, ""(?i)gmail|outlook|calenda"&amp;"r|slack|discord|telegram|whatsapp|notion|trello|drive|sheets?|meeting|scheduler|appointment|mattermost""), ""Productivity &amp; Communication"",
  REGEXMATCH(A1878&amp;B1878, ""(?i)github|api|webhook|http|mysql|supabase|mongodb|redis|rss|pr|code review|incident|p"&amp;"agerduty|jira""), ""Development &amp; Utilities"",
  TRUE, ""Others""
)"),"Social Media")</f>
        <v>Social Media</v>
      </c>
    </row>
    <row r="1879" ht="15.75" customHeight="1">
      <c r="A1879" s="14" t="s">
        <v>3728</v>
      </c>
      <c r="B1879" s="15" t="s">
        <v>3729</v>
      </c>
      <c r="C1879" s="16" t="s">
        <v>7</v>
      </c>
      <c r="D1879" s="12" t="str">
        <f>IFERROR(__xludf.DUMMYFUNCTION("IFS(
  REGEXMATCH(A1879&amp;B1879, ""(?i)openai|gpt|gemini|anthropic|claude|mistral|cohere|rag|vector|llm|chatbot|ai-powered""), ""AI &amp; LLM"",
  REGEXMATCH(A1879&amp;B1879, ""(?i)twitter|instagram|facebook|linkedin|youtube|tiktok|threads|bluesky|pinterest|social"&amp;" video|reels?|shorts?""), ""Social Media"",
  REGEXMATCH(A1879&amp;B1879, ""(?i)hubspot|pipedrive|stripe|shopify|woocommerce|sales|crm|invoice|order|leads?|recruitment|bamboohr|erpnext""), ""CRM &amp; Sales"",
  REGEXMATCH(A1879&amp;B1879, ""(?i)gmail|outlook|calenda"&amp;"r|slack|discord|telegram|whatsapp|notion|trello|drive|sheets?|meeting|scheduler|appointment|mattermost""), ""Productivity &amp; Communication"",
  REGEXMATCH(A1879&amp;B1879, ""(?i)github|api|webhook|http|mysql|supabase|mongodb|redis|rss|pr|code review|incident|p"&amp;"agerduty|jira""), ""Development &amp; Utilities"",
  TRUE, ""Others""
)"),"AI &amp; LLM")</f>
        <v>AI &amp; LLM</v>
      </c>
    </row>
    <row r="1880" ht="15.75" customHeight="1">
      <c r="A1880" s="14" t="s">
        <v>3730</v>
      </c>
      <c r="B1880" s="15" t="s">
        <v>3731</v>
      </c>
      <c r="C1880" s="16" t="s">
        <v>7</v>
      </c>
      <c r="D1880" s="12" t="str">
        <f>IFERROR(__xludf.DUMMYFUNCTION("IFS(
  REGEXMATCH(A1880&amp;B1880, ""(?i)openai|gpt|gemini|anthropic|claude|mistral|cohere|rag|vector|llm|chatbot|ai-powered""), ""AI &amp; LLM"",
  REGEXMATCH(A1880&amp;B1880, ""(?i)twitter|instagram|facebook|linkedin|youtube|tiktok|threads|bluesky|pinterest|social"&amp;" video|reels?|shorts?""), ""Social Media"",
  REGEXMATCH(A1880&amp;B1880, ""(?i)hubspot|pipedrive|stripe|shopify|woocommerce|sales|crm|invoice|order|leads?|recruitment|bamboohr|erpnext""), ""CRM &amp; Sales"",
  REGEXMATCH(A1880&amp;B1880, ""(?i)gmail|outlook|calenda"&amp;"r|slack|discord|telegram|whatsapp|notion|trello|drive|sheets?|meeting|scheduler|appointment|mattermost""), ""Productivity &amp; Communication"",
  REGEXMATCH(A1880&amp;B1880, ""(?i)github|api|webhook|http|mysql|supabase|mongodb|redis|rss|pr|code review|incident|p"&amp;"agerduty|jira""), ""Development &amp; Utilities"",
  TRUE, ""Others""
)"),"AI &amp; LLM")</f>
        <v>AI &amp; LLM</v>
      </c>
    </row>
    <row r="1881" ht="15.75" customHeight="1">
      <c r="A1881" s="14" t="s">
        <v>3732</v>
      </c>
      <c r="B1881" s="15" t="s">
        <v>3733</v>
      </c>
      <c r="C1881" s="16" t="s">
        <v>7</v>
      </c>
      <c r="D1881" s="12" t="str">
        <f>IFERROR(__xludf.DUMMYFUNCTION("IFS(
  REGEXMATCH(A1881&amp;B1881, ""(?i)openai|gpt|gemini|anthropic|claude|mistral|cohere|rag|vector|llm|chatbot|ai-powered""), ""AI &amp; LLM"",
  REGEXMATCH(A1881&amp;B1881, ""(?i)twitter|instagram|facebook|linkedin|youtube|tiktok|threads|bluesky|pinterest|social"&amp;" video|reels?|shorts?""), ""Social Media"",
  REGEXMATCH(A1881&amp;B1881, ""(?i)hubspot|pipedrive|stripe|shopify|woocommerce|sales|crm|invoice|order|leads?|recruitment|bamboohr|erpnext""), ""CRM &amp; Sales"",
  REGEXMATCH(A1881&amp;B1881, ""(?i)gmail|outlook|calenda"&amp;"r|slack|discord|telegram|whatsapp|notion|trello|drive|sheets?|meeting|scheduler|appointment|mattermost""), ""Productivity &amp; Communication"",
  REGEXMATCH(A1881&amp;B1881, ""(?i)github|api|webhook|http|mysql|supabase|mongodb|redis|rss|pr|code review|incident|p"&amp;"agerduty|jira""), ""Development &amp; Utilities"",
  TRUE, ""Others""
)"),"Development &amp; Utilities")</f>
        <v>Development &amp; Utilities</v>
      </c>
    </row>
    <row r="1882" ht="15.75" customHeight="1">
      <c r="A1882" s="14" t="s">
        <v>3734</v>
      </c>
      <c r="B1882" s="15" t="s">
        <v>3735</v>
      </c>
      <c r="C1882" s="16" t="s">
        <v>7</v>
      </c>
      <c r="D1882" s="12" t="str">
        <f>IFERROR(__xludf.DUMMYFUNCTION("IFS(
  REGEXMATCH(A1882&amp;B1882, ""(?i)openai|gpt|gemini|anthropic|claude|mistral|cohere|rag|vector|llm|chatbot|ai-powered""), ""AI &amp; LLM"",
  REGEXMATCH(A1882&amp;B1882, ""(?i)twitter|instagram|facebook|linkedin|youtube|tiktok|threads|bluesky|pinterest|social"&amp;" video|reels?|shorts?""), ""Social Media"",
  REGEXMATCH(A1882&amp;B1882, ""(?i)hubspot|pipedrive|stripe|shopify|woocommerce|sales|crm|invoice|order|leads?|recruitment|bamboohr|erpnext""), ""CRM &amp; Sales"",
  REGEXMATCH(A1882&amp;B1882, ""(?i)gmail|outlook|calenda"&amp;"r|slack|discord|telegram|whatsapp|notion|trello|drive|sheets?|meeting|scheduler|appointment|mattermost""), ""Productivity &amp; Communication"",
  REGEXMATCH(A1882&amp;B1882, ""(?i)github|api|webhook|http|mysql|supabase|mongodb|redis|rss|pr|code review|incident|p"&amp;"agerduty|jira""), ""Development &amp; Utilities"",
  TRUE, ""Others""
)"),"Productivity &amp; Communication")</f>
        <v>Productivity &amp; Communication</v>
      </c>
    </row>
    <row r="1883" ht="15.75" customHeight="1">
      <c r="A1883" s="14" t="s">
        <v>3736</v>
      </c>
      <c r="B1883" s="15" t="s">
        <v>3737</v>
      </c>
      <c r="C1883" s="16" t="s">
        <v>7</v>
      </c>
      <c r="D1883" s="12" t="str">
        <f>IFERROR(__xludf.DUMMYFUNCTION("IFS(
  REGEXMATCH(A1883&amp;B1883, ""(?i)openai|gpt|gemini|anthropic|claude|mistral|cohere|rag|vector|llm|chatbot|ai-powered""), ""AI &amp; LLM"",
  REGEXMATCH(A1883&amp;B1883, ""(?i)twitter|instagram|facebook|linkedin|youtube|tiktok|threads|bluesky|pinterest|social"&amp;" video|reels?|shorts?""), ""Social Media"",
  REGEXMATCH(A1883&amp;B1883, ""(?i)hubspot|pipedrive|stripe|shopify|woocommerce|sales|crm|invoice|order|leads?|recruitment|bamboohr|erpnext""), ""CRM &amp; Sales"",
  REGEXMATCH(A1883&amp;B1883, ""(?i)gmail|outlook|calenda"&amp;"r|slack|discord|telegram|whatsapp|notion|trello|drive|sheets?|meeting|scheduler|appointment|mattermost""), ""Productivity &amp; Communication"",
  REGEXMATCH(A1883&amp;B1883, ""(?i)github|api|webhook|http|mysql|supabase|mongodb|redis|rss|pr|code review|incident|p"&amp;"agerduty|jira""), ""Development &amp; Utilities"",
  TRUE, ""Others""
)"),"Development &amp; Utilities")</f>
        <v>Development &amp; Utilities</v>
      </c>
    </row>
    <row r="1884" ht="15.75" customHeight="1">
      <c r="A1884" s="14" t="s">
        <v>3738</v>
      </c>
      <c r="B1884" s="15" t="s">
        <v>3739</v>
      </c>
      <c r="C1884" s="16" t="s">
        <v>7</v>
      </c>
      <c r="D1884" s="12" t="str">
        <f>IFERROR(__xludf.DUMMYFUNCTION("IFS(
  REGEXMATCH(A1884&amp;B1884, ""(?i)openai|gpt|gemini|anthropic|claude|mistral|cohere|rag|vector|llm|chatbot|ai-powered""), ""AI &amp; LLM"",
  REGEXMATCH(A1884&amp;B1884, ""(?i)twitter|instagram|facebook|linkedin|youtube|tiktok|threads|bluesky|pinterest|social"&amp;" video|reels?|shorts?""), ""Social Media"",
  REGEXMATCH(A1884&amp;B1884, ""(?i)hubspot|pipedrive|stripe|shopify|woocommerce|sales|crm|invoice|order|leads?|recruitment|bamboohr|erpnext""), ""CRM &amp; Sales"",
  REGEXMATCH(A1884&amp;B1884, ""(?i)gmail|outlook|calenda"&amp;"r|slack|discord|telegram|whatsapp|notion|trello|drive|sheets?|meeting|scheduler|appointment|mattermost""), ""Productivity &amp; Communication"",
  REGEXMATCH(A1884&amp;B1884, ""(?i)github|api|webhook|http|mysql|supabase|mongodb|redis|rss|pr|code review|incident|p"&amp;"agerduty|jira""), ""Development &amp; Utilities"",
  TRUE, ""Others""
)"),"CRM &amp; Sales")</f>
        <v>CRM &amp; Sales</v>
      </c>
    </row>
    <row r="1885" ht="15.75" customHeight="1">
      <c r="A1885" s="14" t="s">
        <v>3740</v>
      </c>
      <c r="B1885" s="15" t="s">
        <v>3741</v>
      </c>
      <c r="C1885" s="16" t="s">
        <v>7</v>
      </c>
      <c r="D1885" s="12" t="str">
        <f>IFERROR(__xludf.DUMMYFUNCTION("IFS(
  REGEXMATCH(A1885&amp;B1885, ""(?i)openai|gpt|gemini|anthropic|claude|mistral|cohere|rag|vector|llm|chatbot|ai-powered""), ""AI &amp; LLM"",
  REGEXMATCH(A1885&amp;B1885, ""(?i)twitter|instagram|facebook|linkedin|youtube|tiktok|threads|bluesky|pinterest|social"&amp;" video|reels?|shorts?""), ""Social Media"",
  REGEXMATCH(A1885&amp;B1885, ""(?i)hubspot|pipedrive|stripe|shopify|woocommerce|sales|crm|invoice|order|leads?|recruitment|bamboohr|erpnext""), ""CRM &amp; Sales"",
  REGEXMATCH(A1885&amp;B1885, ""(?i)gmail|outlook|calenda"&amp;"r|slack|discord|telegram|whatsapp|notion|trello|drive|sheets?|meeting|scheduler|appointment|mattermost""), ""Productivity &amp; Communication"",
  REGEXMATCH(A1885&amp;B1885, ""(?i)github|api|webhook|http|mysql|supabase|mongodb|redis|rss|pr|code review|incident|p"&amp;"agerduty|jira""), ""Development &amp; Utilities"",
  TRUE, ""Others""
)"),"Development &amp; Utilities")</f>
        <v>Development &amp; Utilities</v>
      </c>
    </row>
    <row r="1886" ht="15.75" customHeight="1">
      <c r="A1886" s="14" t="s">
        <v>3742</v>
      </c>
      <c r="B1886" s="15" t="s">
        <v>3743</v>
      </c>
      <c r="C1886" s="16" t="s">
        <v>7</v>
      </c>
      <c r="D1886" s="12" t="str">
        <f>IFERROR(__xludf.DUMMYFUNCTION("IFS(
  REGEXMATCH(A1886&amp;B1886, ""(?i)openai|gpt|gemini|anthropic|claude|mistral|cohere|rag|vector|llm|chatbot|ai-powered""), ""AI &amp; LLM"",
  REGEXMATCH(A1886&amp;B1886, ""(?i)twitter|instagram|facebook|linkedin|youtube|tiktok|threads|bluesky|pinterest|social"&amp;" video|reels?|shorts?""), ""Social Media"",
  REGEXMATCH(A1886&amp;B1886, ""(?i)hubspot|pipedrive|stripe|shopify|woocommerce|sales|crm|invoice|order|leads?|recruitment|bamboohr|erpnext""), ""CRM &amp; Sales"",
  REGEXMATCH(A1886&amp;B1886, ""(?i)gmail|outlook|calenda"&amp;"r|slack|discord|telegram|whatsapp|notion|trello|drive|sheets?|meeting|scheduler|appointment|mattermost""), ""Productivity &amp; Communication"",
  REGEXMATCH(A1886&amp;B1886, ""(?i)github|api|webhook|http|mysql|supabase|mongodb|redis|rss|pr|code review|incident|p"&amp;"agerduty|jira""), ""Development &amp; Utilities"",
  TRUE, ""Others""
)"),"Development &amp; Utilities")</f>
        <v>Development &amp; Utilities</v>
      </c>
    </row>
    <row r="1887" ht="15.75" customHeight="1">
      <c r="A1887" s="14" t="s">
        <v>3744</v>
      </c>
      <c r="B1887" s="15" t="s">
        <v>3745</v>
      </c>
      <c r="C1887" s="16" t="s">
        <v>7</v>
      </c>
      <c r="D1887" s="12" t="str">
        <f>IFERROR(__xludf.DUMMYFUNCTION("IFS(
  REGEXMATCH(A1887&amp;B1887, ""(?i)openai|gpt|gemini|anthropic|claude|mistral|cohere|rag|vector|llm|chatbot|ai-powered""), ""AI &amp; LLM"",
  REGEXMATCH(A1887&amp;B1887, ""(?i)twitter|instagram|facebook|linkedin|youtube|tiktok|threads|bluesky|pinterest|social"&amp;" video|reels?|shorts?""), ""Social Media"",
  REGEXMATCH(A1887&amp;B1887, ""(?i)hubspot|pipedrive|stripe|shopify|woocommerce|sales|crm|invoice|order|leads?|recruitment|bamboohr|erpnext""), ""CRM &amp; Sales"",
  REGEXMATCH(A1887&amp;B1887, ""(?i)gmail|outlook|calenda"&amp;"r|slack|discord|telegram|whatsapp|notion|trello|drive|sheets?|meeting|scheduler|appointment|mattermost""), ""Productivity &amp; Communication"",
  REGEXMATCH(A1887&amp;B1887, ""(?i)github|api|webhook|http|mysql|supabase|mongodb|redis|rss|pr|code review|incident|p"&amp;"agerduty|jira""), ""Development &amp; Utilities"",
  TRUE, ""Others""
)"),"Development &amp; Utilities")</f>
        <v>Development &amp; Utilities</v>
      </c>
    </row>
    <row r="1888" ht="15.75" customHeight="1">
      <c r="A1888" s="14" t="s">
        <v>3746</v>
      </c>
      <c r="B1888" s="15" t="s">
        <v>3747</v>
      </c>
      <c r="C1888" s="16" t="s">
        <v>7</v>
      </c>
      <c r="D1888" s="12" t="str">
        <f>IFERROR(__xludf.DUMMYFUNCTION("IFS(
  REGEXMATCH(A1888&amp;B1888, ""(?i)openai|gpt|gemini|anthropic|claude|mistral|cohere|rag|vector|llm|chatbot|ai-powered""), ""AI &amp; LLM"",
  REGEXMATCH(A1888&amp;B1888, ""(?i)twitter|instagram|facebook|linkedin|youtube|tiktok|threads|bluesky|pinterest|social"&amp;" video|reels?|shorts?""), ""Social Media"",
  REGEXMATCH(A1888&amp;B1888, ""(?i)hubspot|pipedrive|stripe|shopify|woocommerce|sales|crm|invoice|order|leads?|recruitment|bamboohr|erpnext""), ""CRM &amp; Sales"",
  REGEXMATCH(A1888&amp;B1888, ""(?i)gmail|outlook|calenda"&amp;"r|slack|discord|telegram|whatsapp|notion|trello|drive|sheets?|meeting|scheduler|appointment|mattermost""), ""Productivity &amp; Communication"",
  REGEXMATCH(A1888&amp;B1888, ""(?i)github|api|webhook|http|mysql|supabase|mongodb|redis|rss|pr|code review|incident|p"&amp;"agerduty|jira""), ""Development &amp; Utilities"",
  TRUE, ""Others""
)"),"Development &amp; Utilities")</f>
        <v>Development &amp; Utilities</v>
      </c>
    </row>
    <row r="1889" ht="15.75" customHeight="1">
      <c r="A1889" s="14" t="s">
        <v>3748</v>
      </c>
      <c r="B1889" s="15" t="s">
        <v>3749</v>
      </c>
      <c r="C1889" s="16" t="s">
        <v>7</v>
      </c>
      <c r="D1889" s="12" t="str">
        <f>IFERROR(__xludf.DUMMYFUNCTION("IFS(
  REGEXMATCH(A1889&amp;B1889, ""(?i)openai|gpt|gemini|anthropic|claude|mistral|cohere|rag|vector|llm|chatbot|ai-powered""), ""AI &amp; LLM"",
  REGEXMATCH(A1889&amp;B1889, ""(?i)twitter|instagram|facebook|linkedin|youtube|tiktok|threads|bluesky|pinterest|social"&amp;" video|reels?|shorts?""), ""Social Media"",
  REGEXMATCH(A1889&amp;B1889, ""(?i)hubspot|pipedrive|stripe|shopify|woocommerce|sales|crm|invoice|order|leads?|recruitment|bamboohr|erpnext""), ""CRM &amp; Sales"",
  REGEXMATCH(A1889&amp;B1889, ""(?i)gmail|outlook|calenda"&amp;"r|slack|discord|telegram|whatsapp|notion|trello|drive|sheets?|meeting|scheduler|appointment|mattermost""), ""Productivity &amp; Communication"",
  REGEXMATCH(A1889&amp;B1889, ""(?i)github|api|webhook|http|mysql|supabase|mongodb|redis|rss|pr|code review|incident|p"&amp;"agerduty|jira""), ""Development &amp; Utilities"",
  TRUE, ""Others""
)"),"Development &amp; Utilities")</f>
        <v>Development &amp; Utilities</v>
      </c>
    </row>
    <row r="1890" ht="15.75" customHeight="1">
      <c r="A1890" s="14" t="s">
        <v>3750</v>
      </c>
      <c r="B1890" s="15" t="s">
        <v>3751</v>
      </c>
      <c r="C1890" s="16" t="s">
        <v>7</v>
      </c>
      <c r="D1890" s="12" t="str">
        <f>IFERROR(__xludf.DUMMYFUNCTION("IFS(
  REGEXMATCH(A1890&amp;B1890, ""(?i)openai|gpt|gemini|anthropic|claude|mistral|cohere|rag|vector|llm|chatbot|ai-powered""), ""AI &amp; LLM"",
  REGEXMATCH(A1890&amp;B1890, ""(?i)twitter|instagram|facebook|linkedin|youtube|tiktok|threads|bluesky|pinterest|social"&amp;" video|reels?|shorts?""), ""Social Media"",
  REGEXMATCH(A1890&amp;B1890, ""(?i)hubspot|pipedrive|stripe|shopify|woocommerce|sales|crm|invoice|order|leads?|recruitment|bamboohr|erpnext""), ""CRM &amp; Sales"",
  REGEXMATCH(A1890&amp;B1890, ""(?i)gmail|outlook|calenda"&amp;"r|slack|discord|telegram|whatsapp|notion|trello|drive|sheets?|meeting|scheduler|appointment|mattermost""), ""Productivity &amp; Communication"",
  REGEXMATCH(A1890&amp;B1890, ""(?i)github|api|webhook|http|mysql|supabase|mongodb|redis|rss|pr|code review|incident|p"&amp;"agerduty|jira""), ""Development &amp; Utilities"",
  TRUE, ""Others""
)"),"Development &amp; Utilities")</f>
        <v>Development &amp; Utilities</v>
      </c>
    </row>
    <row r="1891" ht="15.75" customHeight="1">
      <c r="A1891" s="14" t="s">
        <v>3752</v>
      </c>
      <c r="B1891" s="15" t="s">
        <v>3753</v>
      </c>
      <c r="C1891" s="16" t="s">
        <v>7</v>
      </c>
      <c r="D1891" s="12" t="str">
        <f>IFERROR(__xludf.DUMMYFUNCTION("IFS(
  REGEXMATCH(A1891&amp;B1891, ""(?i)openai|gpt|gemini|anthropic|claude|mistral|cohere|rag|vector|llm|chatbot|ai-powered""), ""AI &amp; LLM"",
  REGEXMATCH(A1891&amp;B1891, ""(?i)twitter|instagram|facebook|linkedin|youtube|tiktok|threads|bluesky|pinterest|social"&amp;" video|reels?|shorts?""), ""Social Media"",
  REGEXMATCH(A1891&amp;B1891, ""(?i)hubspot|pipedrive|stripe|shopify|woocommerce|sales|crm|invoice|order|leads?|recruitment|bamboohr|erpnext""), ""CRM &amp; Sales"",
  REGEXMATCH(A1891&amp;B1891, ""(?i)gmail|outlook|calenda"&amp;"r|slack|discord|telegram|whatsapp|notion|trello|drive|sheets?|meeting|scheduler|appointment|mattermost""), ""Productivity &amp; Communication"",
  REGEXMATCH(A1891&amp;B1891, ""(?i)github|api|webhook|http|mysql|supabase|mongodb|redis|rss|pr|code review|incident|p"&amp;"agerduty|jira""), ""Development &amp; Utilities"",
  TRUE, ""Others""
)"),"Development &amp; Utilities")</f>
        <v>Development &amp; Utilities</v>
      </c>
    </row>
    <row r="1892" ht="15.75" customHeight="1">
      <c r="A1892" s="14" t="s">
        <v>3754</v>
      </c>
      <c r="B1892" s="15" t="s">
        <v>3755</v>
      </c>
      <c r="C1892" s="16" t="s">
        <v>7</v>
      </c>
      <c r="D1892" s="12" t="str">
        <f>IFERROR(__xludf.DUMMYFUNCTION("IFS(
  REGEXMATCH(A1892&amp;B1892, ""(?i)openai|gpt|gemini|anthropic|claude|mistral|cohere|rag|vector|llm|chatbot|ai-powered""), ""AI &amp; LLM"",
  REGEXMATCH(A1892&amp;B1892, ""(?i)twitter|instagram|facebook|linkedin|youtube|tiktok|threads|bluesky|pinterest|social"&amp;" video|reels?|shorts?""), ""Social Media"",
  REGEXMATCH(A1892&amp;B1892, ""(?i)hubspot|pipedrive|stripe|shopify|woocommerce|sales|crm|invoice|order|leads?|recruitment|bamboohr|erpnext""), ""CRM &amp; Sales"",
  REGEXMATCH(A1892&amp;B1892, ""(?i)gmail|outlook|calenda"&amp;"r|slack|discord|telegram|whatsapp|notion|trello|drive|sheets?|meeting|scheduler|appointment|mattermost""), ""Productivity &amp; Communication"",
  REGEXMATCH(A1892&amp;B1892, ""(?i)github|api|webhook|http|mysql|supabase|mongodb|redis|rss|pr|code review|incident|p"&amp;"agerduty|jira""), ""Development &amp; Utilities"",
  TRUE, ""Others""
)"),"Development &amp; Utilities")</f>
        <v>Development &amp; Utilities</v>
      </c>
    </row>
    <row r="1893" ht="15.75" customHeight="1">
      <c r="A1893" s="14" t="s">
        <v>3756</v>
      </c>
      <c r="B1893" s="15" t="s">
        <v>3757</v>
      </c>
      <c r="C1893" s="16" t="s">
        <v>7</v>
      </c>
      <c r="D1893" s="12" t="str">
        <f>IFERROR(__xludf.DUMMYFUNCTION("IFS(
  REGEXMATCH(A1893&amp;B1893, ""(?i)openai|gpt|gemini|anthropic|claude|mistral|cohere|rag|vector|llm|chatbot|ai-powered""), ""AI &amp; LLM"",
  REGEXMATCH(A1893&amp;B1893, ""(?i)twitter|instagram|facebook|linkedin|youtube|tiktok|threads|bluesky|pinterest|social"&amp;" video|reels?|shorts?""), ""Social Media"",
  REGEXMATCH(A1893&amp;B1893, ""(?i)hubspot|pipedrive|stripe|shopify|woocommerce|sales|crm|invoice|order|leads?|recruitment|bamboohr|erpnext""), ""CRM &amp; Sales"",
  REGEXMATCH(A1893&amp;B1893, ""(?i)gmail|outlook|calenda"&amp;"r|slack|discord|telegram|whatsapp|notion|trello|drive|sheets?|meeting|scheduler|appointment|mattermost""), ""Productivity &amp; Communication"",
  REGEXMATCH(A1893&amp;B1893, ""(?i)github|api|webhook|http|mysql|supabase|mongodb|redis|rss|pr|code review|incident|p"&amp;"agerduty|jira""), ""Development &amp; Utilities"",
  TRUE, ""Others""
)"),"Development &amp; Utilities")</f>
        <v>Development &amp; Utilities</v>
      </c>
    </row>
    <row r="1894" ht="15.75" customHeight="1">
      <c r="A1894" s="14" t="s">
        <v>3758</v>
      </c>
      <c r="B1894" s="15" t="s">
        <v>3759</v>
      </c>
      <c r="C1894" s="16" t="s">
        <v>7</v>
      </c>
      <c r="D1894" s="12" t="str">
        <f>IFERROR(__xludf.DUMMYFUNCTION("IFS(
  REGEXMATCH(A1894&amp;B1894, ""(?i)openai|gpt|gemini|anthropic|claude|mistral|cohere|rag|vector|llm|chatbot|ai-powered""), ""AI &amp; LLM"",
  REGEXMATCH(A1894&amp;B1894, ""(?i)twitter|instagram|facebook|linkedin|youtube|tiktok|threads|bluesky|pinterest|social"&amp;" video|reels?|shorts?""), ""Social Media"",
  REGEXMATCH(A1894&amp;B1894, ""(?i)hubspot|pipedrive|stripe|shopify|woocommerce|sales|crm|invoice|order|leads?|recruitment|bamboohr|erpnext""), ""CRM &amp; Sales"",
  REGEXMATCH(A1894&amp;B1894, ""(?i)gmail|outlook|calenda"&amp;"r|slack|discord|telegram|whatsapp|notion|trello|drive|sheets?|meeting|scheduler|appointment|mattermost""), ""Productivity &amp; Communication"",
  REGEXMATCH(A1894&amp;B1894, ""(?i)github|api|webhook|http|mysql|supabase|mongodb|redis|rss|pr|code review|incident|p"&amp;"agerduty|jira""), ""Development &amp; Utilities"",
  TRUE, ""Others""
)"),"AI &amp; LLM")</f>
        <v>AI &amp; LLM</v>
      </c>
    </row>
    <row r="1895" ht="15.75" customHeight="1">
      <c r="A1895" s="14" t="s">
        <v>3760</v>
      </c>
      <c r="B1895" s="15" t="s">
        <v>3761</v>
      </c>
      <c r="C1895" s="16" t="s">
        <v>7</v>
      </c>
      <c r="D1895" s="12" t="str">
        <f>IFERROR(__xludf.DUMMYFUNCTION("IFS(
  REGEXMATCH(A1895&amp;B1895, ""(?i)openai|gpt|gemini|anthropic|claude|mistral|cohere|rag|vector|llm|chatbot|ai-powered""), ""AI &amp; LLM"",
  REGEXMATCH(A1895&amp;B1895, ""(?i)twitter|instagram|facebook|linkedin|youtube|tiktok|threads|bluesky|pinterest|social"&amp;" video|reels?|shorts?""), ""Social Media"",
  REGEXMATCH(A1895&amp;B1895, ""(?i)hubspot|pipedrive|stripe|shopify|woocommerce|sales|crm|invoice|order|leads?|recruitment|bamboohr|erpnext""), ""CRM &amp; Sales"",
  REGEXMATCH(A1895&amp;B1895, ""(?i)gmail|outlook|calenda"&amp;"r|slack|discord|telegram|whatsapp|notion|trello|drive|sheets?|meeting|scheduler|appointment|mattermost""), ""Productivity &amp; Communication"",
  REGEXMATCH(A1895&amp;B1895, ""(?i)github|api|webhook|http|mysql|supabase|mongodb|redis|rss|pr|code review|incident|p"&amp;"agerduty|jira""), ""Development &amp; Utilities"",
  TRUE, ""Others""
)"),"Development &amp; Utilities")</f>
        <v>Development &amp; Utilities</v>
      </c>
    </row>
    <row r="1896" ht="15.75" customHeight="1">
      <c r="A1896" s="14" t="s">
        <v>3762</v>
      </c>
      <c r="B1896" s="15" t="s">
        <v>3763</v>
      </c>
      <c r="C1896" s="16" t="s">
        <v>7</v>
      </c>
      <c r="D1896" s="12" t="str">
        <f>IFERROR(__xludf.DUMMYFUNCTION("IFS(
  REGEXMATCH(A1896&amp;B1896, ""(?i)openai|gpt|gemini|anthropic|claude|mistral|cohere|rag|vector|llm|chatbot|ai-powered""), ""AI &amp; LLM"",
  REGEXMATCH(A1896&amp;B1896, ""(?i)twitter|instagram|facebook|linkedin|youtube|tiktok|threads|bluesky|pinterest|social"&amp;" video|reels?|shorts?""), ""Social Media"",
  REGEXMATCH(A1896&amp;B1896, ""(?i)hubspot|pipedrive|stripe|shopify|woocommerce|sales|crm|invoice|order|leads?|recruitment|bamboohr|erpnext""), ""CRM &amp; Sales"",
  REGEXMATCH(A1896&amp;B1896, ""(?i)gmail|outlook|calenda"&amp;"r|slack|discord|telegram|whatsapp|notion|trello|drive|sheets?|meeting|scheduler|appointment|mattermost""), ""Productivity &amp; Communication"",
  REGEXMATCH(A1896&amp;B1896, ""(?i)github|api|webhook|http|mysql|supabase|mongodb|redis|rss|pr|code review|incident|p"&amp;"agerduty|jira""), ""Development &amp; Utilities"",
  TRUE, ""Others""
)"),"Development &amp; Utilities")</f>
        <v>Development &amp; Utilities</v>
      </c>
    </row>
    <row r="1897" ht="15.75" customHeight="1">
      <c r="A1897" s="14" t="s">
        <v>3764</v>
      </c>
      <c r="B1897" s="15" t="s">
        <v>3765</v>
      </c>
      <c r="C1897" s="16" t="s">
        <v>7</v>
      </c>
      <c r="D1897" s="12" t="str">
        <f>IFERROR(__xludf.DUMMYFUNCTION("IFS(
  REGEXMATCH(A1897&amp;B1897, ""(?i)openai|gpt|gemini|anthropic|claude|mistral|cohere|rag|vector|llm|chatbot|ai-powered""), ""AI &amp; LLM"",
  REGEXMATCH(A1897&amp;B1897, ""(?i)twitter|instagram|facebook|linkedin|youtube|tiktok|threads|bluesky|pinterest|social"&amp;" video|reels?|shorts?""), ""Social Media"",
  REGEXMATCH(A1897&amp;B1897, ""(?i)hubspot|pipedrive|stripe|shopify|woocommerce|sales|crm|invoice|order|leads?|recruitment|bamboohr|erpnext""), ""CRM &amp; Sales"",
  REGEXMATCH(A1897&amp;B1897, ""(?i)gmail|outlook|calenda"&amp;"r|slack|discord|telegram|whatsapp|notion|trello|drive|sheets?|meeting|scheduler|appointment|mattermost""), ""Productivity &amp; Communication"",
  REGEXMATCH(A1897&amp;B1897, ""(?i)github|api|webhook|http|mysql|supabase|mongodb|redis|rss|pr|code review|incident|p"&amp;"agerduty|jira""), ""Development &amp; Utilities"",
  TRUE, ""Others""
)"),"AI &amp; LLM")</f>
        <v>AI &amp; LLM</v>
      </c>
    </row>
    <row r="1898" ht="15.75" customHeight="1">
      <c r="A1898" s="14" t="s">
        <v>3766</v>
      </c>
      <c r="B1898" s="15" t="s">
        <v>3767</v>
      </c>
      <c r="C1898" s="16" t="s">
        <v>7</v>
      </c>
      <c r="D1898" s="12" t="str">
        <f>IFERROR(__xludf.DUMMYFUNCTION("IFS(
  REGEXMATCH(A1898&amp;B1898, ""(?i)openai|gpt|gemini|anthropic|claude|mistral|cohere|rag|vector|llm|chatbot|ai-powered""), ""AI &amp; LLM"",
  REGEXMATCH(A1898&amp;B1898, ""(?i)twitter|instagram|facebook|linkedin|youtube|tiktok|threads|bluesky|pinterest|social"&amp;" video|reels?|shorts?""), ""Social Media"",
  REGEXMATCH(A1898&amp;B1898, ""(?i)hubspot|pipedrive|stripe|shopify|woocommerce|sales|crm|invoice|order|leads?|recruitment|bamboohr|erpnext""), ""CRM &amp; Sales"",
  REGEXMATCH(A1898&amp;B1898, ""(?i)gmail|outlook|calenda"&amp;"r|slack|discord|telegram|whatsapp|notion|trello|drive|sheets?|meeting|scheduler|appointment|mattermost""), ""Productivity &amp; Communication"",
  REGEXMATCH(A1898&amp;B1898, ""(?i)github|api|webhook|http|mysql|supabase|mongodb|redis|rss|pr|code review|incident|p"&amp;"agerduty|jira""), ""Development &amp; Utilities"",
  TRUE, ""Others""
)"),"Others")</f>
        <v>Others</v>
      </c>
    </row>
    <row r="1899" ht="15.75" customHeight="1">
      <c r="A1899" s="14" t="s">
        <v>3768</v>
      </c>
      <c r="B1899" s="15" t="s">
        <v>3769</v>
      </c>
      <c r="C1899" s="16" t="s">
        <v>7</v>
      </c>
      <c r="D1899" s="12" t="str">
        <f>IFERROR(__xludf.DUMMYFUNCTION("IFS(
  REGEXMATCH(A1899&amp;B1899, ""(?i)openai|gpt|gemini|anthropic|claude|mistral|cohere|rag|vector|llm|chatbot|ai-powered""), ""AI &amp; LLM"",
  REGEXMATCH(A1899&amp;B1899, ""(?i)twitter|instagram|facebook|linkedin|youtube|tiktok|threads|bluesky|pinterest|social"&amp;" video|reels?|shorts?""), ""Social Media"",
  REGEXMATCH(A1899&amp;B1899, ""(?i)hubspot|pipedrive|stripe|shopify|woocommerce|sales|crm|invoice|order|leads?|recruitment|bamboohr|erpnext""), ""CRM &amp; Sales"",
  REGEXMATCH(A1899&amp;B1899, ""(?i)gmail|outlook|calenda"&amp;"r|slack|discord|telegram|whatsapp|notion|trello|drive|sheets?|meeting|scheduler|appointment|mattermost""), ""Productivity &amp; Communication"",
  REGEXMATCH(A1899&amp;B1899, ""(?i)github|api|webhook|http|mysql|supabase|mongodb|redis|rss|pr|code review|incident|p"&amp;"agerduty|jira""), ""Development &amp; Utilities"",
  TRUE, ""Others""
)"),"Development &amp; Utilities")</f>
        <v>Development &amp; Utilities</v>
      </c>
    </row>
    <row r="1900" ht="15.75" customHeight="1">
      <c r="A1900" s="14" t="s">
        <v>3770</v>
      </c>
      <c r="B1900" s="15" t="s">
        <v>3771</v>
      </c>
      <c r="C1900" s="16" t="s">
        <v>7</v>
      </c>
      <c r="D1900" s="12" t="str">
        <f>IFERROR(__xludf.DUMMYFUNCTION("IFS(
  REGEXMATCH(A1900&amp;B1900, ""(?i)openai|gpt|gemini|anthropic|claude|mistral|cohere|rag|vector|llm|chatbot|ai-powered""), ""AI &amp; LLM"",
  REGEXMATCH(A1900&amp;B1900, ""(?i)twitter|instagram|facebook|linkedin|youtube|tiktok|threads|bluesky|pinterest|social"&amp;" video|reels?|shorts?""), ""Social Media"",
  REGEXMATCH(A1900&amp;B1900, ""(?i)hubspot|pipedrive|stripe|shopify|woocommerce|sales|crm|invoice|order|leads?|recruitment|bamboohr|erpnext""), ""CRM &amp; Sales"",
  REGEXMATCH(A1900&amp;B1900, ""(?i)gmail|outlook|calenda"&amp;"r|slack|discord|telegram|whatsapp|notion|trello|drive|sheets?|meeting|scheduler|appointment|mattermost""), ""Productivity &amp; Communication"",
  REGEXMATCH(A1900&amp;B1900, ""(?i)github|api|webhook|http|mysql|supabase|mongodb|redis|rss|pr|code review|incident|p"&amp;"agerduty|jira""), ""Development &amp; Utilities"",
  TRUE, ""Others""
)"),"Development &amp; Utilities")</f>
        <v>Development &amp; Utilities</v>
      </c>
    </row>
    <row r="1901" ht="15.75" customHeight="1">
      <c r="A1901" s="14" t="s">
        <v>3772</v>
      </c>
      <c r="B1901" s="15" t="s">
        <v>3773</v>
      </c>
      <c r="C1901" s="16" t="s">
        <v>7</v>
      </c>
      <c r="D1901" s="12" t="str">
        <f>IFERROR(__xludf.DUMMYFUNCTION("IFS(
  REGEXMATCH(A1901&amp;B1901, ""(?i)openai|gpt|gemini|anthropic|claude|mistral|cohere|rag|vector|llm|chatbot|ai-powered""), ""AI &amp; LLM"",
  REGEXMATCH(A1901&amp;B1901, ""(?i)twitter|instagram|facebook|linkedin|youtube|tiktok|threads|bluesky|pinterest|social"&amp;" video|reels?|shorts?""), ""Social Media"",
  REGEXMATCH(A1901&amp;B1901, ""(?i)hubspot|pipedrive|stripe|shopify|woocommerce|sales|crm|invoice|order|leads?|recruitment|bamboohr|erpnext""), ""CRM &amp; Sales"",
  REGEXMATCH(A1901&amp;B1901, ""(?i)gmail|outlook|calenda"&amp;"r|slack|discord|telegram|whatsapp|notion|trello|drive|sheets?|meeting|scheduler|appointment|mattermost""), ""Productivity &amp; Communication"",
  REGEXMATCH(A1901&amp;B1901, ""(?i)github|api|webhook|http|mysql|supabase|mongodb|redis|rss|pr|code review|incident|p"&amp;"agerduty|jira""), ""Development &amp; Utilities"",
  TRUE, ""Others""
)"),"Development &amp; Utilities")</f>
        <v>Development &amp; Utilities</v>
      </c>
    </row>
    <row r="1902" ht="15.75" customHeight="1">
      <c r="A1902" s="14" t="s">
        <v>3774</v>
      </c>
      <c r="B1902" s="15" t="s">
        <v>3775</v>
      </c>
      <c r="C1902" s="16" t="s">
        <v>7</v>
      </c>
      <c r="D1902" s="12" t="str">
        <f>IFERROR(__xludf.DUMMYFUNCTION("IFS(
  REGEXMATCH(A1902&amp;B1902, ""(?i)openai|gpt|gemini|anthropic|claude|mistral|cohere|rag|vector|llm|chatbot|ai-powered""), ""AI &amp; LLM"",
  REGEXMATCH(A1902&amp;B1902, ""(?i)twitter|instagram|facebook|linkedin|youtube|tiktok|threads|bluesky|pinterest|social"&amp;" video|reels?|shorts?""), ""Social Media"",
  REGEXMATCH(A1902&amp;B1902, ""(?i)hubspot|pipedrive|stripe|shopify|woocommerce|sales|crm|invoice|order|leads?|recruitment|bamboohr|erpnext""), ""CRM &amp; Sales"",
  REGEXMATCH(A1902&amp;B1902, ""(?i)gmail|outlook|calenda"&amp;"r|slack|discord|telegram|whatsapp|notion|trello|drive|sheets?|meeting|scheduler|appointment|mattermost""), ""Productivity &amp; Communication"",
  REGEXMATCH(A1902&amp;B1902, ""(?i)github|api|webhook|http|mysql|supabase|mongodb|redis|rss|pr|code review|incident|p"&amp;"agerduty|jira""), ""Development &amp; Utilities"",
  TRUE, ""Others""
)"),"AI &amp; LLM")</f>
        <v>AI &amp; LLM</v>
      </c>
    </row>
    <row r="1903" ht="15.75" customHeight="1">
      <c r="A1903" s="14" t="s">
        <v>3776</v>
      </c>
      <c r="B1903" s="15" t="s">
        <v>3777</v>
      </c>
      <c r="C1903" s="16" t="s">
        <v>7</v>
      </c>
      <c r="D1903" s="12" t="str">
        <f>IFERROR(__xludf.DUMMYFUNCTION("IFS(
  REGEXMATCH(A1903&amp;B1903, ""(?i)openai|gpt|gemini|anthropic|claude|mistral|cohere|rag|vector|llm|chatbot|ai-powered""), ""AI &amp; LLM"",
  REGEXMATCH(A1903&amp;B1903, ""(?i)twitter|instagram|facebook|linkedin|youtube|tiktok|threads|bluesky|pinterest|social"&amp;" video|reels?|shorts?""), ""Social Media"",
  REGEXMATCH(A1903&amp;B1903, ""(?i)hubspot|pipedrive|stripe|shopify|woocommerce|sales|crm|invoice|order|leads?|recruitment|bamboohr|erpnext""), ""CRM &amp; Sales"",
  REGEXMATCH(A1903&amp;B1903, ""(?i)gmail|outlook|calenda"&amp;"r|slack|discord|telegram|whatsapp|notion|trello|drive|sheets?|meeting|scheduler|appointment|mattermost""), ""Productivity &amp; Communication"",
  REGEXMATCH(A1903&amp;B1903, ""(?i)github|api|webhook|http|mysql|supabase|mongodb|redis|rss|pr|code review|incident|p"&amp;"agerduty|jira""), ""Development &amp; Utilities"",
  TRUE, ""Others""
)"),"Development &amp; Utilities")</f>
        <v>Development &amp; Utilities</v>
      </c>
    </row>
    <row r="1904" ht="15.75" customHeight="1">
      <c r="A1904" s="14" t="s">
        <v>3778</v>
      </c>
      <c r="B1904" s="15" t="s">
        <v>3779</v>
      </c>
      <c r="C1904" s="16" t="s">
        <v>7</v>
      </c>
      <c r="D1904" s="12" t="str">
        <f>IFERROR(__xludf.DUMMYFUNCTION("IFS(
  REGEXMATCH(A1904&amp;B1904, ""(?i)openai|gpt|gemini|anthropic|claude|mistral|cohere|rag|vector|llm|chatbot|ai-powered""), ""AI &amp; LLM"",
  REGEXMATCH(A1904&amp;B1904, ""(?i)twitter|instagram|facebook|linkedin|youtube|tiktok|threads|bluesky|pinterest|social"&amp;" video|reels?|shorts?""), ""Social Media"",
  REGEXMATCH(A1904&amp;B1904, ""(?i)hubspot|pipedrive|stripe|shopify|woocommerce|sales|crm|invoice|order|leads?|recruitment|bamboohr|erpnext""), ""CRM &amp; Sales"",
  REGEXMATCH(A1904&amp;B1904, ""(?i)gmail|outlook|calenda"&amp;"r|slack|discord|telegram|whatsapp|notion|trello|drive|sheets?|meeting|scheduler|appointment|mattermost""), ""Productivity &amp; Communication"",
  REGEXMATCH(A1904&amp;B1904, ""(?i)github|api|webhook|http|mysql|supabase|mongodb|redis|rss|pr|code review|incident|p"&amp;"agerduty|jira""), ""Development &amp; Utilities"",
  TRUE, ""Others""
)"),"Development &amp; Utilities")</f>
        <v>Development &amp; Utilities</v>
      </c>
    </row>
    <row r="1905" ht="15.75" customHeight="1">
      <c r="A1905" s="14" t="s">
        <v>3780</v>
      </c>
      <c r="B1905" s="15" t="s">
        <v>3781</v>
      </c>
      <c r="C1905" s="16" t="s">
        <v>7</v>
      </c>
      <c r="D1905" s="12" t="str">
        <f>IFERROR(__xludf.DUMMYFUNCTION("IFS(
  REGEXMATCH(A1905&amp;B1905, ""(?i)openai|gpt|gemini|anthropic|claude|mistral|cohere|rag|vector|llm|chatbot|ai-powered""), ""AI &amp; LLM"",
  REGEXMATCH(A1905&amp;B1905, ""(?i)twitter|instagram|facebook|linkedin|youtube|tiktok|threads|bluesky|pinterest|social"&amp;" video|reels?|shorts?""), ""Social Media"",
  REGEXMATCH(A1905&amp;B1905, ""(?i)hubspot|pipedrive|stripe|shopify|woocommerce|sales|crm|invoice|order|leads?|recruitment|bamboohr|erpnext""), ""CRM &amp; Sales"",
  REGEXMATCH(A1905&amp;B1905, ""(?i)gmail|outlook|calenda"&amp;"r|slack|discord|telegram|whatsapp|notion|trello|drive|sheets?|meeting|scheduler|appointment|mattermost""), ""Productivity &amp; Communication"",
  REGEXMATCH(A1905&amp;B1905, ""(?i)github|api|webhook|http|mysql|supabase|mongodb|redis|rss|pr|code review|incident|p"&amp;"agerduty|jira""), ""Development &amp; Utilities"",
  TRUE, ""Others""
)"),"Development &amp; Utilities")</f>
        <v>Development &amp; Utilities</v>
      </c>
    </row>
    <row r="1906" ht="15.75" customHeight="1">
      <c r="A1906" s="14" t="s">
        <v>3782</v>
      </c>
      <c r="B1906" s="15" t="s">
        <v>3783</v>
      </c>
      <c r="C1906" s="16" t="s">
        <v>7</v>
      </c>
      <c r="D1906" s="12" t="str">
        <f>IFERROR(__xludf.DUMMYFUNCTION("IFS(
  REGEXMATCH(A1906&amp;B1906, ""(?i)openai|gpt|gemini|anthropic|claude|mistral|cohere|rag|vector|llm|chatbot|ai-powered""), ""AI &amp; LLM"",
  REGEXMATCH(A1906&amp;B1906, ""(?i)twitter|instagram|facebook|linkedin|youtube|tiktok|threads|bluesky|pinterest|social"&amp;" video|reels?|shorts?""), ""Social Media"",
  REGEXMATCH(A1906&amp;B1906, ""(?i)hubspot|pipedrive|stripe|shopify|woocommerce|sales|crm|invoice|order|leads?|recruitment|bamboohr|erpnext""), ""CRM &amp; Sales"",
  REGEXMATCH(A1906&amp;B1906, ""(?i)gmail|outlook|calenda"&amp;"r|slack|discord|telegram|whatsapp|notion|trello|drive|sheets?|meeting|scheduler|appointment|mattermost""), ""Productivity &amp; Communication"",
  REGEXMATCH(A1906&amp;B1906, ""(?i)github|api|webhook|http|mysql|supabase|mongodb|redis|rss|pr|code review|incident|p"&amp;"agerduty|jira""), ""Development &amp; Utilities"",
  TRUE, ""Others""
)"),"Development &amp; Utilities")</f>
        <v>Development &amp; Utilities</v>
      </c>
    </row>
    <row r="1907" ht="15.75" customHeight="1">
      <c r="A1907" s="14" t="s">
        <v>3784</v>
      </c>
      <c r="B1907" s="15" t="s">
        <v>3785</v>
      </c>
      <c r="C1907" s="16" t="s">
        <v>7</v>
      </c>
      <c r="D1907" s="12" t="str">
        <f>IFERROR(__xludf.DUMMYFUNCTION("IFS(
  REGEXMATCH(A1907&amp;B1907, ""(?i)openai|gpt|gemini|anthropic|claude|mistral|cohere|rag|vector|llm|chatbot|ai-powered""), ""AI &amp; LLM"",
  REGEXMATCH(A1907&amp;B1907, ""(?i)twitter|instagram|facebook|linkedin|youtube|tiktok|threads|bluesky|pinterest|social"&amp;" video|reels?|shorts?""), ""Social Media"",
  REGEXMATCH(A1907&amp;B1907, ""(?i)hubspot|pipedrive|stripe|shopify|woocommerce|sales|crm|invoice|order|leads?|recruitment|bamboohr|erpnext""), ""CRM &amp; Sales"",
  REGEXMATCH(A1907&amp;B1907, ""(?i)gmail|outlook|calenda"&amp;"r|slack|discord|telegram|whatsapp|notion|trello|drive|sheets?|meeting|scheduler|appointment|mattermost""), ""Productivity &amp; Communication"",
  REGEXMATCH(A1907&amp;B1907, ""(?i)github|api|webhook|http|mysql|supabase|mongodb|redis|rss|pr|code review|incident|p"&amp;"agerduty|jira""), ""Development &amp; Utilities"",
  TRUE, ""Others""
)"),"Development &amp; Utilities")</f>
        <v>Development &amp; Utilities</v>
      </c>
    </row>
    <row r="1908" ht="15.75" customHeight="1">
      <c r="A1908" s="14" t="s">
        <v>3786</v>
      </c>
      <c r="B1908" s="15" t="s">
        <v>3787</v>
      </c>
      <c r="C1908" s="16" t="s">
        <v>7</v>
      </c>
      <c r="D1908" s="12" t="str">
        <f>IFERROR(__xludf.DUMMYFUNCTION("IFS(
  REGEXMATCH(A1908&amp;B1908, ""(?i)openai|gpt|gemini|anthropic|claude|mistral|cohere|rag|vector|llm|chatbot|ai-powered""), ""AI &amp; LLM"",
  REGEXMATCH(A1908&amp;B1908, ""(?i)twitter|instagram|facebook|linkedin|youtube|tiktok|threads|bluesky|pinterest|social"&amp;" video|reels?|shorts?""), ""Social Media"",
  REGEXMATCH(A1908&amp;B1908, ""(?i)hubspot|pipedrive|stripe|shopify|woocommerce|sales|crm|invoice|order|leads?|recruitment|bamboohr|erpnext""), ""CRM &amp; Sales"",
  REGEXMATCH(A1908&amp;B1908, ""(?i)gmail|outlook|calenda"&amp;"r|slack|discord|telegram|whatsapp|notion|trello|drive|sheets?|meeting|scheduler|appointment|mattermost""), ""Productivity &amp; Communication"",
  REGEXMATCH(A1908&amp;B1908, ""(?i)github|api|webhook|http|mysql|supabase|mongodb|redis|rss|pr|code review|incident|p"&amp;"agerduty|jira""), ""Development &amp; Utilities"",
  TRUE, ""Others""
)"),"Productivity &amp; Communication")</f>
        <v>Productivity &amp; Communication</v>
      </c>
    </row>
    <row r="1909" ht="15.75" customHeight="1">
      <c r="A1909" s="14" t="s">
        <v>3788</v>
      </c>
      <c r="B1909" s="15" t="s">
        <v>3789</v>
      </c>
      <c r="C1909" s="16" t="s">
        <v>7</v>
      </c>
      <c r="D1909" s="12" t="str">
        <f>IFERROR(__xludf.DUMMYFUNCTION("IFS(
  REGEXMATCH(A1909&amp;B1909, ""(?i)openai|gpt|gemini|anthropic|claude|mistral|cohere|rag|vector|llm|chatbot|ai-powered""), ""AI &amp; LLM"",
  REGEXMATCH(A1909&amp;B1909, ""(?i)twitter|instagram|facebook|linkedin|youtube|tiktok|threads|bluesky|pinterest|social"&amp;" video|reels?|shorts?""), ""Social Media"",
  REGEXMATCH(A1909&amp;B1909, ""(?i)hubspot|pipedrive|stripe|shopify|woocommerce|sales|crm|invoice|order|leads?|recruitment|bamboohr|erpnext""), ""CRM &amp; Sales"",
  REGEXMATCH(A1909&amp;B1909, ""(?i)gmail|outlook|calenda"&amp;"r|slack|discord|telegram|whatsapp|notion|trello|drive|sheets?|meeting|scheduler|appointment|mattermost""), ""Productivity &amp; Communication"",
  REGEXMATCH(A1909&amp;B1909, ""(?i)github|api|webhook|http|mysql|supabase|mongodb|redis|rss|pr|code review|incident|p"&amp;"agerduty|jira""), ""Development &amp; Utilities"",
  TRUE, ""Others""
)"),"Others")</f>
        <v>Others</v>
      </c>
    </row>
    <row r="1910" ht="15.75" customHeight="1">
      <c r="A1910" s="14" t="s">
        <v>3790</v>
      </c>
      <c r="B1910" s="15" t="s">
        <v>3791</v>
      </c>
      <c r="C1910" s="16" t="s">
        <v>7</v>
      </c>
      <c r="D1910" s="12" t="str">
        <f>IFERROR(__xludf.DUMMYFUNCTION("IFS(
  REGEXMATCH(A1910&amp;B1910, ""(?i)openai|gpt|gemini|anthropic|claude|mistral|cohere|rag|vector|llm|chatbot|ai-powered""), ""AI &amp; LLM"",
  REGEXMATCH(A1910&amp;B1910, ""(?i)twitter|instagram|facebook|linkedin|youtube|tiktok|threads|bluesky|pinterest|social"&amp;" video|reels?|shorts?""), ""Social Media"",
  REGEXMATCH(A1910&amp;B1910, ""(?i)hubspot|pipedrive|stripe|shopify|woocommerce|sales|crm|invoice|order|leads?|recruitment|bamboohr|erpnext""), ""CRM &amp; Sales"",
  REGEXMATCH(A1910&amp;B1910, ""(?i)gmail|outlook|calenda"&amp;"r|slack|discord|telegram|whatsapp|notion|trello|drive|sheets?|meeting|scheduler|appointment|mattermost""), ""Productivity &amp; Communication"",
  REGEXMATCH(A1910&amp;B1910, ""(?i)github|api|webhook|http|mysql|supabase|mongodb|redis|rss|pr|code review|incident|p"&amp;"agerduty|jira""), ""Development &amp; Utilities"",
  TRUE, ""Others""
)"),"Social Media")</f>
        <v>Social Media</v>
      </c>
    </row>
    <row r="1911" ht="15.75" customHeight="1">
      <c r="A1911" s="14" t="s">
        <v>3792</v>
      </c>
      <c r="B1911" s="15" t="s">
        <v>3793</v>
      </c>
      <c r="C1911" s="16" t="s">
        <v>7</v>
      </c>
      <c r="D1911" s="12" t="str">
        <f>IFERROR(__xludf.DUMMYFUNCTION("IFS(
  REGEXMATCH(A1911&amp;B1911, ""(?i)openai|gpt|gemini|anthropic|claude|mistral|cohere|rag|vector|llm|chatbot|ai-powered""), ""AI &amp; LLM"",
  REGEXMATCH(A1911&amp;B1911, ""(?i)twitter|instagram|facebook|linkedin|youtube|tiktok|threads|bluesky|pinterest|social"&amp;" video|reels?|shorts?""), ""Social Media"",
  REGEXMATCH(A1911&amp;B1911, ""(?i)hubspot|pipedrive|stripe|shopify|woocommerce|sales|crm|invoice|order|leads?|recruitment|bamboohr|erpnext""), ""CRM &amp; Sales"",
  REGEXMATCH(A1911&amp;B1911, ""(?i)gmail|outlook|calenda"&amp;"r|slack|discord|telegram|whatsapp|notion|trello|drive|sheets?|meeting|scheduler|appointment|mattermost""), ""Productivity &amp; Communication"",
  REGEXMATCH(A1911&amp;B1911, ""(?i)github|api|webhook|http|mysql|supabase|mongodb|redis|rss|pr|code review|incident|p"&amp;"agerduty|jira""), ""Development &amp; Utilities"",
  TRUE, ""Others""
)"),"AI &amp; LLM")</f>
        <v>AI &amp; LLM</v>
      </c>
    </row>
    <row r="1912" ht="15.75" customHeight="1">
      <c r="A1912" s="14" t="s">
        <v>3794</v>
      </c>
      <c r="B1912" s="15" t="s">
        <v>3795</v>
      </c>
      <c r="C1912" s="16" t="s">
        <v>7</v>
      </c>
      <c r="D1912" s="12" t="str">
        <f>IFERROR(__xludf.DUMMYFUNCTION("IFS(
  REGEXMATCH(A1912&amp;B1912, ""(?i)openai|gpt|gemini|anthropic|claude|mistral|cohere|rag|vector|llm|chatbot|ai-powered""), ""AI &amp; LLM"",
  REGEXMATCH(A1912&amp;B1912, ""(?i)twitter|instagram|facebook|linkedin|youtube|tiktok|threads|bluesky|pinterest|social"&amp;" video|reels?|shorts?""), ""Social Media"",
  REGEXMATCH(A1912&amp;B1912, ""(?i)hubspot|pipedrive|stripe|shopify|woocommerce|sales|crm|invoice|order|leads?|recruitment|bamboohr|erpnext""), ""CRM &amp; Sales"",
  REGEXMATCH(A1912&amp;B1912, ""(?i)gmail|outlook|calenda"&amp;"r|slack|discord|telegram|whatsapp|notion|trello|drive|sheets?|meeting|scheduler|appointment|mattermost""), ""Productivity &amp; Communication"",
  REGEXMATCH(A1912&amp;B1912, ""(?i)github|api|webhook|http|mysql|supabase|mongodb|redis|rss|pr|code review|incident|p"&amp;"agerduty|jira""), ""Development &amp; Utilities"",
  TRUE, ""Others""
)"),"Development &amp; Utilities")</f>
        <v>Development &amp; Utilities</v>
      </c>
    </row>
    <row r="1913" ht="15.75" customHeight="1">
      <c r="A1913" s="14" t="s">
        <v>3796</v>
      </c>
      <c r="B1913" s="15" t="s">
        <v>3797</v>
      </c>
      <c r="C1913" s="16" t="s">
        <v>7</v>
      </c>
      <c r="D1913" s="12" t="str">
        <f>IFERROR(__xludf.DUMMYFUNCTION("IFS(
  REGEXMATCH(A1913&amp;B1913, ""(?i)openai|gpt|gemini|anthropic|claude|mistral|cohere|rag|vector|llm|chatbot|ai-powered""), ""AI &amp; LLM"",
  REGEXMATCH(A1913&amp;B1913, ""(?i)twitter|instagram|facebook|linkedin|youtube|tiktok|threads|bluesky|pinterest|social"&amp;" video|reels?|shorts?""), ""Social Media"",
  REGEXMATCH(A1913&amp;B1913, ""(?i)hubspot|pipedrive|stripe|shopify|woocommerce|sales|crm|invoice|order|leads?|recruitment|bamboohr|erpnext""), ""CRM &amp; Sales"",
  REGEXMATCH(A1913&amp;B1913, ""(?i)gmail|outlook|calenda"&amp;"r|slack|discord|telegram|whatsapp|notion|trello|drive|sheets?|meeting|scheduler|appointment|mattermost""), ""Productivity &amp; Communication"",
  REGEXMATCH(A1913&amp;B1913, ""(?i)github|api|webhook|http|mysql|supabase|mongodb|redis|rss|pr|code review|incident|p"&amp;"agerduty|jira""), ""Development &amp; Utilities"",
  TRUE, ""Others""
)"),"Development &amp; Utilities")</f>
        <v>Development &amp; Utilities</v>
      </c>
    </row>
    <row r="1914" ht="15.75" customHeight="1">
      <c r="A1914" s="14" t="s">
        <v>3798</v>
      </c>
      <c r="B1914" s="15" t="s">
        <v>3799</v>
      </c>
      <c r="C1914" s="16" t="s">
        <v>7</v>
      </c>
      <c r="D1914" s="12" t="str">
        <f>IFERROR(__xludf.DUMMYFUNCTION("IFS(
  REGEXMATCH(A1914&amp;B1914, ""(?i)openai|gpt|gemini|anthropic|claude|mistral|cohere|rag|vector|llm|chatbot|ai-powered""), ""AI &amp; LLM"",
  REGEXMATCH(A1914&amp;B1914, ""(?i)twitter|instagram|facebook|linkedin|youtube|tiktok|threads|bluesky|pinterest|social"&amp;" video|reels?|shorts?""), ""Social Media"",
  REGEXMATCH(A1914&amp;B1914, ""(?i)hubspot|pipedrive|stripe|shopify|woocommerce|sales|crm|invoice|order|leads?|recruitment|bamboohr|erpnext""), ""CRM &amp; Sales"",
  REGEXMATCH(A1914&amp;B1914, ""(?i)gmail|outlook|calenda"&amp;"r|slack|discord|telegram|whatsapp|notion|trello|drive|sheets?|meeting|scheduler|appointment|mattermost""), ""Productivity &amp; Communication"",
  REGEXMATCH(A1914&amp;B1914, ""(?i)github|api|webhook|http|mysql|supabase|mongodb|redis|rss|pr|code review|incident|p"&amp;"agerduty|jira""), ""Development &amp; Utilities"",
  TRUE, ""Others""
)"),"Development &amp; Utilities")</f>
        <v>Development &amp; Utilities</v>
      </c>
    </row>
    <row r="1915" ht="15.75" customHeight="1">
      <c r="A1915" s="14" t="s">
        <v>3800</v>
      </c>
      <c r="B1915" s="15" t="s">
        <v>3801</v>
      </c>
      <c r="C1915" s="16" t="s">
        <v>7</v>
      </c>
      <c r="D1915" s="12" t="str">
        <f>IFERROR(__xludf.DUMMYFUNCTION("IFS(
  REGEXMATCH(A1915&amp;B1915, ""(?i)openai|gpt|gemini|anthropic|claude|mistral|cohere|rag|vector|llm|chatbot|ai-powered""), ""AI &amp; LLM"",
  REGEXMATCH(A1915&amp;B1915, ""(?i)twitter|instagram|facebook|linkedin|youtube|tiktok|threads|bluesky|pinterest|social"&amp;" video|reels?|shorts?""), ""Social Media"",
  REGEXMATCH(A1915&amp;B1915, ""(?i)hubspot|pipedrive|stripe|shopify|woocommerce|sales|crm|invoice|order|leads?|recruitment|bamboohr|erpnext""), ""CRM &amp; Sales"",
  REGEXMATCH(A1915&amp;B1915, ""(?i)gmail|outlook|calenda"&amp;"r|slack|discord|telegram|whatsapp|notion|trello|drive|sheets?|meeting|scheduler|appointment|mattermost""), ""Productivity &amp; Communication"",
  REGEXMATCH(A1915&amp;B1915, ""(?i)github|api|webhook|http|mysql|supabase|mongodb|redis|rss|pr|code review|incident|p"&amp;"agerduty|jira""), ""Development &amp; Utilities"",
  TRUE, ""Others""
)"),"Development &amp; Utilities")</f>
        <v>Development &amp; Utilities</v>
      </c>
    </row>
    <row r="1916" ht="15.75" customHeight="1">
      <c r="A1916" s="14" t="s">
        <v>3802</v>
      </c>
      <c r="B1916" s="15" t="s">
        <v>3803</v>
      </c>
      <c r="C1916" s="16" t="s">
        <v>7</v>
      </c>
      <c r="D1916" s="12" t="str">
        <f>IFERROR(__xludf.DUMMYFUNCTION("IFS(
  REGEXMATCH(A1916&amp;B1916, ""(?i)openai|gpt|gemini|anthropic|claude|mistral|cohere|rag|vector|llm|chatbot|ai-powered""), ""AI &amp; LLM"",
  REGEXMATCH(A1916&amp;B1916, ""(?i)twitter|instagram|facebook|linkedin|youtube|tiktok|threads|bluesky|pinterest|social"&amp;" video|reels?|shorts?""), ""Social Media"",
  REGEXMATCH(A1916&amp;B1916, ""(?i)hubspot|pipedrive|stripe|shopify|woocommerce|sales|crm|invoice|order|leads?|recruitment|bamboohr|erpnext""), ""CRM &amp; Sales"",
  REGEXMATCH(A1916&amp;B1916, ""(?i)gmail|outlook|calenda"&amp;"r|slack|discord|telegram|whatsapp|notion|trello|drive|sheets?|meeting|scheduler|appointment|mattermost""), ""Productivity &amp; Communication"",
  REGEXMATCH(A1916&amp;B1916, ""(?i)github|api|webhook|http|mysql|supabase|mongodb|redis|rss|pr|code review|incident|p"&amp;"agerduty|jira""), ""Development &amp; Utilities"",
  TRUE, ""Others""
)"),"Development &amp; Utilities")</f>
        <v>Development &amp; Utilities</v>
      </c>
    </row>
    <row r="1917" ht="15.75" customHeight="1">
      <c r="A1917" s="14" t="s">
        <v>3804</v>
      </c>
      <c r="B1917" s="15" t="s">
        <v>3805</v>
      </c>
      <c r="C1917" s="16" t="s">
        <v>7</v>
      </c>
      <c r="D1917" s="12" t="str">
        <f>IFERROR(__xludf.DUMMYFUNCTION("IFS(
  REGEXMATCH(A1917&amp;B1917, ""(?i)openai|gpt|gemini|anthropic|claude|mistral|cohere|rag|vector|llm|chatbot|ai-powered""), ""AI &amp; LLM"",
  REGEXMATCH(A1917&amp;B1917, ""(?i)twitter|instagram|facebook|linkedin|youtube|tiktok|threads|bluesky|pinterest|social"&amp;" video|reels?|shorts?""), ""Social Media"",
  REGEXMATCH(A1917&amp;B1917, ""(?i)hubspot|pipedrive|stripe|shopify|woocommerce|sales|crm|invoice|order|leads?|recruitment|bamboohr|erpnext""), ""CRM &amp; Sales"",
  REGEXMATCH(A1917&amp;B1917, ""(?i)gmail|outlook|calenda"&amp;"r|slack|discord|telegram|whatsapp|notion|trello|drive|sheets?|meeting|scheduler|appointment|mattermost""), ""Productivity &amp; Communication"",
  REGEXMATCH(A1917&amp;B1917, ""(?i)github|api|webhook|http|mysql|supabase|mongodb|redis|rss|pr|code review|incident|p"&amp;"agerduty|jira""), ""Development &amp; Utilities"",
  TRUE, ""Others""
)"),"Productivity &amp; Communication")</f>
        <v>Productivity &amp; Communication</v>
      </c>
    </row>
    <row r="1918" ht="15.75" customHeight="1">
      <c r="A1918" s="14" t="s">
        <v>3806</v>
      </c>
      <c r="B1918" s="15" t="s">
        <v>3807</v>
      </c>
      <c r="C1918" s="16" t="s">
        <v>7</v>
      </c>
      <c r="D1918" s="12" t="str">
        <f>IFERROR(__xludf.DUMMYFUNCTION("IFS(
  REGEXMATCH(A1918&amp;B1918, ""(?i)openai|gpt|gemini|anthropic|claude|mistral|cohere|rag|vector|llm|chatbot|ai-powered""), ""AI &amp; LLM"",
  REGEXMATCH(A1918&amp;B1918, ""(?i)twitter|instagram|facebook|linkedin|youtube|tiktok|threads|bluesky|pinterest|social"&amp;" video|reels?|shorts?""), ""Social Media"",
  REGEXMATCH(A1918&amp;B1918, ""(?i)hubspot|pipedrive|stripe|shopify|woocommerce|sales|crm|invoice|order|leads?|recruitment|bamboohr|erpnext""), ""CRM &amp; Sales"",
  REGEXMATCH(A1918&amp;B1918, ""(?i)gmail|outlook|calenda"&amp;"r|slack|discord|telegram|whatsapp|notion|trello|drive|sheets?|meeting|scheduler|appointment|mattermost""), ""Productivity &amp; Communication"",
  REGEXMATCH(A1918&amp;B1918, ""(?i)github|api|webhook|http|mysql|supabase|mongodb|redis|rss|pr|code review|incident|p"&amp;"agerduty|jira""), ""Development &amp; Utilities"",
  TRUE, ""Others""
)"),"Development &amp; Utilities")</f>
        <v>Development &amp; Utilities</v>
      </c>
    </row>
    <row r="1919" ht="15.75" customHeight="1">
      <c r="A1919" s="14" t="s">
        <v>3808</v>
      </c>
      <c r="B1919" s="15" t="s">
        <v>3809</v>
      </c>
      <c r="C1919" s="16" t="s">
        <v>7</v>
      </c>
      <c r="D1919" s="12" t="str">
        <f>IFERROR(__xludf.DUMMYFUNCTION("IFS(
  REGEXMATCH(A1919&amp;B1919, ""(?i)openai|gpt|gemini|anthropic|claude|mistral|cohere|rag|vector|llm|chatbot|ai-powered""), ""AI &amp; LLM"",
  REGEXMATCH(A1919&amp;B1919, ""(?i)twitter|instagram|facebook|linkedin|youtube|tiktok|threads|bluesky|pinterest|social"&amp;" video|reels?|shorts?""), ""Social Media"",
  REGEXMATCH(A1919&amp;B1919, ""(?i)hubspot|pipedrive|stripe|shopify|woocommerce|sales|crm|invoice|order|leads?|recruitment|bamboohr|erpnext""), ""CRM &amp; Sales"",
  REGEXMATCH(A1919&amp;B1919, ""(?i)gmail|outlook|calenda"&amp;"r|slack|discord|telegram|whatsapp|notion|trello|drive|sheets?|meeting|scheduler|appointment|mattermost""), ""Productivity &amp; Communication"",
  REGEXMATCH(A1919&amp;B1919, ""(?i)github|api|webhook|http|mysql|supabase|mongodb|redis|rss|pr|code review|incident|p"&amp;"agerduty|jira""), ""Development &amp; Utilities"",
  TRUE, ""Others""
)"),"CRM &amp; Sales")</f>
        <v>CRM &amp; Sales</v>
      </c>
    </row>
    <row r="1920" ht="15.75" customHeight="1">
      <c r="A1920" s="14" t="s">
        <v>3810</v>
      </c>
      <c r="B1920" s="15" t="s">
        <v>3811</v>
      </c>
      <c r="C1920" s="16" t="s">
        <v>7</v>
      </c>
      <c r="D1920" s="12" t="str">
        <f>IFERROR(__xludf.DUMMYFUNCTION("IFS(
  REGEXMATCH(A1920&amp;B1920, ""(?i)openai|gpt|gemini|anthropic|claude|mistral|cohere|rag|vector|llm|chatbot|ai-powered""), ""AI &amp; LLM"",
  REGEXMATCH(A1920&amp;B1920, ""(?i)twitter|instagram|facebook|linkedin|youtube|tiktok|threads|bluesky|pinterest|social"&amp;" video|reels?|shorts?""), ""Social Media"",
  REGEXMATCH(A1920&amp;B1920, ""(?i)hubspot|pipedrive|stripe|shopify|woocommerce|sales|crm|invoice|order|leads?|recruitment|bamboohr|erpnext""), ""CRM &amp; Sales"",
  REGEXMATCH(A1920&amp;B1920, ""(?i)gmail|outlook|calenda"&amp;"r|slack|discord|telegram|whatsapp|notion|trello|drive|sheets?|meeting|scheduler|appointment|mattermost""), ""Productivity &amp; Communication"",
  REGEXMATCH(A1920&amp;B1920, ""(?i)github|api|webhook|http|mysql|supabase|mongodb|redis|rss|pr|code review|incident|p"&amp;"agerduty|jira""), ""Development &amp; Utilities"",
  TRUE, ""Others""
)"),"AI &amp; LLM")</f>
        <v>AI &amp; LLM</v>
      </c>
    </row>
    <row r="1921" ht="15.75" customHeight="1">
      <c r="A1921" s="14" t="s">
        <v>3812</v>
      </c>
      <c r="B1921" s="15" t="s">
        <v>3813</v>
      </c>
      <c r="C1921" s="16" t="s">
        <v>7</v>
      </c>
      <c r="D1921" s="12" t="str">
        <f>IFERROR(__xludf.DUMMYFUNCTION("IFS(
  REGEXMATCH(A1921&amp;B1921, ""(?i)openai|gpt|gemini|anthropic|claude|mistral|cohere|rag|vector|llm|chatbot|ai-powered""), ""AI &amp; LLM"",
  REGEXMATCH(A1921&amp;B1921, ""(?i)twitter|instagram|facebook|linkedin|youtube|tiktok|threads|bluesky|pinterest|social"&amp;" video|reels?|shorts?""), ""Social Media"",
  REGEXMATCH(A1921&amp;B1921, ""(?i)hubspot|pipedrive|stripe|shopify|woocommerce|sales|crm|invoice|order|leads?|recruitment|bamboohr|erpnext""), ""CRM &amp; Sales"",
  REGEXMATCH(A1921&amp;B1921, ""(?i)gmail|outlook|calenda"&amp;"r|slack|discord|telegram|whatsapp|notion|trello|drive|sheets?|meeting|scheduler|appointment|mattermost""), ""Productivity &amp; Communication"",
  REGEXMATCH(A1921&amp;B1921, ""(?i)github|api|webhook|http|mysql|supabase|mongodb|redis|rss|pr|code review|incident|p"&amp;"agerduty|jira""), ""Development &amp; Utilities"",
  TRUE, ""Others""
)"),"Development &amp; Utilities")</f>
        <v>Development &amp; Utilities</v>
      </c>
    </row>
    <row r="1922" ht="15.75" customHeight="1">
      <c r="A1922" s="14" t="s">
        <v>3814</v>
      </c>
      <c r="B1922" s="15" t="s">
        <v>3815</v>
      </c>
      <c r="C1922" s="16" t="s">
        <v>7</v>
      </c>
      <c r="D1922" s="12" t="str">
        <f>IFERROR(__xludf.DUMMYFUNCTION("IFS(
  REGEXMATCH(A1922&amp;B1922, ""(?i)openai|gpt|gemini|anthropic|claude|mistral|cohere|rag|vector|llm|chatbot|ai-powered""), ""AI &amp; LLM"",
  REGEXMATCH(A1922&amp;B1922, ""(?i)twitter|instagram|facebook|linkedin|youtube|tiktok|threads|bluesky|pinterest|social"&amp;" video|reels?|shorts?""), ""Social Media"",
  REGEXMATCH(A1922&amp;B1922, ""(?i)hubspot|pipedrive|stripe|shopify|woocommerce|sales|crm|invoice|order|leads?|recruitment|bamboohr|erpnext""), ""CRM &amp; Sales"",
  REGEXMATCH(A1922&amp;B1922, ""(?i)gmail|outlook|calenda"&amp;"r|slack|discord|telegram|whatsapp|notion|trello|drive|sheets?|meeting|scheduler|appointment|mattermost""), ""Productivity &amp; Communication"",
  REGEXMATCH(A1922&amp;B1922, ""(?i)github|api|webhook|http|mysql|supabase|mongodb|redis|rss|pr|code review|incident|p"&amp;"agerduty|jira""), ""Development &amp; Utilities"",
  TRUE, ""Others""
)"),"Development &amp; Utilities")</f>
        <v>Development &amp; Utilities</v>
      </c>
    </row>
    <row r="1923" ht="15.75" customHeight="1">
      <c r="A1923" s="14" t="s">
        <v>3816</v>
      </c>
      <c r="B1923" s="15" t="s">
        <v>3817</v>
      </c>
      <c r="C1923" s="16" t="s">
        <v>7</v>
      </c>
      <c r="D1923" s="12" t="str">
        <f>IFERROR(__xludf.DUMMYFUNCTION("IFS(
  REGEXMATCH(A1923&amp;B1923, ""(?i)openai|gpt|gemini|anthropic|claude|mistral|cohere|rag|vector|llm|chatbot|ai-powered""), ""AI &amp; LLM"",
  REGEXMATCH(A1923&amp;B1923, ""(?i)twitter|instagram|facebook|linkedin|youtube|tiktok|threads|bluesky|pinterest|social"&amp;" video|reels?|shorts?""), ""Social Media"",
  REGEXMATCH(A1923&amp;B1923, ""(?i)hubspot|pipedrive|stripe|shopify|woocommerce|sales|crm|invoice|order|leads?|recruitment|bamboohr|erpnext""), ""CRM &amp; Sales"",
  REGEXMATCH(A1923&amp;B1923, ""(?i)gmail|outlook|calenda"&amp;"r|slack|discord|telegram|whatsapp|notion|trello|drive|sheets?|meeting|scheduler|appointment|mattermost""), ""Productivity &amp; Communication"",
  REGEXMATCH(A1923&amp;B1923, ""(?i)github|api|webhook|http|mysql|supabase|mongodb|redis|rss|pr|code review|incident|p"&amp;"agerduty|jira""), ""Development &amp; Utilities"",
  TRUE, ""Others""
)"),"CRM &amp; Sales")</f>
        <v>CRM &amp; Sales</v>
      </c>
    </row>
    <row r="1924" ht="15.75" customHeight="1">
      <c r="A1924" s="14" t="s">
        <v>3818</v>
      </c>
      <c r="B1924" s="15" t="s">
        <v>3819</v>
      </c>
      <c r="C1924" s="16" t="s">
        <v>7</v>
      </c>
      <c r="D1924" s="12" t="str">
        <f>IFERROR(__xludf.DUMMYFUNCTION("IFS(
  REGEXMATCH(A1924&amp;B1924, ""(?i)openai|gpt|gemini|anthropic|claude|mistral|cohere|rag|vector|llm|chatbot|ai-powered""), ""AI &amp; LLM"",
  REGEXMATCH(A1924&amp;B1924, ""(?i)twitter|instagram|facebook|linkedin|youtube|tiktok|threads|bluesky|pinterest|social"&amp;" video|reels?|shorts?""), ""Social Media"",
  REGEXMATCH(A1924&amp;B1924, ""(?i)hubspot|pipedrive|stripe|shopify|woocommerce|sales|crm|invoice|order|leads?|recruitment|bamboohr|erpnext""), ""CRM &amp; Sales"",
  REGEXMATCH(A1924&amp;B1924, ""(?i)gmail|outlook|calenda"&amp;"r|slack|discord|telegram|whatsapp|notion|trello|drive|sheets?|meeting|scheduler|appointment|mattermost""), ""Productivity &amp; Communication"",
  REGEXMATCH(A1924&amp;B1924, ""(?i)github|api|webhook|http|mysql|supabase|mongodb|redis|rss|pr|code review|incident|p"&amp;"agerduty|jira""), ""Development &amp; Utilities"",
  TRUE, ""Others""
)"),"CRM &amp; Sales")</f>
        <v>CRM &amp; Sales</v>
      </c>
    </row>
    <row r="1925" ht="15.75" customHeight="1">
      <c r="A1925" s="14" t="s">
        <v>3820</v>
      </c>
      <c r="B1925" s="15" t="s">
        <v>3821</v>
      </c>
      <c r="C1925" s="16" t="s">
        <v>7</v>
      </c>
      <c r="D1925" s="12" t="str">
        <f>IFERROR(__xludf.DUMMYFUNCTION("IFS(
  REGEXMATCH(A1925&amp;B1925, ""(?i)openai|gpt|gemini|anthropic|claude|mistral|cohere|rag|vector|llm|chatbot|ai-powered""), ""AI &amp; LLM"",
  REGEXMATCH(A1925&amp;B1925, ""(?i)twitter|instagram|facebook|linkedin|youtube|tiktok|threads|bluesky|pinterest|social"&amp;" video|reels?|shorts?""), ""Social Media"",
  REGEXMATCH(A1925&amp;B1925, ""(?i)hubspot|pipedrive|stripe|shopify|woocommerce|sales|crm|invoice|order|leads?|recruitment|bamboohr|erpnext""), ""CRM &amp; Sales"",
  REGEXMATCH(A1925&amp;B1925, ""(?i)gmail|outlook|calenda"&amp;"r|slack|discord|telegram|whatsapp|notion|trello|drive|sheets?|meeting|scheduler|appointment|mattermost""), ""Productivity &amp; Communication"",
  REGEXMATCH(A1925&amp;B1925, ""(?i)github|api|webhook|http|mysql|supabase|mongodb|redis|rss|pr|code review|incident|p"&amp;"agerduty|jira""), ""Development &amp; Utilities"",
  TRUE, ""Others""
)"),"Development &amp; Utilities")</f>
        <v>Development &amp; Utilities</v>
      </c>
    </row>
    <row r="1926" ht="15.75" customHeight="1">
      <c r="A1926" s="14" t="s">
        <v>3822</v>
      </c>
      <c r="B1926" s="15" t="s">
        <v>3823</v>
      </c>
      <c r="C1926" s="16" t="s">
        <v>7</v>
      </c>
      <c r="D1926" s="12" t="str">
        <f>IFERROR(__xludf.DUMMYFUNCTION("IFS(
  REGEXMATCH(A1926&amp;B1926, ""(?i)openai|gpt|gemini|anthropic|claude|mistral|cohere|rag|vector|llm|chatbot|ai-powered""), ""AI &amp; LLM"",
  REGEXMATCH(A1926&amp;B1926, ""(?i)twitter|instagram|facebook|linkedin|youtube|tiktok|threads|bluesky|pinterest|social"&amp;" video|reels?|shorts?""), ""Social Media"",
  REGEXMATCH(A1926&amp;B1926, ""(?i)hubspot|pipedrive|stripe|shopify|woocommerce|sales|crm|invoice|order|leads?|recruitment|bamboohr|erpnext""), ""CRM &amp; Sales"",
  REGEXMATCH(A1926&amp;B1926, ""(?i)gmail|outlook|calenda"&amp;"r|slack|discord|telegram|whatsapp|notion|trello|drive|sheets?|meeting|scheduler|appointment|mattermost""), ""Productivity &amp; Communication"",
  REGEXMATCH(A1926&amp;B1926, ""(?i)github|api|webhook|http|mysql|supabase|mongodb|redis|rss|pr|code review|incident|p"&amp;"agerduty|jira""), ""Development &amp; Utilities"",
  TRUE, ""Others""
)"),"AI &amp; LLM")</f>
        <v>AI &amp; LLM</v>
      </c>
    </row>
    <row r="1927" ht="15.75" customHeight="1">
      <c r="A1927" s="14" t="s">
        <v>3824</v>
      </c>
      <c r="B1927" s="15" t="s">
        <v>3825</v>
      </c>
      <c r="C1927" s="16" t="s">
        <v>7</v>
      </c>
      <c r="D1927" s="12" t="str">
        <f>IFERROR(__xludf.DUMMYFUNCTION("IFS(
  REGEXMATCH(A1927&amp;B1927, ""(?i)openai|gpt|gemini|anthropic|claude|mistral|cohere|rag|vector|llm|chatbot|ai-powered""), ""AI &amp; LLM"",
  REGEXMATCH(A1927&amp;B1927, ""(?i)twitter|instagram|facebook|linkedin|youtube|tiktok|threads|bluesky|pinterest|social"&amp;" video|reels?|shorts?""), ""Social Media"",
  REGEXMATCH(A1927&amp;B1927, ""(?i)hubspot|pipedrive|stripe|shopify|woocommerce|sales|crm|invoice|order|leads?|recruitment|bamboohr|erpnext""), ""CRM &amp; Sales"",
  REGEXMATCH(A1927&amp;B1927, ""(?i)gmail|outlook|calenda"&amp;"r|slack|discord|telegram|whatsapp|notion|trello|drive|sheets?|meeting|scheduler|appointment|mattermost""), ""Productivity &amp; Communication"",
  REGEXMATCH(A1927&amp;B1927, ""(?i)github|api|webhook|http|mysql|supabase|mongodb|redis|rss|pr|code review|incident|p"&amp;"agerduty|jira""), ""Development &amp; Utilities"",
  TRUE, ""Others""
)"),"AI &amp; LLM")</f>
        <v>AI &amp; LLM</v>
      </c>
    </row>
    <row r="1928" ht="15.75" customHeight="1">
      <c r="A1928" s="14" t="s">
        <v>3826</v>
      </c>
      <c r="B1928" s="15" t="s">
        <v>3827</v>
      </c>
      <c r="C1928" s="16" t="s">
        <v>7</v>
      </c>
      <c r="D1928" s="12" t="str">
        <f>IFERROR(__xludf.DUMMYFUNCTION("IFS(
  REGEXMATCH(A1928&amp;B1928, ""(?i)openai|gpt|gemini|anthropic|claude|mistral|cohere|rag|vector|llm|chatbot|ai-powered""), ""AI &amp; LLM"",
  REGEXMATCH(A1928&amp;B1928, ""(?i)twitter|instagram|facebook|linkedin|youtube|tiktok|threads|bluesky|pinterest|social"&amp;" video|reels?|shorts?""), ""Social Media"",
  REGEXMATCH(A1928&amp;B1928, ""(?i)hubspot|pipedrive|stripe|shopify|woocommerce|sales|crm|invoice|order|leads?|recruitment|bamboohr|erpnext""), ""CRM &amp; Sales"",
  REGEXMATCH(A1928&amp;B1928, ""(?i)gmail|outlook|calenda"&amp;"r|slack|discord|telegram|whatsapp|notion|trello|drive|sheets?|meeting|scheduler|appointment|mattermost""), ""Productivity &amp; Communication"",
  REGEXMATCH(A1928&amp;B1928, ""(?i)github|api|webhook|http|mysql|supabase|mongodb|redis|rss|pr|code review|incident|p"&amp;"agerduty|jira""), ""Development &amp; Utilities"",
  TRUE, ""Others""
)"),"Development &amp; Utilities")</f>
        <v>Development &amp; Utilities</v>
      </c>
    </row>
    <row r="1929" ht="15.75" customHeight="1">
      <c r="A1929" s="14" t="s">
        <v>3828</v>
      </c>
      <c r="B1929" s="15" t="s">
        <v>3829</v>
      </c>
      <c r="C1929" s="16" t="s">
        <v>7</v>
      </c>
      <c r="D1929" s="12" t="str">
        <f>IFERROR(__xludf.DUMMYFUNCTION("IFS(
  REGEXMATCH(A1929&amp;B1929, ""(?i)openai|gpt|gemini|anthropic|claude|mistral|cohere|rag|vector|llm|chatbot|ai-powered""), ""AI &amp; LLM"",
  REGEXMATCH(A1929&amp;B1929, ""(?i)twitter|instagram|facebook|linkedin|youtube|tiktok|threads|bluesky|pinterest|social"&amp;" video|reels?|shorts?""), ""Social Media"",
  REGEXMATCH(A1929&amp;B1929, ""(?i)hubspot|pipedrive|stripe|shopify|woocommerce|sales|crm|invoice|order|leads?|recruitment|bamboohr|erpnext""), ""CRM &amp; Sales"",
  REGEXMATCH(A1929&amp;B1929, ""(?i)gmail|outlook|calenda"&amp;"r|slack|discord|telegram|whatsapp|notion|trello|drive|sheets?|meeting|scheduler|appointment|mattermost""), ""Productivity &amp; Communication"",
  REGEXMATCH(A1929&amp;B1929, ""(?i)github|api|webhook|http|mysql|supabase|mongodb|redis|rss|pr|code review|incident|p"&amp;"agerduty|jira""), ""Development &amp; Utilities"",
  TRUE, ""Others""
)"),"Development &amp; Utilities")</f>
        <v>Development &amp; Utilities</v>
      </c>
    </row>
    <row r="1930" ht="15.75" customHeight="1">
      <c r="A1930" s="14" t="s">
        <v>3830</v>
      </c>
      <c r="B1930" s="15" t="s">
        <v>3831</v>
      </c>
      <c r="C1930" s="16" t="s">
        <v>7</v>
      </c>
      <c r="D1930" s="12" t="str">
        <f>IFERROR(__xludf.DUMMYFUNCTION("IFS(
  REGEXMATCH(A1930&amp;B1930, ""(?i)openai|gpt|gemini|anthropic|claude|mistral|cohere|rag|vector|llm|chatbot|ai-powered""), ""AI &amp; LLM"",
  REGEXMATCH(A1930&amp;B1930, ""(?i)twitter|instagram|facebook|linkedin|youtube|tiktok|threads|bluesky|pinterest|social"&amp;" video|reels?|shorts?""), ""Social Media"",
  REGEXMATCH(A1930&amp;B1930, ""(?i)hubspot|pipedrive|stripe|shopify|woocommerce|sales|crm|invoice|order|leads?|recruitment|bamboohr|erpnext""), ""CRM &amp; Sales"",
  REGEXMATCH(A1930&amp;B1930, ""(?i)gmail|outlook|calenda"&amp;"r|slack|discord|telegram|whatsapp|notion|trello|drive|sheets?|meeting|scheduler|appointment|mattermost""), ""Productivity &amp; Communication"",
  REGEXMATCH(A1930&amp;B1930, ""(?i)github|api|webhook|http|mysql|supabase|mongodb|redis|rss|pr|code review|incident|p"&amp;"agerduty|jira""), ""Development &amp; Utilities"",
  TRUE, ""Others""
)"),"Development &amp; Utilities")</f>
        <v>Development &amp; Utilities</v>
      </c>
    </row>
    <row r="1931" ht="15.75" customHeight="1">
      <c r="A1931" s="14" t="s">
        <v>3832</v>
      </c>
      <c r="B1931" s="15" t="s">
        <v>3833</v>
      </c>
      <c r="C1931" s="16" t="s">
        <v>7</v>
      </c>
      <c r="D1931" s="12" t="str">
        <f>IFERROR(__xludf.DUMMYFUNCTION("IFS(
  REGEXMATCH(A1931&amp;B1931, ""(?i)openai|gpt|gemini|anthropic|claude|mistral|cohere|rag|vector|llm|chatbot|ai-powered""), ""AI &amp; LLM"",
  REGEXMATCH(A1931&amp;B1931, ""(?i)twitter|instagram|facebook|linkedin|youtube|tiktok|threads|bluesky|pinterest|social"&amp;" video|reels?|shorts?""), ""Social Media"",
  REGEXMATCH(A1931&amp;B1931, ""(?i)hubspot|pipedrive|stripe|shopify|woocommerce|sales|crm|invoice|order|leads?|recruitment|bamboohr|erpnext""), ""CRM &amp; Sales"",
  REGEXMATCH(A1931&amp;B1931, ""(?i)gmail|outlook|calenda"&amp;"r|slack|discord|telegram|whatsapp|notion|trello|drive|sheets?|meeting|scheduler|appointment|mattermost""), ""Productivity &amp; Communication"",
  REGEXMATCH(A1931&amp;B1931, ""(?i)github|api|webhook|http|mysql|supabase|mongodb|redis|rss|pr|code review|incident|p"&amp;"agerduty|jira""), ""Development &amp; Utilities"",
  TRUE, ""Others""
)"),"Others")</f>
        <v>Others</v>
      </c>
    </row>
    <row r="1932" ht="15.75" customHeight="1">
      <c r="A1932" s="14" t="s">
        <v>3834</v>
      </c>
      <c r="B1932" s="15" t="s">
        <v>3835</v>
      </c>
      <c r="C1932" s="16" t="s">
        <v>7</v>
      </c>
      <c r="D1932" s="12" t="str">
        <f>IFERROR(__xludf.DUMMYFUNCTION("IFS(
  REGEXMATCH(A1932&amp;B1932, ""(?i)openai|gpt|gemini|anthropic|claude|mistral|cohere|rag|vector|llm|chatbot|ai-powered""), ""AI &amp; LLM"",
  REGEXMATCH(A1932&amp;B1932, ""(?i)twitter|instagram|facebook|linkedin|youtube|tiktok|threads|bluesky|pinterest|social"&amp;" video|reels?|shorts?""), ""Social Media"",
  REGEXMATCH(A1932&amp;B1932, ""(?i)hubspot|pipedrive|stripe|shopify|woocommerce|sales|crm|invoice|order|leads?|recruitment|bamboohr|erpnext""), ""CRM &amp; Sales"",
  REGEXMATCH(A1932&amp;B1932, ""(?i)gmail|outlook|calenda"&amp;"r|slack|discord|telegram|whatsapp|notion|trello|drive|sheets?|meeting|scheduler|appointment|mattermost""), ""Productivity &amp; Communication"",
  REGEXMATCH(A1932&amp;B1932, ""(?i)github|api|webhook|http|mysql|supabase|mongodb|redis|rss|pr|code review|incident|p"&amp;"agerduty|jira""), ""Development &amp; Utilities"",
  TRUE, ""Others""
)"),"Others")</f>
        <v>Others</v>
      </c>
    </row>
    <row r="1933" ht="15.75" customHeight="1">
      <c r="A1933" s="14" t="s">
        <v>3836</v>
      </c>
      <c r="B1933" s="15" t="s">
        <v>3837</v>
      </c>
      <c r="C1933" s="16" t="s">
        <v>7</v>
      </c>
      <c r="D1933" s="12" t="str">
        <f>IFERROR(__xludf.DUMMYFUNCTION("IFS(
  REGEXMATCH(A1933&amp;B1933, ""(?i)openai|gpt|gemini|anthropic|claude|mistral|cohere|rag|vector|llm|chatbot|ai-powered""), ""AI &amp; LLM"",
  REGEXMATCH(A1933&amp;B1933, ""(?i)twitter|instagram|facebook|linkedin|youtube|tiktok|threads|bluesky|pinterest|social"&amp;" video|reels?|shorts?""), ""Social Media"",
  REGEXMATCH(A1933&amp;B1933, ""(?i)hubspot|pipedrive|stripe|shopify|woocommerce|sales|crm|invoice|order|leads?|recruitment|bamboohr|erpnext""), ""CRM &amp; Sales"",
  REGEXMATCH(A1933&amp;B1933, ""(?i)gmail|outlook|calenda"&amp;"r|slack|discord|telegram|whatsapp|notion|trello|drive|sheets?|meeting|scheduler|appointment|mattermost""), ""Productivity &amp; Communication"",
  REGEXMATCH(A1933&amp;B1933, ""(?i)github|api|webhook|http|mysql|supabase|mongodb|redis|rss|pr|code review|incident|p"&amp;"agerduty|jira""), ""Development &amp; Utilities"",
  TRUE, ""Others""
)"),"Development &amp; Utilities")</f>
        <v>Development &amp; Utilities</v>
      </c>
    </row>
    <row r="1934" ht="15.75" customHeight="1">
      <c r="A1934" s="14" t="s">
        <v>3838</v>
      </c>
      <c r="B1934" s="15" t="s">
        <v>3839</v>
      </c>
      <c r="C1934" s="16" t="s">
        <v>7</v>
      </c>
      <c r="D1934" s="12" t="str">
        <f>IFERROR(__xludf.DUMMYFUNCTION("IFS(
  REGEXMATCH(A1934&amp;B1934, ""(?i)openai|gpt|gemini|anthropic|claude|mistral|cohere|rag|vector|llm|chatbot|ai-powered""), ""AI &amp; LLM"",
  REGEXMATCH(A1934&amp;B1934, ""(?i)twitter|instagram|facebook|linkedin|youtube|tiktok|threads|bluesky|pinterest|social"&amp;" video|reels?|shorts?""), ""Social Media"",
  REGEXMATCH(A1934&amp;B1934, ""(?i)hubspot|pipedrive|stripe|shopify|woocommerce|sales|crm|invoice|order|leads?|recruitment|bamboohr|erpnext""), ""CRM &amp; Sales"",
  REGEXMATCH(A1934&amp;B1934, ""(?i)gmail|outlook|calenda"&amp;"r|slack|discord|telegram|whatsapp|notion|trello|drive|sheets?|meeting|scheduler|appointment|mattermost""), ""Productivity &amp; Communication"",
  REGEXMATCH(A1934&amp;B1934, ""(?i)github|api|webhook|http|mysql|supabase|mongodb|redis|rss|pr|code review|incident|p"&amp;"agerduty|jira""), ""Development &amp; Utilities"",
  TRUE, ""Others""
)"),"Development &amp; Utilities")</f>
        <v>Development &amp; Utilities</v>
      </c>
    </row>
    <row r="1935" ht="15.75" customHeight="1">
      <c r="A1935" s="14" t="s">
        <v>3840</v>
      </c>
      <c r="B1935" s="15" t="s">
        <v>3841</v>
      </c>
      <c r="C1935" s="16" t="s">
        <v>7</v>
      </c>
      <c r="D1935" s="12" t="str">
        <f>IFERROR(__xludf.DUMMYFUNCTION("IFS(
  REGEXMATCH(A1935&amp;B1935, ""(?i)openai|gpt|gemini|anthropic|claude|mistral|cohere|rag|vector|llm|chatbot|ai-powered""), ""AI &amp; LLM"",
  REGEXMATCH(A1935&amp;B1935, ""(?i)twitter|instagram|facebook|linkedin|youtube|tiktok|threads|bluesky|pinterest|social"&amp;" video|reels?|shorts?""), ""Social Media"",
  REGEXMATCH(A1935&amp;B1935, ""(?i)hubspot|pipedrive|stripe|shopify|woocommerce|sales|crm|invoice|order|leads?|recruitment|bamboohr|erpnext""), ""CRM &amp; Sales"",
  REGEXMATCH(A1935&amp;B1935, ""(?i)gmail|outlook|calenda"&amp;"r|slack|discord|telegram|whatsapp|notion|trello|drive|sheets?|meeting|scheduler|appointment|mattermost""), ""Productivity &amp; Communication"",
  REGEXMATCH(A1935&amp;B1935, ""(?i)github|api|webhook|http|mysql|supabase|mongodb|redis|rss|pr|code review|incident|p"&amp;"agerduty|jira""), ""Development &amp; Utilities"",
  TRUE, ""Others""
)"),"AI &amp; LLM")</f>
        <v>AI &amp; LLM</v>
      </c>
    </row>
    <row r="1936" ht="15.75" customHeight="1">
      <c r="A1936" s="14" t="s">
        <v>3842</v>
      </c>
      <c r="B1936" s="15" t="s">
        <v>3843</v>
      </c>
      <c r="C1936" s="16" t="s">
        <v>7</v>
      </c>
      <c r="D1936" s="12" t="str">
        <f>IFERROR(__xludf.DUMMYFUNCTION("IFS(
  REGEXMATCH(A1936&amp;B1936, ""(?i)openai|gpt|gemini|anthropic|claude|mistral|cohere|rag|vector|llm|chatbot|ai-powered""), ""AI &amp; LLM"",
  REGEXMATCH(A1936&amp;B1936, ""(?i)twitter|instagram|facebook|linkedin|youtube|tiktok|threads|bluesky|pinterest|social"&amp;" video|reels?|shorts?""), ""Social Media"",
  REGEXMATCH(A1936&amp;B1936, ""(?i)hubspot|pipedrive|stripe|shopify|woocommerce|sales|crm|invoice|order|leads?|recruitment|bamboohr|erpnext""), ""CRM &amp; Sales"",
  REGEXMATCH(A1936&amp;B1936, ""(?i)gmail|outlook|calenda"&amp;"r|slack|discord|telegram|whatsapp|notion|trello|drive|sheets?|meeting|scheduler|appointment|mattermost""), ""Productivity &amp; Communication"",
  REGEXMATCH(A1936&amp;B1936, ""(?i)github|api|webhook|http|mysql|supabase|mongodb|redis|rss|pr|code review|incident|p"&amp;"agerduty|jira""), ""Development &amp; Utilities"",
  TRUE, ""Others""
)"),"Development &amp; Utilities")</f>
        <v>Development &amp; Utilities</v>
      </c>
    </row>
    <row r="1937" ht="15.75" customHeight="1">
      <c r="A1937" s="14" t="s">
        <v>3844</v>
      </c>
      <c r="B1937" s="15" t="s">
        <v>3845</v>
      </c>
      <c r="C1937" s="16" t="s">
        <v>7</v>
      </c>
      <c r="D1937" s="12" t="str">
        <f>IFERROR(__xludf.DUMMYFUNCTION("IFS(
  REGEXMATCH(A1937&amp;B1937, ""(?i)openai|gpt|gemini|anthropic|claude|mistral|cohere|rag|vector|llm|chatbot|ai-powered""), ""AI &amp; LLM"",
  REGEXMATCH(A1937&amp;B1937, ""(?i)twitter|instagram|facebook|linkedin|youtube|tiktok|threads|bluesky|pinterest|social"&amp;" video|reels?|shorts?""), ""Social Media"",
  REGEXMATCH(A1937&amp;B1937, ""(?i)hubspot|pipedrive|stripe|shopify|woocommerce|sales|crm|invoice|order|leads?|recruitment|bamboohr|erpnext""), ""CRM &amp; Sales"",
  REGEXMATCH(A1937&amp;B1937, ""(?i)gmail|outlook|calenda"&amp;"r|slack|discord|telegram|whatsapp|notion|trello|drive|sheets?|meeting|scheduler|appointment|mattermost""), ""Productivity &amp; Communication"",
  REGEXMATCH(A1937&amp;B1937, ""(?i)github|api|webhook|http|mysql|supabase|mongodb|redis|rss|pr|code review|incident|p"&amp;"agerduty|jira""), ""Development &amp; Utilities"",
  TRUE, ""Others""
)"),"Development &amp; Utilities")</f>
        <v>Development &amp; Utilities</v>
      </c>
    </row>
    <row r="1938" ht="15.75" customHeight="1">
      <c r="A1938" s="14" t="s">
        <v>3846</v>
      </c>
      <c r="B1938" s="15" t="s">
        <v>3847</v>
      </c>
      <c r="C1938" s="16" t="s">
        <v>7</v>
      </c>
      <c r="D1938" s="12" t="str">
        <f>IFERROR(__xludf.DUMMYFUNCTION("IFS(
  REGEXMATCH(A1938&amp;B1938, ""(?i)openai|gpt|gemini|anthropic|claude|mistral|cohere|rag|vector|llm|chatbot|ai-powered""), ""AI &amp; LLM"",
  REGEXMATCH(A1938&amp;B1938, ""(?i)twitter|instagram|facebook|linkedin|youtube|tiktok|threads|bluesky|pinterest|social"&amp;" video|reels?|shorts?""), ""Social Media"",
  REGEXMATCH(A1938&amp;B1938, ""(?i)hubspot|pipedrive|stripe|shopify|woocommerce|sales|crm|invoice|order|leads?|recruitment|bamboohr|erpnext""), ""CRM &amp; Sales"",
  REGEXMATCH(A1938&amp;B1938, ""(?i)gmail|outlook|calenda"&amp;"r|slack|discord|telegram|whatsapp|notion|trello|drive|sheets?|meeting|scheduler|appointment|mattermost""), ""Productivity &amp; Communication"",
  REGEXMATCH(A1938&amp;B1938, ""(?i)github|api|webhook|http|mysql|supabase|mongodb|redis|rss|pr|code review|incident|p"&amp;"agerduty|jira""), ""Development &amp; Utilities"",
  TRUE, ""Others""
)"),"CRM &amp; Sales")</f>
        <v>CRM &amp; Sales</v>
      </c>
    </row>
    <row r="1939" ht="15.75" customHeight="1">
      <c r="A1939" s="14" t="s">
        <v>3848</v>
      </c>
      <c r="B1939" s="15" t="s">
        <v>3849</v>
      </c>
      <c r="C1939" s="16" t="s">
        <v>7</v>
      </c>
      <c r="D1939" s="12" t="str">
        <f>IFERROR(__xludf.DUMMYFUNCTION("IFS(
  REGEXMATCH(A1939&amp;B1939, ""(?i)openai|gpt|gemini|anthropic|claude|mistral|cohere|rag|vector|llm|chatbot|ai-powered""), ""AI &amp; LLM"",
  REGEXMATCH(A1939&amp;B1939, ""(?i)twitter|instagram|facebook|linkedin|youtube|tiktok|threads|bluesky|pinterest|social"&amp;" video|reels?|shorts?""), ""Social Media"",
  REGEXMATCH(A1939&amp;B1939, ""(?i)hubspot|pipedrive|stripe|shopify|woocommerce|sales|crm|invoice|order|leads?|recruitment|bamboohr|erpnext""), ""CRM &amp; Sales"",
  REGEXMATCH(A1939&amp;B1939, ""(?i)gmail|outlook|calenda"&amp;"r|slack|discord|telegram|whatsapp|notion|trello|drive|sheets?|meeting|scheduler|appointment|mattermost""), ""Productivity &amp; Communication"",
  REGEXMATCH(A1939&amp;B1939, ""(?i)github|api|webhook|http|mysql|supabase|mongodb|redis|rss|pr|code review|incident|p"&amp;"agerduty|jira""), ""Development &amp; Utilities"",
  TRUE, ""Others""
)"),"Development &amp; Utilities")</f>
        <v>Development &amp; Utilities</v>
      </c>
    </row>
    <row r="1940" ht="15.75" customHeight="1">
      <c r="A1940" s="14" t="s">
        <v>3850</v>
      </c>
      <c r="B1940" s="15" t="s">
        <v>3851</v>
      </c>
      <c r="C1940" s="16" t="s">
        <v>7</v>
      </c>
      <c r="D1940" s="12" t="str">
        <f>IFERROR(__xludf.DUMMYFUNCTION("IFS(
  REGEXMATCH(A1940&amp;B1940, ""(?i)openai|gpt|gemini|anthropic|claude|mistral|cohere|rag|vector|llm|chatbot|ai-powered""), ""AI &amp; LLM"",
  REGEXMATCH(A1940&amp;B1940, ""(?i)twitter|instagram|facebook|linkedin|youtube|tiktok|threads|bluesky|pinterest|social"&amp;" video|reels?|shorts?""), ""Social Media"",
  REGEXMATCH(A1940&amp;B1940, ""(?i)hubspot|pipedrive|stripe|shopify|woocommerce|sales|crm|invoice|order|leads?|recruitment|bamboohr|erpnext""), ""CRM &amp; Sales"",
  REGEXMATCH(A1940&amp;B1940, ""(?i)gmail|outlook|calenda"&amp;"r|slack|discord|telegram|whatsapp|notion|trello|drive|sheets?|meeting|scheduler|appointment|mattermost""), ""Productivity &amp; Communication"",
  REGEXMATCH(A1940&amp;B1940, ""(?i)github|api|webhook|http|mysql|supabase|mongodb|redis|rss|pr|code review|incident|p"&amp;"agerduty|jira""), ""Development &amp; Utilities"",
  TRUE, ""Others""
)"),"Development &amp; Utilities")</f>
        <v>Development &amp; Utilities</v>
      </c>
    </row>
    <row r="1941" ht="15.75" customHeight="1">
      <c r="A1941" s="14" t="s">
        <v>3852</v>
      </c>
      <c r="B1941" s="15" t="s">
        <v>3853</v>
      </c>
      <c r="C1941" s="16" t="s">
        <v>7</v>
      </c>
      <c r="D1941" s="12" t="str">
        <f>IFERROR(__xludf.DUMMYFUNCTION("IFS(
  REGEXMATCH(A1941&amp;B1941, ""(?i)openai|gpt|gemini|anthropic|claude|mistral|cohere|rag|vector|llm|chatbot|ai-powered""), ""AI &amp; LLM"",
  REGEXMATCH(A1941&amp;B1941, ""(?i)twitter|instagram|facebook|linkedin|youtube|tiktok|threads|bluesky|pinterest|social"&amp;" video|reels?|shorts?""), ""Social Media"",
  REGEXMATCH(A1941&amp;B1941, ""(?i)hubspot|pipedrive|stripe|shopify|woocommerce|sales|crm|invoice|order|leads?|recruitment|bamboohr|erpnext""), ""CRM &amp; Sales"",
  REGEXMATCH(A1941&amp;B1941, ""(?i)gmail|outlook|calenda"&amp;"r|slack|discord|telegram|whatsapp|notion|trello|drive|sheets?|meeting|scheduler|appointment|mattermost""), ""Productivity &amp; Communication"",
  REGEXMATCH(A1941&amp;B1941, ""(?i)github|api|webhook|http|mysql|supabase|mongodb|redis|rss|pr|code review|incident|p"&amp;"agerduty|jira""), ""Development &amp; Utilities"",
  TRUE, ""Others""
)"),"Development &amp; Utilities")</f>
        <v>Development &amp; Utilities</v>
      </c>
    </row>
    <row r="1942" ht="15.75" customHeight="1">
      <c r="A1942" s="14" t="s">
        <v>3854</v>
      </c>
      <c r="B1942" s="15" t="s">
        <v>3855</v>
      </c>
      <c r="C1942" s="16" t="s">
        <v>7</v>
      </c>
      <c r="D1942" s="12" t="str">
        <f>IFERROR(__xludf.DUMMYFUNCTION("IFS(
  REGEXMATCH(A1942&amp;B1942, ""(?i)openai|gpt|gemini|anthropic|claude|mistral|cohere|rag|vector|llm|chatbot|ai-powered""), ""AI &amp; LLM"",
  REGEXMATCH(A1942&amp;B1942, ""(?i)twitter|instagram|facebook|linkedin|youtube|tiktok|threads|bluesky|pinterest|social"&amp;" video|reels?|shorts?""), ""Social Media"",
  REGEXMATCH(A1942&amp;B1942, ""(?i)hubspot|pipedrive|stripe|shopify|woocommerce|sales|crm|invoice|order|leads?|recruitment|bamboohr|erpnext""), ""CRM &amp; Sales"",
  REGEXMATCH(A1942&amp;B1942, ""(?i)gmail|outlook|calenda"&amp;"r|slack|discord|telegram|whatsapp|notion|trello|drive|sheets?|meeting|scheduler|appointment|mattermost""), ""Productivity &amp; Communication"",
  REGEXMATCH(A1942&amp;B1942, ""(?i)github|api|webhook|http|mysql|supabase|mongodb|redis|rss|pr|code review|incident|p"&amp;"agerduty|jira""), ""Development &amp; Utilities"",
  TRUE, ""Others""
)"),"Development &amp; Utilities")</f>
        <v>Development &amp; Utilities</v>
      </c>
    </row>
    <row r="1943" ht="15.75" customHeight="1">
      <c r="A1943" s="14" t="s">
        <v>3856</v>
      </c>
      <c r="B1943" s="15" t="s">
        <v>3857</v>
      </c>
      <c r="C1943" s="16" t="s">
        <v>7</v>
      </c>
      <c r="D1943" s="12" t="str">
        <f>IFERROR(__xludf.DUMMYFUNCTION("IFS(
  REGEXMATCH(A1943&amp;B1943, ""(?i)openai|gpt|gemini|anthropic|claude|mistral|cohere|rag|vector|llm|chatbot|ai-powered""), ""AI &amp; LLM"",
  REGEXMATCH(A1943&amp;B1943, ""(?i)twitter|instagram|facebook|linkedin|youtube|tiktok|threads|bluesky|pinterest|social"&amp;" video|reels?|shorts?""), ""Social Media"",
  REGEXMATCH(A1943&amp;B1943, ""(?i)hubspot|pipedrive|stripe|shopify|woocommerce|sales|crm|invoice|order|leads?|recruitment|bamboohr|erpnext""), ""CRM &amp; Sales"",
  REGEXMATCH(A1943&amp;B1943, ""(?i)gmail|outlook|calenda"&amp;"r|slack|discord|telegram|whatsapp|notion|trello|drive|sheets?|meeting|scheduler|appointment|mattermost""), ""Productivity &amp; Communication"",
  REGEXMATCH(A1943&amp;B1943, ""(?i)github|api|webhook|http|mysql|supabase|mongodb|redis|rss|pr|code review|incident|p"&amp;"agerduty|jira""), ""Development &amp; Utilities"",
  TRUE, ""Others""
)"),"Development &amp; Utilities")</f>
        <v>Development &amp; Utilities</v>
      </c>
    </row>
    <row r="1944" ht="15.75" customHeight="1">
      <c r="A1944" s="14" t="s">
        <v>3858</v>
      </c>
      <c r="B1944" s="15" t="s">
        <v>3859</v>
      </c>
      <c r="C1944" s="16" t="s">
        <v>7</v>
      </c>
      <c r="D1944" s="12" t="str">
        <f>IFERROR(__xludf.DUMMYFUNCTION("IFS(
  REGEXMATCH(A1944&amp;B1944, ""(?i)openai|gpt|gemini|anthropic|claude|mistral|cohere|rag|vector|llm|chatbot|ai-powered""), ""AI &amp; LLM"",
  REGEXMATCH(A1944&amp;B1944, ""(?i)twitter|instagram|facebook|linkedin|youtube|tiktok|threads|bluesky|pinterest|social"&amp;" video|reels?|shorts?""), ""Social Media"",
  REGEXMATCH(A1944&amp;B1944, ""(?i)hubspot|pipedrive|stripe|shopify|woocommerce|sales|crm|invoice|order|leads?|recruitment|bamboohr|erpnext""), ""CRM &amp; Sales"",
  REGEXMATCH(A1944&amp;B1944, ""(?i)gmail|outlook|calenda"&amp;"r|slack|discord|telegram|whatsapp|notion|trello|drive|sheets?|meeting|scheduler|appointment|mattermost""), ""Productivity &amp; Communication"",
  REGEXMATCH(A1944&amp;B1944, ""(?i)github|api|webhook|http|mysql|supabase|mongodb|redis|rss|pr|code review|incident|p"&amp;"agerduty|jira""), ""Development &amp; Utilities"",
  TRUE, ""Others""
)"),"AI &amp; LLM")</f>
        <v>AI &amp; LLM</v>
      </c>
    </row>
    <row r="1945" ht="15.75" customHeight="1">
      <c r="A1945" s="14" t="s">
        <v>3860</v>
      </c>
      <c r="B1945" s="15" t="s">
        <v>3861</v>
      </c>
      <c r="C1945" s="16" t="s">
        <v>7</v>
      </c>
      <c r="D1945" s="12" t="str">
        <f>IFERROR(__xludf.DUMMYFUNCTION("IFS(
  REGEXMATCH(A1945&amp;B1945, ""(?i)openai|gpt|gemini|anthropic|claude|mistral|cohere|rag|vector|llm|chatbot|ai-powered""), ""AI &amp; LLM"",
  REGEXMATCH(A1945&amp;B1945, ""(?i)twitter|instagram|facebook|linkedin|youtube|tiktok|threads|bluesky|pinterest|social"&amp;" video|reels?|shorts?""), ""Social Media"",
  REGEXMATCH(A1945&amp;B1945, ""(?i)hubspot|pipedrive|stripe|shopify|woocommerce|sales|crm|invoice|order|leads?|recruitment|bamboohr|erpnext""), ""CRM &amp; Sales"",
  REGEXMATCH(A1945&amp;B1945, ""(?i)gmail|outlook|calenda"&amp;"r|slack|discord|telegram|whatsapp|notion|trello|drive|sheets?|meeting|scheduler|appointment|mattermost""), ""Productivity &amp; Communication"",
  REGEXMATCH(A1945&amp;B1945, ""(?i)github|api|webhook|http|mysql|supabase|mongodb|redis|rss|pr|code review|incident|p"&amp;"agerduty|jira""), ""Development &amp; Utilities"",
  TRUE, ""Others""
)"),"Development &amp; Utilities")</f>
        <v>Development &amp; Utilities</v>
      </c>
    </row>
    <row r="1946" ht="15.75" customHeight="1">
      <c r="A1946" s="14" t="s">
        <v>3862</v>
      </c>
      <c r="B1946" s="15" t="s">
        <v>3863</v>
      </c>
      <c r="C1946" s="16" t="s">
        <v>7</v>
      </c>
      <c r="D1946" s="12" t="str">
        <f>IFERROR(__xludf.DUMMYFUNCTION("IFS(
  REGEXMATCH(A1946&amp;B1946, ""(?i)openai|gpt|gemini|anthropic|claude|mistral|cohere|rag|vector|llm|chatbot|ai-powered""), ""AI &amp; LLM"",
  REGEXMATCH(A1946&amp;B1946, ""(?i)twitter|instagram|facebook|linkedin|youtube|tiktok|threads|bluesky|pinterest|social"&amp;" video|reels?|shorts?""), ""Social Media"",
  REGEXMATCH(A1946&amp;B1946, ""(?i)hubspot|pipedrive|stripe|shopify|woocommerce|sales|crm|invoice|order|leads?|recruitment|bamboohr|erpnext""), ""CRM &amp; Sales"",
  REGEXMATCH(A1946&amp;B1946, ""(?i)gmail|outlook|calenda"&amp;"r|slack|discord|telegram|whatsapp|notion|trello|drive|sheets?|meeting|scheduler|appointment|mattermost""), ""Productivity &amp; Communication"",
  REGEXMATCH(A1946&amp;B1946, ""(?i)github|api|webhook|http|mysql|supabase|mongodb|redis|rss|pr|code review|incident|p"&amp;"agerduty|jira""), ""Development &amp; Utilities"",
  TRUE, ""Others""
)"),"Development &amp; Utilities")</f>
        <v>Development &amp; Utilities</v>
      </c>
    </row>
    <row r="1947" ht="15.75" customHeight="1">
      <c r="A1947" s="14" t="s">
        <v>3864</v>
      </c>
      <c r="B1947" s="15" t="s">
        <v>3865</v>
      </c>
      <c r="C1947" s="16" t="s">
        <v>7</v>
      </c>
      <c r="D1947" s="12" t="str">
        <f>IFERROR(__xludf.DUMMYFUNCTION("IFS(
  REGEXMATCH(A1947&amp;B1947, ""(?i)openai|gpt|gemini|anthropic|claude|mistral|cohere|rag|vector|llm|chatbot|ai-powered""), ""AI &amp; LLM"",
  REGEXMATCH(A1947&amp;B1947, ""(?i)twitter|instagram|facebook|linkedin|youtube|tiktok|threads|bluesky|pinterest|social"&amp;" video|reels?|shorts?""), ""Social Media"",
  REGEXMATCH(A1947&amp;B1947, ""(?i)hubspot|pipedrive|stripe|shopify|woocommerce|sales|crm|invoice|order|leads?|recruitment|bamboohr|erpnext""), ""CRM &amp; Sales"",
  REGEXMATCH(A1947&amp;B1947, ""(?i)gmail|outlook|calenda"&amp;"r|slack|discord|telegram|whatsapp|notion|trello|drive|sheets?|meeting|scheduler|appointment|mattermost""), ""Productivity &amp; Communication"",
  REGEXMATCH(A1947&amp;B1947, ""(?i)github|api|webhook|http|mysql|supabase|mongodb|redis|rss|pr|code review|incident|p"&amp;"agerduty|jira""), ""Development &amp; Utilities"",
  TRUE, ""Others""
)"),"Social Media")</f>
        <v>Social Media</v>
      </c>
    </row>
    <row r="1948" ht="15.75" customHeight="1">
      <c r="A1948" s="14" t="s">
        <v>3866</v>
      </c>
      <c r="B1948" s="15" t="s">
        <v>3867</v>
      </c>
      <c r="C1948" s="16" t="s">
        <v>7</v>
      </c>
      <c r="D1948" s="12" t="str">
        <f>IFERROR(__xludf.DUMMYFUNCTION("IFS(
  REGEXMATCH(A1948&amp;B1948, ""(?i)openai|gpt|gemini|anthropic|claude|mistral|cohere|rag|vector|llm|chatbot|ai-powered""), ""AI &amp; LLM"",
  REGEXMATCH(A1948&amp;B1948, ""(?i)twitter|instagram|facebook|linkedin|youtube|tiktok|threads|bluesky|pinterest|social"&amp;" video|reels?|shorts?""), ""Social Media"",
  REGEXMATCH(A1948&amp;B1948, ""(?i)hubspot|pipedrive|stripe|shopify|woocommerce|sales|crm|invoice|order|leads?|recruitment|bamboohr|erpnext""), ""CRM &amp; Sales"",
  REGEXMATCH(A1948&amp;B1948, ""(?i)gmail|outlook|calenda"&amp;"r|slack|discord|telegram|whatsapp|notion|trello|drive|sheets?|meeting|scheduler|appointment|mattermost""), ""Productivity &amp; Communication"",
  REGEXMATCH(A1948&amp;B1948, ""(?i)github|api|webhook|http|mysql|supabase|mongodb|redis|rss|pr|code review|incident|p"&amp;"agerduty|jira""), ""Development &amp; Utilities"",
  TRUE, ""Others""
)"),"Others")</f>
        <v>Others</v>
      </c>
    </row>
    <row r="1949" ht="15.75" customHeight="1">
      <c r="A1949" s="14" t="s">
        <v>3868</v>
      </c>
      <c r="B1949" s="15" t="s">
        <v>3869</v>
      </c>
      <c r="C1949" s="16" t="s">
        <v>7</v>
      </c>
      <c r="D1949" s="12" t="str">
        <f>IFERROR(__xludf.DUMMYFUNCTION("IFS(
  REGEXMATCH(A1949&amp;B1949, ""(?i)openai|gpt|gemini|anthropic|claude|mistral|cohere|rag|vector|llm|chatbot|ai-powered""), ""AI &amp; LLM"",
  REGEXMATCH(A1949&amp;B1949, ""(?i)twitter|instagram|facebook|linkedin|youtube|tiktok|threads|bluesky|pinterest|social"&amp;" video|reels?|shorts?""), ""Social Media"",
  REGEXMATCH(A1949&amp;B1949, ""(?i)hubspot|pipedrive|stripe|shopify|woocommerce|sales|crm|invoice|order|leads?|recruitment|bamboohr|erpnext""), ""CRM &amp; Sales"",
  REGEXMATCH(A1949&amp;B1949, ""(?i)gmail|outlook|calenda"&amp;"r|slack|discord|telegram|whatsapp|notion|trello|drive|sheets?|meeting|scheduler|appointment|mattermost""), ""Productivity &amp; Communication"",
  REGEXMATCH(A1949&amp;B1949, ""(?i)github|api|webhook|http|mysql|supabase|mongodb|redis|rss|pr|code review|incident|p"&amp;"agerduty|jira""), ""Development &amp; Utilities"",
  TRUE, ""Others""
)"),"Development &amp; Utilities")</f>
        <v>Development &amp; Utilities</v>
      </c>
    </row>
    <row r="1950" ht="15.75" customHeight="1">
      <c r="A1950" s="14" t="s">
        <v>3870</v>
      </c>
      <c r="B1950" s="15" t="s">
        <v>3871</v>
      </c>
      <c r="C1950" s="16" t="s">
        <v>7</v>
      </c>
      <c r="D1950" s="12" t="str">
        <f>IFERROR(__xludf.DUMMYFUNCTION("IFS(
  REGEXMATCH(A1950&amp;B1950, ""(?i)openai|gpt|gemini|anthropic|claude|mistral|cohere|rag|vector|llm|chatbot|ai-powered""), ""AI &amp; LLM"",
  REGEXMATCH(A1950&amp;B1950, ""(?i)twitter|instagram|facebook|linkedin|youtube|tiktok|threads|bluesky|pinterest|social"&amp;" video|reels?|shorts?""), ""Social Media"",
  REGEXMATCH(A1950&amp;B1950, ""(?i)hubspot|pipedrive|stripe|shopify|woocommerce|sales|crm|invoice|order|leads?|recruitment|bamboohr|erpnext""), ""CRM &amp; Sales"",
  REGEXMATCH(A1950&amp;B1950, ""(?i)gmail|outlook|calenda"&amp;"r|slack|discord|telegram|whatsapp|notion|trello|drive|sheets?|meeting|scheduler|appointment|mattermost""), ""Productivity &amp; Communication"",
  REGEXMATCH(A1950&amp;B1950, ""(?i)github|api|webhook|http|mysql|supabase|mongodb|redis|rss|pr|code review|incident|p"&amp;"agerduty|jira""), ""Development &amp; Utilities"",
  TRUE, ""Others""
)"),"Others")</f>
        <v>Others</v>
      </c>
    </row>
    <row r="1951" ht="15.75" customHeight="1">
      <c r="A1951" s="14" t="s">
        <v>3872</v>
      </c>
      <c r="B1951" s="15" t="s">
        <v>3873</v>
      </c>
      <c r="C1951" s="16" t="s">
        <v>7</v>
      </c>
      <c r="D1951" s="12" t="str">
        <f>IFERROR(__xludf.DUMMYFUNCTION("IFS(
  REGEXMATCH(A1951&amp;B1951, ""(?i)openai|gpt|gemini|anthropic|claude|mistral|cohere|rag|vector|llm|chatbot|ai-powered""), ""AI &amp; LLM"",
  REGEXMATCH(A1951&amp;B1951, ""(?i)twitter|instagram|facebook|linkedin|youtube|tiktok|threads|bluesky|pinterest|social"&amp;" video|reels?|shorts?""), ""Social Media"",
  REGEXMATCH(A1951&amp;B1951, ""(?i)hubspot|pipedrive|stripe|shopify|woocommerce|sales|crm|invoice|order|leads?|recruitment|bamboohr|erpnext""), ""CRM &amp; Sales"",
  REGEXMATCH(A1951&amp;B1951, ""(?i)gmail|outlook|calenda"&amp;"r|slack|discord|telegram|whatsapp|notion|trello|drive|sheets?|meeting|scheduler|appointment|mattermost""), ""Productivity &amp; Communication"",
  REGEXMATCH(A1951&amp;B1951, ""(?i)github|api|webhook|http|mysql|supabase|mongodb|redis|rss|pr|code review|incident|p"&amp;"agerduty|jira""), ""Development &amp; Utilities"",
  TRUE, ""Others""
)"),"Development &amp; Utilities")</f>
        <v>Development &amp; Utilities</v>
      </c>
    </row>
    <row r="1952" ht="15.75" customHeight="1">
      <c r="A1952" s="14" t="s">
        <v>3874</v>
      </c>
      <c r="B1952" s="15" t="s">
        <v>3875</v>
      </c>
      <c r="C1952" s="16" t="s">
        <v>7</v>
      </c>
      <c r="D1952" s="12" t="str">
        <f>IFERROR(__xludf.DUMMYFUNCTION("IFS(
  REGEXMATCH(A1952&amp;B1952, ""(?i)openai|gpt|gemini|anthropic|claude|mistral|cohere|rag|vector|llm|chatbot|ai-powered""), ""AI &amp; LLM"",
  REGEXMATCH(A1952&amp;B1952, ""(?i)twitter|instagram|facebook|linkedin|youtube|tiktok|threads|bluesky|pinterest|social"&amp;" video|reels?|shorts?""), ""Social Media"",
  REGEXMATCH(A1952&amp;B1952, ""(?i)hubspot|pipedrive|stripe|shopify|woocommerce|sales|crm|invoice|order|leads?|recruitment|bamboohr|erpnext""), ""CRM &amp; Sales"",
  REGEXMATCH(A1952&amp;B1952, ""(?i)gmail|outlook|calenda"&amp;"r|slack|discord|telegram|whatsapp|notion|trello|drive|sheets?|meeting|scheduler|appointment|mattermost""), ""Productivity &amp; Communication"",
  REGEXMATCH(A1952&amp;B1952, ""(?i)github|api|webhook|http|mysql|supabase|mongodb|redis|rss|pr|code review|incident|p"&amp;"agerduty|jira""), ""Development &amp; Utilities"",
  TRUE, ""Others""
)"),"Development &amp; Utilities")</f>
        <v>Development &amp; Utilities</v>
      </c>
    </row>
    <row r="1953" ht="15.75" customHeight="1">
      <c r="A1953" s="14" t="s">
        <v>3876</v>
      </c>
      <c r="B1953" s="15" t="s">
        <v>3877</v>
      </c>
      <c r="C1953" s="16" t="s">
        <v>7</v>
      </c>
      <c r="D1953" s="12" t="str">
        <f>IFERROR(__xludf.DUMMYFUNCTION("IFS(
  REGEXMATCH(A1953&amp;B1953, ""(?i)openai|gpt|gemini|anthropic|claude|mistral|cohere|rag|vector|llm|chatbot|ai-powered""), ""AI &amp; LLM"",
  REGEXMATCH(A1953&amp;B1953, ""(?i)twitter|instagram|facebook|linkedin|youtube|tiktok|threads|bluesky|pinterest|social"&amp;" video|reels?|shorts?""), ""Social Media"",
  REGEXMATCH(A1953&amp;B1953, ""(?i)hubspot|pipedrive|stripe|shopify|woocommerce|sales|crm|invoice|order|leads?|recruitment|bamboohr|erpnext""), ""CRM &amp; Sales"",
  REGEXMATCH(A1953&amp;B1953, ""(?i)gmail|outlook|calenda"&amp;"r|slack|discord|telegram|whatsapp|notion|trello|drive|sheets?|meeting|scheduler|appointment|mattermost""), ""Productivity &amp; Communication"",
  REGEXMATCH(A1953&amp;B1953, ""(?i)github|api|webhook|http|mysql|supabase|mongodb|redis|rss|pr|code review|incident|p"&amp;"agerduty|jira""), ""Development &amp; Utilities"",
  TRUE, ""Others""
)"),"Others")</f>
        <v>Others</v>
      </c>
    </row>
    <row r="1954" ht="15.75" customHeight="1">
      <c r="A1954" s="14" t="s">
        <v>3878</v>
      </c>
      <c r="B1954" s="15" t="s">
        <v>3879</v>
      </c>
      <c r="C1954" s="16" t="s">
        <v>7</v>
      </c>
      <c r="D1954" s="12" t="str">
        <f>IFERROR(__xludf.DUMMYFUNCTION("IFS(
  REGEXMATCH(A1954&amp;B1954, ""(?i)openai|gpt|gemini|anthropic|claude|mistral|cohere|rag|vector|llm|chatbot|ai-powered""), ""AI &amp; LLM"",
  REGEXMATCH(A1954&amp;B1954, ""(?i)twitter|instagram|facebook|linkedin|youtube|tiktok|threads|bluesky|pinterest|social"&amp;" video|reels?|shorts?""), ""Social Media"",
  REGEXMATCH(A1954&amp;B1954, ""(?i)hubspot|pipedrive|stripe|shopify|woocommerce|sales|crm|invoice|order|leads?|recruitment|bamboohr|erpnext""), ""CRM &amp; Sales"",
  REGEXMATCH(A1954&amp;B1954, ""(?i)gmail|outlook|calenda"&amp;"r|slack|discord|telegram|whatsapp|notion|trello|drive|sheets?|meeting|scheduler|appointment|mattermost""), ""Productivity &amp; Communication"",
  REGEXMATCH(A1954&amp;B1954, ""(?i)github|api|webhook|http|mysql|supabase|mongodb|redis|rss|pr|code review|incident|p"&amp;"agerduty|jira""), ""Development &amp; Utilities"",
  TRUE, ""Others""
)"),"Development &amp; Utilities")</f>
        <v>Development &amp; Utilities</v>
      </c>
    </row>
    <row r="1955" ht="15.75" customHeight="1">
      <c r="A1955" s="14" t="s">
        <v>3880</v>
      </c>
      <c r="B1955" s="15" t="s">
        <v>3881</v>
      </c>
      <c r="C1955" s="16" t="s">
        <v>7</v>
      </c>
      <c r="D1955" s="12" t="str">
        <f>IFERROR(__xludf.DUMMYFUNCTION("IFS(
  REGEXMATCH(A1955&amp;B1955, ""(?i)openai|gpt|gemini|anthropic|claude|mistral|cohere|rag|vector|llm|chatbot|ai-powered""), ""AI &amp; LLM"",
  REGEXMATCH(A1955&amp;B1955, ""(?i)twitter|instagram|facebook|linkedin|youtube|tiktok|threads|bluesky|pinterest|social"&amp;" video|reels?|shorts?""), ""Social Media"",
  REGEXMATCH(A1955&amp;B1955, ""(?i)hubspot|pipedrive|stripe|shopify|woocommerce|sales|crm|invoice|order|leads?|recruitment|bamboohr|erpnext""), ""CRM &amp; Sales"",
  REGEXMATCH(A1955&amp;B1955, ""(?i)gmail|outlook|calenda"&amp;"r|slack|discord|telegram|whatsapp|notion|trello|drive|sheets?|meeting|scheduler|appointment|mattermost""), ""Productivity &amp; Communication"",
  REGEXMATCH(A1955&amp;B1955, ""(?i)github|api|webhook|http|mysql|supabase|mongodb|redis|rss|pr|code review|incident|p"&amp;"agerduty|jira""), ""Development &amp; Utilities"",
  TRUE, ""Others""
)"),"Development &amp; Utilities")</f>
        <v>Development &amp; Utilities</v>
      </c>
    </row>
    <row r="1956" ht="15.75" customHeight="1">
      <c r="A1956" s="14" t="s">
        <v>3882</v>
      </c>
      <c r="B1956" s="15" t="s">
        <v>3883</v>
      </c>
      <c r="C1956" s="16" t="s">
        <v>7</v>
      </c>
      <c r="D1956" s="12" t="str">
        <f>IFERROR(__xludf.DUMMYFUNCTION("IFS(
  REGEXMATCH(A1956&amp;B1956, ""(?i)openai|gpt|gemini|anthropic|claude|mistral|cohere|rag|vector|llm|chatbot|ai-powered""), ""AI &amp; LLM"",
  REGEXMATCH(A1956&amp;B1956, ""(?i)twitter|instagram|facebook|linkedin|youtube|tiktok|threads|bluesky|pinterest|social"&amp;" video|reels?|shorts?""), ""Social Media"",
  REGEXMATCH(A1956&amp;B1956, ""(?i)hubspot|pipedrive|stripe|shopify|woocommerce|sales|crm|invoice|order|leads?|recruitment|bamboohr|erpnext""), ""CRM &amp; Sales"",
  REGEXMATCH(A1956&amp;B1956, ""(?i)gmail|outlook|calenda"&amp;"r|slack|discord|telegram|whatsapp|notion|trello|drive|sheets?|meeting|scheduler|appointment|mattermost""), ""Productivity &amp; Communication"",
  REGEXMATCH(A1956&amp;B1956, ""(?i)github|api|webhook|http|mysql|supabase|mongodb|redis|rss|pr|code review|incident|p"&amp;"agerduty|jira""), ""Development &amp; Utilities"",
  TRUE, ""Others""
)"),"Others")</f>
        <v>Others</v>
      </c>
    </row>
    <row r="1957" ht="15.75" customHeight="1">
      <c r="A1957" s="14" t="s">
        <v>3884</v>
      </c>
      <c r="B1957" s="15" t="s">
        <v>3885</v>
      </c>
      <c r="C1957" s="16" t="s">
        <v>7</v>
      </c>
      <c r="D1957" s="12" t="str">
        <f>IFERROR(__xludf.DUMMYFUNCTION("IFS(
  REGEXMATCH(A1957&amp;B1957, ""(?i)openai|gpt|gemini|anthropic|claude|mistral|cohere|rag|vector|llm|chatbot|ai-powered""), ""AI &amp; LLM"",
  REGEXMATCH(A1957&amp;B1957, ""(?i)twitter|instagram|facebook|linkedin|youtube|tiktok|threads|bluesky|pinterest|social"&amp;" video|reels?|shorts?""), ""Social Media"",
  REGEXMATCH(A1957&amp;B1957, ""(?i)hubspot|pipedrive|stripe|shopify|woocommerce|sales|crm|invoice|order|leads?|recruitment|bamboohr|erpnext""), ""CRM &amp; Sales"",
  REGEXMATCH(A1957&amp;B1957, ""(?i)gmail|outlook|calenda"&amp;"r|slack|discord|telegram|whatsapp|notion|trello|drive|sheets?|meeting|scheduler|appointment|mattermost""), ""Productivity &amp; Communication"",
  REGEXMATCH(A1957&amp;B1957, ""(?i)github|api|webhook|http|mysql|supabase|mongodb|redis|rss|pr|code review|incident|p"&amp;"agerduty|jira""), ""Development &amp; Utilities"",
  TRUE, ""Others""
)"),"AI &amp; LLM")</f>
        <v>AI &amp; LLM</v>
      </c>
    </row>
    <row r="1958" ht="15.75" customHeight="1">
      <c r="A1958" s="14" t="s">
        <v>3886</v>
      </c>
      <c r="B1958" s="15" t="s">
        <v>3887</v>
      </c>
      <c r="C1958" s="16" t="s">
        <v>7</v>
      </c>
      <c r="D1958" s="12" t="str">
        <f>IFERROR(__xludf.DUMMYFUNCTION("IFS(
  REGEXMATCH(A1958&amp;B1958, ""(?i)openai|gpt|gemini|anthropic|claude|mistral|cohere|rag|vector|llm|chatbot|ai-powered""), ""AI &amp; LLM"",
  REGEXMATCH(A1958&amp;B1958, ""(?i)twitter|instagram|facebook|linkedin|youtube|tiktok|threads|bluesky|pinterest|social"&amp;" video|reels?|shorts?""), ""Social Media"",
  REGEXMATCH(A1958&amp;B1958, ""(?i)hubspot|pipedrive|stripe|shopify|woocommerce|sales|crm|invoice|order|leads?|recruitment|bamboohr|erpnext""), ""CRM &amp; Sales"",
  REGEXMATCH(A1958&amp;B1958, ""(?i)gmail|outlook|calenda"&amp;"r|slack|discord|telegram|whatsapp|notion|trello|drive|sheets?|meeting|scheduler|appointment|mattermost""), ""Productivity &amp; Communication"",
  REGEXMATCH(A1958&amp;B1958, ""(?i)github|api|webhook|http|mysql|supabase|mongodb|redis|rss|pr|code review|incident|p"&amp;"agerduty|jira""), ""Development &amp; Utilities"",
  TRUE, ""Others""
)"),"Productivity &amp; Communication")</f>
        <v>Productivity &amp; Communication</v>
      </c>
    </row>
    <row r="1959" ht="15.75" customHeight="1">
      <c r="A1959" s="14" t="s">
        <v>3888</v>
      </c>
      <c r="B1959" s="15" t="s">
        <v>3889</v>
      </c>
      <c r="C1959" s="16" t="s">
        <v>7</v>
      </c>
      <c r="D1959" s="12" t="str">
        <f>IFERROR(__xludf.DUMMYFUNCTION("IFS(
  REGEXMATCH(A1959&amp;B1959, ""(?i)openai|gpt|gemini|anthropic|claude|mistral|cohere|rag|vector|llm|chatbot|ai-powered""), ""AI &amp; LLM"",
  REGEXMATCH(A1959&amp;B1959, ""(?i)twitter|instagram|facebook|linkedin|youtube|tiktok|threads|bluesky|pinterest|social"&amp;" video|reels?|shorts?""), ""Social Media"",
  REGEXMATCH(A1959&amp;B1959, ""(?i)hubspot|pipedrive|stripe|shopify|woocommerce|sales|crm|invoice|order|leads?|recruitment|bamboohr|erpnext""), ""CRM &amp; Sales"",
  REGEXMATCH(A1959&amp;B1959, ""(?i)gmail|outlook|calenda"&amp;"r|slack|discord|telegram|whatsapp|notion|trello|drive|sheets?|meeting|scheduler|appointment|mattermost""), ""Productivity &amp; Communication"",
  REGEXMATCH(A1959&amp;B1959, ""(?i)github|api|webhook|http|mysql|supabase|mongodb|redis|rss|pr|code review|incident|p"&amp;"agerduty|jira""), ""Development &amp; Utilities"",
  TRUE, ""Others""
)"),"Others")</f>
        <v>Others</v>
      </c>
    </row>
    <row r="1960" ht="15.75" customHeight="1">
      <c r="A1960" s="14" t="s">
        <v>3890</v>
      </c>
      <c r="B1960" s="15" t="s">
        <v>3891</v>
      </c>
      <c r="C1960" s="16" t="s">
        <v>7</v>
      </c>
      <c r="D1960" s="12" t="str">
        <f>IFERROR(__xludf.DUMMYFUNCTION("IFS(
  REGEXMATCH(A1960&amp;B1960, ""(?i)openai|gpt|gemini|anthropic|claude|mistral|cohere|rag|vector|llm|chatbot|ai-powered""), ""AI &amp; LLM"",
  REGEXMATCH(A1960&amp;B1960, ""(?i)twitter|instagram|facebook|linkedin|youtube|tiktok|threads|bluesky|pinterest|social"&amp;" video|reels?|shorts?""), ""Social Media"",
  REGEXMATCH(A1960&amp;B1960, ""(?i)hubspot|pipedrive|stripe|shopify|woocommerce|sales|crm|invoice|order|leads?|recruitment|bamboohr|erpnext""), ""CRM &amp; Sales"",
  REGEXMATCH(A1960&amp;B1960, ""(?i)gmail|outlook|calenda"&amp;"r|slack|discord|telegram|whatsapp|notion|trello|drive|sheets?|meeting|scheduler|appointment|mattermost""), ""Productivity &amp; Communication"",
  REGEXMATCH(A1960&amp;B1960, ""(?i)github|api|webhook|http|mysql|supabase|mongodb|redis|rss|pr|code review|incident|p"&amp;"agerduty|jira""), ""Development &amp; Utilities"",
  TRUE, ""Others""
)"),"Others")</f>
        <v>Others</v>
      </c>
    </row>
    <row r="1961" ht="15.75" customHeight="1">
      <c r="A1961" s="14" t="s">
        <v>3892</v>
      </c>
      <c r="B1961" s="15" t="s">
        <v>3893</v>
      </c>
      <c r="C1961" s="16" t="s">
        <v>7</v>
      </c>
      <c r="D1961" s="12" t="str">
        <f>IFERROR(__xludf.DUMMYFUNCTION("IFS(
  REGEXMATCH(A1961&amp;B1961, ""(?i)openai|gpt|gemini|anthropic|claude|mistral|cohere|rag|vector|llm|chatbot|ai-powered""), ""AI &amp; LLM"",
  REGEXMATCH(A1961&amp;B1961, ""(?i)twitter|instagram|facebook|linkedin|youtube|tiktok|threads|bluesky|pinterest|social"&amp;" video|reels?|shorts?""), ""Social Media"",
  REGEXMATCH(A1961&amp;B1961, ""(?i)hubspot|pipedrive|stripe|shopify|woocommerce|sales|crm|invoice|order|leads?|recruitment|bamboohr|erpnext""), ""CRM &amp; Sales"",
  REGEXMATCH(A1961&amp;B1961, ""(?i)gmail|outlook|calenda"&amp;"r|slack|discord|telegram|whatsapp|notion|trello|drive|sheets?|meeting|scheduler|appointment|mattermost""), ""Productivity &amp; Communication"",
  REGEXMATCH(A1961&amp;B1961, ""(?i)github|api|webhook|http|mysql|supabase|mongodb|redis|rss|pr|code review|incident|p"&amp;"agerduty|jira""), ""Development &amp; Utilities"",
  TRUE, ""Others""
)"),"Development &amp; Utilities")</f>
        <v>Development &amp; Utilities</v>
      </c>
    </row>
    <row r="1962" ht="15.75" customHeight="1">
      <c r="A1962" s="14" t="s">
        <v>3894</v>
      </c>
      <c r="B1962" s="15" t="s">
        <v>3895</v>
      </c>
      <c r="C1962" s="16" t="s">
        <v>7</v>
      </c>
      <c r="D1962" s="12" t="str">
        <f>IFERROR(__xludf.DUMMYFUNCTION("IFS(
  REGEXMATCH(A1962&amp;B1962, ""(?i)openai|gpt|gemini|anthropic|claude|mistral|cohere|rag|vector|llm|chatbot|ai-powered""), ""AI &amp; LLM"",
  REGEXMATCH(A1962&amp;B1962, ""(?i)twitter|instagram|facebook|linkedin|youtube|tiktok|threads|bluesky|pinterest|social"&amp;" video|reels?|shorts?""), ""Social Media"",
  REGEXMATCH(A1962&amp;B1962, ""(?i)hubspot|pipedrive|stripe|shopify|woocommerce|sales|crm|invoice|order|leads?|recruitment|bamboohr|erpnext""), ""CRM &amp; Sales"",
  REGEXMATCH(A1962&amp;B1962, ""(?i)gmail|outlook|calenda"&amp;"r|slack|discord|telegram|whatsapp|notion|trello|drive|sheets?|meeting|scheduler|appointment|mattermost""), ""Productivity &amp; Communication"",
  REGEXMATCH(A1962&amp;B1962, ""(?i)github|api|webhook|http|mysql|supabase|mongodb|redis|rss|pr|code review|incident|p"&amp;"agerduty|jira""), ""Development &amp; Utilities"",
  TRUE, ""Others""
)"),"Development &amp; Utilities")</f>
        <v>Development &amp; Utilities</v>
      </c>
    </row>
    <row r="1963" ht="15.75" customHeight="1">
      <c r="A1963" s="14" t="s">
        <v>3896</v>
      </c>
      <c r="B1963" s="15" t="s">
        <v>3897</v>
      </c>
      <c r="C1963" s="16" t="s">
        <v>7</v>
      </c>
      <c r="D1963" s="12" t="str">
        <f>IFERROR(__xludf.DUMMYFUNCTION("IFS(
  REGEXMATCH(A1963&amp;B1963, ""(?i)openai|gpt|gemini|anthropic|claude|mistral|cohere|rag|vector|llm|chatbot|ai-powered""), ""AI &amp; LLM"",
  REGEXMATCH(A1963&amp;B1963, ""(?i)twitter|instagram|facebook|linkedin|youtube|tiktok|threads|bluesky|pinterest|social"&amp;" video|reels?|shorts?""), ""Social Media"",
  REGEXMATCH(A1963&amp;B1963, ""(?i)hubspot|pipedrive|stripe|shopify|woocommerce|sales|crm|invoice|order|leads?|recruitment|bamboohr|erpnext""), ""CRM &amp; Sales"",
  REGEXMATCH(A1963&amp;B1963, ""(?i)gmail|outlook|calenda"&amp;"r|slack|discord|telegram|whatsapp|notion|trello|drive|sheets?|meeting|scheduler|appointment|mattermost""), ""Productivity &amp; Communication"",
  REGEXMATCH(A1963&amp;B1963, ""(?i)github|api|webhook|http|mysql|supabase|mongodb|redis|rss|pr|code review|incident|p"&amp;"agerduty|jira""), ""Development &amp; Utilities"",
  TRUE, ""Others""
)"),"Development &amp; Utilities")</f>
        <v>Development &amp; Utilities</v>
      </c>
    </row>
    <row r="1964" ht="15.75" customHeight="1">
      <c r="A1964" s="14" t="s">
        <v>3898</v>
      </c>
      <c r="B1964" s="15" t="s">
        <v>3899</v>
      </c>
      <c r="C1964" s="16" t="s">
        <v>7</v>
      </c>
      <c r="D1964" s="12" t="str">
        <f>IFERROR(__xludf.DUMMYFUNCTION("IFS(
  REGEXMATCH(A1964&amp;B1964, ""(?i)openai|gpt|gemini|anthropic|claude|mistral|cohere|rag|vector|llm|chatbot|ai-powered""), ""AI &amp; LLM"",
  REGEXMATCH(A1964&amp;B1964, ""(?i)twitter|instagram|facebook|linkedin|youtube|tiktok|threads|bluesky|pinterest|social"&amp;" video|reels?|shorts?""), ""Social Media"",
  REGEXMATCH(A1964&amp;B1964, ""(?i)hubspot|pipedrive|stripe|shopify|woocommerce|sales|crm|invoice|order|leads?|recruitment|bamboohr|erpnext""), ""CRM &amp; Sales"",
  REGEXMATCH(A1964&amp;B1964, ""(?i)gmail|outlook|calenda"&amp;"r|slack|discord|telegram|whatsapp|notion|trello|drive|sheets?|meeting|scheduler|appointment|mattermost""), ""Productivity &amp; Communication"",
  REGEXMATCH(A1964&amp;B1964, ""(?i)github|api|webhook|http|mysql|supabase|mongodb|redis|rss|pr|code review|incident|p"&amp;"agerduty|jira""), ""Development &amp; Utilities"",
  TRUE, ""Others""
)"),"Development &amp; Utilities")</f>
        <v>Development &amp; Utilities</v>
      </c>
    </row>
    <row r="1965" ht="15.75" customHeight="1">
      <c r="A1965" s="14" t="s">
        <v>3900</v>
      </c>
      <c r="B1965" s="15" t="s">
        <v>3901</v>
      </c>
      <c r="C1965" s="16" t="s">
        <v>7</v>
      </c>
      <c r="D1965" s="12" t="str">
        <f>IFERROR(__xludf.DUMMYFUNCTION("IFS(
  REGEXMATCH(A1965&amp;B1965, ""(?i)openai|gpt|gemini|anthropic|claude|mistral|cohere|rag|vector|llm|chatbot|ai-powered""), ""AI &amp; LLM"",
  REGEXMATCH(A1965&amp;B1965, ""(?i)twitter|instagram|facebook|linkedin|youtube|tiktok|threads|bluesky|pinterest|social"&amp;" video|reels?|shorts?""), ""Social Media"",
  REGEXMATCH(A1965&amp;B1965, ""(?i)hubspot|pipedrive|stripe|shopify|woocommerce|sales|crm|invoice|order|leads?|recruitment|bamboohr|erpnext""), ""CRM &amp; Sales"",
  REGEXMATCH(A1965&amp;B1965, ""(?i)gmail|outlook|calenda"&amp;"r|slack|discord|telegram|whatsapp|notion|trello|drive|sheets?|meeting|scheduler|appointment|mattermost""), ""Productivity &amp; Communication"",
  REGEXMATCH(A1965&amp;B1965, ""(?i)github|api|webhook|http|mysql|supabase|mongodb|redis|rss|pr|code review|incident|p"&amp;"agerduty|jira""), ""Development &amp; Utilities"",
  TRUE, ""Others""
)"),"AI &amp; LLM")</f>
        <v>AI &amp; LLM</v>
      </c>
    </row>
    <row r="1966" ht="15.75" customHeight="1">
      <c r="A1966" s="14" t="s">
        <v>3902</v>
      </c>
      <c r="B1966" s="15" t="s">
        <v>3903</v>
      </c>
      <c r="C1966" s="16" t="s">
        <v>7</v>
      </c>
      <c r="D1966" s="12" t="str">
        <f>IFERROR(__xludf.DUMMYFUNCTION("IFS(
  REGEXMATCH(A1966&amp;B1966, ""(?i)openai|gpt|gemini|anthropic|claude|mistral|cohere|rag|vector|llm|chatbot|ai-powered""), ""AI &amp; LLM"",
  REGEXMATCH(A1966&amp;B1966, ""(?i)twitter|instagram|facebook|linkedin|youtube|tiktok|threads|bluesky|pinterest|social"&amp;" video|reels?|shorts?""), ""Social Media"",
  REGEXMATCH(A1966&amp;B1966, ""(?i)hubspot|pipedrive|stripe|shopify|woocommerce|sales|crm|invoice|order|leads?|recruitment|bamboohr|erpnext""), ""CRM &amp; Sales"",
  REGEXMATCH(A1966&amp;B1966, ""(?i)gmail|outlook|calenda"&amp;"r|slack|discord|telegram|whatsapp|notion|trello|drive|sheets?|meeting|scheduler|appointment|mattermost""), ""Productivity &amp; Communication"",
  REGEXMATCH(A1966&amp;B1966, ""(?i)github|api|webhook|http|mysql|supabase|mongodb|redis|rss|pr|code review|incident|p"&amp;"agerduty|jira""), ""Development &amp; Utilities"",
  TRUE, ""Others""
)"),"Development &amp; Utilities")</f>
        <v>Development &amp; Utilities</v>
      </c>
    </row>
    <row r="1967" ht="15.75" customHeight="1">
      <c r="A1967" s="14" t="s">
        <v>3904</v>
      </c>
      <c r="B1967" s="15" t="s">
        <v>3905</v>
      </c>
      <c r="C1967" s="16" t="s">
        <v>7</v>
      </c>
      <c r="D1967" s="12" t="str">
        <f>IFERROR(__xludf.DUMMYFUNCTION("IFS(
  REGEXMATCH(A1967&amp;B1967, ""(?i)openai|gpt|gemini|anthropic|claude|mistral|cohere|rag|vector|llm|chatbot|ai-powered""), ""AI &amp; LLM"",
  REGEXMATCH(A1967&amp;B1967, ""(?i)twitter|instagram|facebook|linkedin|youtube|tiktok|threads|bluesky|pinterest|social"&amp;" video|reels?|shorts?""), ""Social Media"",
  REGEXMATCH(A1967&amp;B1967, ""(?i)hubspot|pipedrive|stripe|shopify|woocommerce|sales|crm|invoice|order|leads?|recruitment|bamboohr|erpnext""), ""CRM &amp; Sales"",
  REGEXMATCH(A1967&amp;B1967, ""(?i)gmail|outlook|calenda"&amp;"r|slack|discord|telegram|whatsapp|notion|trello|drive|sheets?|meeting|scheduler|appointment|mattermost""), ""Productivity &amp; Communication"",
  REGEXMATCH(A1967&amp;B1967, ""(?i)github|api|webhook|http|mysql|supabase|mongodb|redis|rss|pr|code review|incident|p"&amp;"agerduty|jira""), ""Development &amp; Utilities"",
  TRUE, ""Others""
)"),"Development &amp; Utilities")</f>
        <v>Development &amp; Utilities</v>
      </c>
    </row>
    <row r="1968" ht="15.75" customHeight="1">
      <c r="A1968" s="14" t="s">
        <v>3906</v>
      </c>
      <c r="B1968" s="15" t="s">
        <v>3907</v>
      </c>
      <c r="C1968" s="16" t="s">
        <v>7</v>
      </c>
      <c r="D1968" s="12" t="str">
        <f>IFERROR(__xludf.DUMMYFUNCTION("IFS(
  REGEXMATCH(A1968&amp;B1968, ""(?i)openai|gpt|gemini|anthropic|claude|mistral|cohere|rag|vector|llm|chatbot|ai-powered""), ""AI &amp; LLM"",
  REGEXMATCH(A1968&amp;B1968, ""(?i)twitter|instagram|facebook|linkedin|youtube|tiktok|threads|bluesky|pinterest|social"&amp;" video|reels?|shorts?""), ""Social Media"",
  REGEXMATCH(A1968&amp;B1968, ""(?i)hubspot|pipedrive|stripe|shopify|woocommerce|sales|crm|invoice|order|leads?|recruitment|bamboohr|erpnext""), ""CRM &amp; Sales"",
  REGEXMATCH(A1968&amp;B1968, ""(?i)gmail|outlook|calenda"&amp;"r|slack|discord|telegram|whatsapp|notion|trello|drive|sheets?|meeting|scheduler|appointment|mattermost""), ""Productivity &amp; Communication"",
  REGEXMATCH(A1968&amp;B1968, ""(?i)github|api|webhook|http|mysql|supabase|mongodb|redis|rss|pr|code review|incident|p"&amp;"agerduty|jira""), ""Development &amp; Utilities"",
  TRUE, ""Others""
)"),"AI &amp; LLM")</f>
        <v>AI &amp; LLM</v>
      </c>
    </row>
    <row r="1969" ht="15.75" customHeight="1">
      <c r="A1969" s="14" t="s">
        <v>3908</v>
      </c>
      <c r="B1969" s="15" t="s">
        <v>3909</v>
      </c>
      <c r="C1969" s="16" t="s">
        <v>7</v>
      </c>
      <c r="D1969" s="12" t="str">
        <f>IFERROR(__xludf.DUMMYFUNCTION("IFS(
  REGEXMATCH(A1969&amp;B1969, ""(?i)openai|gpt|gemini|anthropic|claude|mistral|cohere|rag|vector|llm|chatbot|ai-powered""), ""AI &amp; LLM"",
  REGEXMATCH(A1969&amp;B1969, ""(?i)twitter|instagram|facebook|linkedin|youtube|tiktok|threads|bluesky|pinterest|social"&amp;" video|reels?|shorts?""), ""Social Media"",
  REGEXMATCH(A1969&amp;B1969, ""(?i)hubspot|pipedrive|stripe|shopify|woocommerce|sales|crm|invoice|order|leads?|recruitment|bamboohr|erpnext""), ""CRM &amp; Sales"",
  REGEXMATCH(A1969&amp;B1969, ""(?i)gmail|outlook|calenda"&amp;"r|slack|discord|telegram|whatsapp|notion|trello|drive|sheets?|meeting|scheduler|appointment|mattermost""), ""Productivity &amp; Communication"",
  REGEXMATCH(A1969&amp;B1969, ""(?i)github|api|webhook|http|mysql|supabase|mongodb|redis|rss|pr|code review|incident|p"&amp;"agerduty|jira""), ""Development &amp; Utilities"",
  TRUE, ""Others""
)"),"Others")</f>
        <v>Others</v>
      </c>
    </row>
    <row r="1970" ht="15.75" customHeight="1">
      <c r="A1970" s="14" t="s">
        <v>3910</v>
      </c>
      <c r="B1970" s="15" t="s">
        <v>3911</v>
      </c>
      <c r="C1970" s="16" t="s">
        <v>7</v>
      </c>
      <c r="D1970" s="12" t="str">
        <f>IFERROR(__xludf.DUMMYFUNCTION("IFS(
  REGEXMATCH(A1970&amp;B1970, ""(?i)openai|gpt|gemini|anthropic|claude|mistral|cohere|rag|vector|llm|chatbot|ai-powered""), ""AI &amp; LLM"",
  REGEXMATCH(A1970&amp;B1970, ""(?i)twitter|instagram|facebook|linkedin|youtube|tiktok|threads|bluesky|pinterest|social"&amp;" video|reels?|shorts?""), ""Social Media"",
  REGEXMATCH(A1970&amp;B1970, ""(?i)hubspot|pipedrive|stripe|shopify|woocommerce|sales|crm|invoice|order|leads?|recruitment|bamboohr|erpnext""), ""CRM &amp; Sales"",
  REGEXMATCH(A1970&amp;B1970, ""(?i)gmail|outlook|calenda"&amp;"r|slack|discord|telegram|whatsapp|notion|trello|drive|sheets?|meeting|scheduler|appointment|mattermost""), ""Productivity &amp; Communication"",
  REGEXMATCH(A1970&amp;B1970, ""(?i)github|api|webhook|http|mysql|supabase|mongodb|redis|rss|pr|code review|incident|p"&amp;"agerduty|jira""), ""Development &amp; Utilities"",
  TRUE, ""Others""
)"),"Development &amp; Utilities")</f>
        <v>Development &amp; Utilities</v>
      </c>
    </row>
    <row r="1971" ht="15.75" customHeight="1">
      <c r="A1971" s="14" t="s">
        <v>3912</v>
      </c>
      <c r="B1971" s="15" t="s">
        <v>3913</v>
      </c>
      <c r="C1971" s="16" t="s">
        <v>7</v>
      </c>
      <c r="D1971" s="12" t="str">
        <f>IFERROR(__xludf.DUMMYFUNCTION("IFS(
  REGEXMATCH(A1971&amp;B1971, ""(?i)openai|gpt|gemini|anthropic|claude|mistral|cohere|rag|vector|llm|chatbot|ai-powered""), ""AI &amp; LLM"",
  REGEXMATCH(A1971&amp;B1971, ""(?i)twitter|instagram|facebook|linkedin|youtube|tiktok|threads|bluesky|pinterest|social"&amp;" video|reels?|shorts?""), ""Social Media"",
  REGEXMATCH(A1971&amp;B1971, ""(?i)hubspot|pipedrive|stripe|shopify|woocommerce|sales|crm|invoice|order|leads?|recruitment|bamboohr|erpnext""), ""CRM &amp; Sales"",
  REGEXMATCH(A1971&amp;B1971, ""(?i)gmail|outlook|calenda"&amp;"r|slack|discord|telegram|whatsapp|notion|trello|drive|sheets?|meeting|scheduler|appointment|mattermost""), ""Productivity &amp; Communication"",
  REGEXMATCH(A1971&amp;B1971, ""(?i)github|api|webhook|http|mysql|supabase|mongodb|redis|rss|pr|code review|incident|p"&amp;"agerduty|jira""), ""Development &amp; Utilities"",
  TRUE, ""Others""
)"),"AI &amp; LLM")</f>
        <v>AI &amp; LLM</v>
      </c>
    </row>
    <row r="1972" ht="15.75" customHeight="1">
      <c r="A1972" s="14" t="s">
        <v>3914</v>
      </c>
      <c r="B1972" s="15" t="s">
        <v>3915</v>
      </c>
      <c r="C1972" s="16" t="s">
        <v>7</v>
      </c>
      <c r="D1972" s="12" t="str">
        <f>IFERROR(__xludf.DUMMYFUNCTION("IFS(
  REGEXMATCH(A1972&amp;B1972, ""(?i)openai|gpt|gemini|anthropic|claude|mistral|cohere|rag|vector|llm|chatbot|ai-powered""), ""AI &amp; LLM"",
  REGEXMATCH(A1972&amp;B1972, ""(?i)twitter|instagram|facebook|linkedin|youtube|tiktok|threads|bluesky|pinterest|social"&amp;" video|reels?|shorts?""), ""Social Media"",
  REGEXMATCH(A1972&amp;B1972, ""(?i)hubspot|pipedrive|stripe|shopify|woocommerce|sales|crm|invoice|order|leads?|recruitment|bamboohr|erpnext""), ""CRM &amp; Sales"",
  REGEXMATCH(A1972&amp;B1972, ""(?i)gmail|outlook|calenda"&amp;"r|slack|discord|telegram|whatsapp|notion|trello|drive|sheets?|meeting|scheduler|appointment|mattermost""), ""Productivity &amp; Communication"",
  REGEXMATCH(A1972&amp;B1972, ""(?i)github|api|webhook|http|mysql|supabase|mongodb|redis|rss|pr|code review|incident|p"&amp;"agerduty|jira""), ""Development &amp; Utilities"",
  TRUE, ""Others""
)"),"Development &amp; Utilities")</f>
        <v>Development &amp; Utilities</v>
      </c>
    </row>
    <row r="1973" ht="15.75" customHeight="1">
      <c r="A1973" s="14" t="s">
        <v>3916</v>
      </c>
      <c r="B1973" s="15" t="s">
        <v>3917</v>
      </c>
      <c r="C1973" s="16" t="s">
        <v>7</v>
      </c>
      <c r="D1973" s="12" t="str">
        <f>IFERROR(__xludf.DUMMYFUNCTION("IFS(
  REGEXMATCH(A1973&amp;B1973, ""(?i)openai|gpt|gemini|anthropic|claude|mistral|cohere|rag|vector|llm|chatbot|ai-powered""), ""AI &amp; LLM"",
  REGEXMATCH(A1973&amp;B1973, ""(?i)twitter|instagram|facebook|linkedin|youtube|tiktok|threads|bluesky|pinterest|social"&amp;" video|reels?|shorts?""), ""Social Media"",
  REGEXMATCH(A1973&amp;B1973, ""(?i)hubspot|pipedrive|stripe|shopify|woocommerce|sales|crm|invoice|order|leads?|recruitment|bamboohr|erpnext""), ""CRM &amp; Sales"",
  REGEXMATCH(A1973&amp;B1973, ""(?i)gmail|outlook|calenda"&amp;"r|slack|discord|telegram|whatsapp|notion|trello|drive|sheets?|meeting|scheduler|appointment|mattermost""), ""Productivity &amp; Communication"",
  REGEXMATCH(A1973&amp;B1973, ""(?i)github|api|webhook|http|mysql|supabase|mongodb|redis|rss|pr|code review|incident|p"&amp;"agerduty|jira""), ""Development &amp; Utilities"",
  TRUE, ""Others""
)"),"Development &amp; Utilities")</f>
        <v>Development &amp; Utilities</v>
      </c>
    </row>
    <row r="1974" ht="15.75" customHeight="1">
      <c r="A1974" s="14" t="s">
        <v>3918</v>
      </c>
      <c r="B1974" s="15" t="s">
        <v>3919</v>
      </c>
      <c r="C1974" s="16" t="s">
        <v>7</v>
      </c>
      <c r="D1974" s="12" t="str">
        <f>IFERROR(__xludf.DUMMYFUNCTION("IFS(
  REGEXMATCH(A1974&amp;B1974, ""(?i)openai|gpt|gemini|anthropic|claude|mistral|cohere|rag|vector|llm|chatbot|ai-powered""), ""AI &amp; LLM"",
  REGEXMATCH(A1974&amp;B1974, ""(?i)twitter|instagram|facebook|linkedin|youtube|tiktok|threads|bluesky|pinterest|social"&amp;" video|reels?|shorts?""), ""Social Media"",
  REGEXMATCH(A1974&amp;B1974, ""(?i)hubspot|pipedrive|stripe|shopify|woocommerce|sales|crm|invoice|order|leads?|recruitment|bamboohr|erpnext""), ""CRM &amp; Sales"",
  REGEXMATCH(A1974&amp;B1974, ""(?i)gmail|outlook|calenda"&amp;"r|slack|discord|telegram|whatsapp|notion|trello|drive|sheets?|meeting|scheduler|appointment|mattermost""), ""Productivity &amp; Communication"",
  REGEXMATCH(A1974&amp;B1974, ""(?i)github|api|webhook|http|mysql|supabase|mongodb|redis|rss|pr|code review|incident|p"&amp;"agerduty|jira""), ""Development &amp; Utilities"",
  TRUE, ""Others""
)"),"Others")</f>
        <v>Others</v>
      </c>
    </row>
    <row r="1975" ht="15.75" customHeight="1">
      <c r="A1975" s="14" t="s">
        <v>3920</v>
      </c>
      <c r="B1975" s="15" t="s">
        <v>3921</v>
      </c>
      <c r="C1975" s="16" t="s">
        <v>7</v>
      </c>
      <c r="D1975" s="12" t="str">
        <f>IFERROR(__xludf.DUMMYFUNCTION("IFS(
  REGEXMATCH(A1975&amp;B1975, ""(?i)openai|gpt|gemini|anthropic|claude|mistral|cohere|rag|vector|llm|chatbot|ai-powered""), ""AI &amp; LLM"",
  REGEXMATCH(A1975&amp;B1975, ""(?i)twitter|instagram|facebook|linkedin|youtube|tiktok|threads|bluesky|pinterest|social"&amp;" video|reels?|shorts?""), ""Social Media"",
  REGEXMATCH(A1975&amp;B1975, ""(?i)hubspot|pipedrive|stripe|shopify|woocommerce|sales|crm|invoice|order|leads?|recruitment|bamboohr|erpnext""), ""CRM &amp; Sales"",
  REGEXMATCH(A1975&amp;B1975, ""(?i)gmail|outlook|calenda"&amp;"r|slack|discord|telegram|whatsapp|notion|trello|drive|sheets?|meeting|scheduler|appointment|mattermost""), ""Productivity &amp; Communication"",
  REGEXMATCH(A1975&amp;B1975, ""(?i)github|api|webhook|http|mysql|supabase|mongodb|redis|rss|pr|code review|incident|p"&amp;"agerduty|jira""), ""Development &amp; Utilities"",
  TRUE, ""Others""
)"),"Development &amp; Utilities")</f>
        <v>Development &amp; Utilities</v>
      </c>
    </row>
    <row r="1976" ht="15.75" customHeight="1">
      <c r="A1976" s="14" t="s">
        <v>3922</v>
      </c>
      <c r="B1976" s="15" t="s">
        <v>3923</v>
      </c>
      <c r="C1976" s="16" t="s">
        <v>7</v>
      </c>
      <c r="D1976" s="12" t="str">
        <f>IFERROR(__xludf.DUMMYFUNCTION("IFS(
  REGEXMATCH(A1976&amp;B1976, ""(?i)openai|gpt|gemini|anthropic|claude|mistral|cohere|rag|vector|llm|chatbot|ai-powered""), ""AI &amp; LLM"",
  REGEXMATCH(A1976&amp;B1976, ""(?i)twitter|instagram|facebook|linkedin|youtube|tiktok|threads|bluesky|pinterest|social"&amp;" video|reels?|shorts?""), ""Social Media"",
  REGEXMATCH(A1976&amp;B1976, ""(?i)hubspot|pipedrive|stripe|shopify|woocommerce|sales|crm|invoice|order|leads?|recruitment|bamboohr|erpnext""), ""CRM &amp; Sales"",
  REGEXMATCH(A1976&amp;B1976, ""(?i)gmail|outlook|calenda"&amp;"r|slack|discord|telegram|whatsapp|notion|trello|drive|sheets?|meeting|scheduler|appointment|mattermost""), ""Productivity &amp; Communication"",
  REGEXMATCH(A1976&amp;B1976, ""(?i)github|api|webhook|http|mysql|supabase|mongodb|redis|rss|pr|code review|incident|p"&amp;"agerduty|jira""), ""Development &amp; Utilities"",
  TRUE, ""Others""
)"),"AI &amp; LLM")</f>
        <v>AI &amp; LLM</v>
      </c>
    </row>
    <row r="1977" ht="15.75" customHeight="1">
      <c r="A1977" s="14" t="s">
        <v>3924</v>
      </c>
      <c r="B1977" s="15" t="s">
        <v>3925</v>
      </c>
      <c r="C1977" s="16" t="s">
        <v>7</v>
      </c>
      <c r="D1977" s="12" t="str">
        <f>IFERROR(__xludf.DUMMYFUNCTION("IFS(
  REGEXMATCH(A1977&amp;B1977, ""(?i)openai|gpt|gemini|anthropic|claude|mistral|cohere|rag|vector|llm|chatbot|ai-powered""), ""AI &amp; LLM"",
  REGEXMATCH(A1977&amp;B1977, ""(?i)twitter|instagram|facebook|linkedin|youtube|tiktok|threads|bluesky|pinterest|social"&amp;" video|reels?|shorts?""), ""Social Media"",
  REGEXMATCH(A1977&amp;B1977, ""(?i)hubspot|pipedrive|stripe|shopify|woocommerce|sales|crm|invoice|order|leads?|recruitment|bamboohr|erpnext""), ""CRM &amp; Sales"",
  REGEXMATCH(A1977&amp;B1977, ""(?i)gmail|outlook|calenda"&amp;"r|slack|discord|telegram|whatsapp|notion|trello|drive|sheets?|meeting|scheduler|appointment|mattermost""), ""Productivity &amp; Communication"",
  REGEXMATCH(A1977&amp;B1977, ""(?i)github|api|webhook|http|mysql|supabase|mongodb|redis|rss|pr|code review|incident|p"&amp;"agerduty|jira""), ""Development &amp; Utilities"",
  TRUE, ""Others""
)"),"Development &amp; Utilities")</f>
        <v>Development &amp; Utilities</v>
      </c>
    </row>
    <row r="1978" ht="15.75" customHeight="1">
      <c r="A1978" s="14" t="s">
        <v>3926</v>
      </c>
      <c r="B1978" s="15" t="s">
        <v>3927</v>
      </c>
      <c r="C1978" s="16" t="s">
        <v>7</v>
      </c>
      <c r="D1978" s="12" t="str">
        <f>IFERROR(__xludf.DUMMYFUNCTION("IFS(
  REGEXMATCH(A1978&amp;B1978, ""(?i)openai|gpt|gemini|anthropic|claude|mistral|cohere|rag|vector|llm|chatbot|ai-powered""), ""AI &amp; LLM"",
  REGEXMATCH(A1978&amp;B1978, ""(?i)twitter|instagram|facebook|linkedin|youtube|tiktok|threads|bluesky|pinterest|social"&amp;" video|reels?|shorts?""), ""Social Media"",
  REGEXMATCH(A1978&amp;B1978, ""(?i)hubspot|pipedrive|stripe|shopify|woocommerce|sales|crm|invoice|order|leads?|recruitment|bamboohr|erpnext""), ""CRM &amp; Sales"",
  REGEXMATCH(A1978&amp;B1978, ""(?i)gmail|outlook|calenda"&amp;"r|slack|discord|telegram|whatsapp|notion|trello|drive|sheets?|meeting|scheduler|appointment|mattermost""), ""Productivity &amp; Communication"",
  REGEXMATCH(A1978&amp;B1978, ""(?i)github|api|webhook|http|mysql|supabase|mongodb|redis|rss|pr|code review|incident|p"&amp;"agerduty|jira""), ""Development &amp; Utilities"",
  TRUE, ""Others""
)"),"Development &amp; Utilities")</f>
        <v>Development &amp; Utilities</v>
      </c>
    </row>
    <row r="1979" ht="15.75" customHeight="1">
      <c r="A1979" s="14" t="s">
        <v>3928</v>
      </c>
      <c r="B1979" s="15" t="s">
        <v>3929</v>
      </c>
      <c r="C1979" s="16" t="s">
        <v>7</v>
      </c>
      <c r="D1979" s="12" t="str">
        <f>IFERROR(__xludf.DUMMYFUNCTION("IFS(
  REGEXMATCH(A1979&amp;B1979, ""(?i)openai|gpt|gemini|anthropic|claude|mistral|cohere|rag|vector|llm|chatbot|ai-powered""), ""AI &amp; LLM"",
  REGEXMATCH(A1979&amp;B1979, ""(?i)twitter|instagram|facebook|linkedin|youtube|tiktok|threads|bluesky|pinterest|social"&amp;" video|reels?|shorts?""), ""Social Media"",
  REGEXMATCH(A1979&amp;B1979, ""(?i)hubspot|pipedrive|stripe|shopify|woocommerce|sales|crm|invoice|order|leads?|recruitment|bamboohr|erpnext""), ""CRM &amp; Sales"",
  REGEXMATCH(A1979&amp;B1979, ""(?i)gmail|outlook|calenda"&amp;"r|slack|discord|telegram|whatsapp|notion|trello|drive|sheets?|meeting|scheduler|appointment|mattermost""), ""Productivity &amp; Communication"",
  REGEXMATCH(A1979&amp;B1979, ""(?i)github|api|webhook|http|mysql|supabase|mongodb|redis|rss|pr|code review|incident|p"&amp;"agerduty|jira""), ""Development &amp; Utilities"",
  TRUE, ""Others""
)"),"Others")</f>
        <v>Others</v>
      </c>
    </row>
    <row r="1980" ht="15.75" customHeight="1">
      <c r="A1980" s="14" t="s">
        <v>3930</v>
      </c>
      <c r="B1980" s="15" t="s">
        <v>3931</v>
      </c>
      <c r="C1980" s="16" t="s">
        <v>7</v>
      </c>
      <c r="D1980" s="12" t="str">
        <f>IFERROR(__xludf.DUMMYFUNCTION("IFS(
  REGEXMATCH(A1980&amp;B1980, ""(?i)openai|gpt|gemini|anthropic|claude|mistral|cohere|rag|vector|llm|chatbot|ai-powered""), ""AI &amp; LLM"",
  REGEXMATCH(A1980&amp;B1980, ""(?i)twitter|instagram|facebook|linkedin|youtube|tiktok|threads|bluesky|pinterest|social"&amp;" video|reels?|shorts?""), ""Social Media"",
  REGEXMATCH(A1980&amp;B1980, ""(?i)hubspot|pipedrive|stripe|shopify|woocommerce|sales|crm|invoice|order|leads?|recruitment|bamboohr|erpnext""), ""CRM &amp; Sales"",
  REGEXMATCH(A1980&amp;B1980, ""(?i)gmail|outlook|calenda"&amp;"r|slack|discord|telegram|whatsapp|notion|trello|drive|sheets?|meeting|scheduler|appointment|mattermost""), ""Productivity &amp; Communication"",
  REGEXMATCH(A1980&amp;B1980, ""(?i)github|api|webhook|http|mysql|supabase|mongodb|redis|rss|pr|code review|incident|p"&amp;"agerduty|jira""), ""Development &amp; Utilities"",
  TRUE, ""Others""
)"),"Others")</f>
        <v>Others</v>
      </c>
    </row>
    <row r="1981" ht="15.75" customHeight="1">
      <c r="A1981" s="14" t="s">
        <v>3932</v>
      </c>
      <c r="B1981" s="15" t="s">
        <v>3933</v>
      </c>
      <c r="C1981" s="16" t="s">
        <v>7</v>
      </c>
      <c r="D1981" s="12" t="str">
        <f>IFERROR(__xludf.DUMMYFUNCTION("IFS(
  REGEXMATCH(A1981&amp;B1981, ""(?i)openai|gpt|gemini|anthropic|claude|mistral|cohere|rag|vector|llm|chatbot|ai-powered""), ""AI &amp; LLM"",
  REGEXMATCH(A1981&amp;B1981, ""(?i)twitter|instagram|facebook|linkedin|youtube|tiktok|threads|bluesky|pinterest|social"&amp;" video|reels?|shorts?""), ""Social Media"",
  REGEXMATCH(A1981&amp;B1981, ""(?i)hubspot|pipedrive|stripe|shopify|woocommerce|sales|crm|invoice|order|leads?|recruitment|bamboohr|erpnext""), ""CRM &amp; Sales"",
  REGEXMATCH(A1981&amp;B1981, ""(?i)gmail|outlook|calenda"&amp;"r|slack|discord|telegram|whatsapp|notion|trello|drive|sheets?|meeting|scheduler|appointment|mattermost""), ""Productivity &amp; Communication"",
  REGEXMATCH(A1981&amp;B1981, ""(?i)github|api|webhook|http|mysql|supabase|mongodb|redis|rss|pr|code review|incident|p"&amp;"agerduty|jira""), ""Development &amp; Utilities"",
  TRUE, ""Others""
)"),"Development &amp; Utilities")</f>
        <v>Development &amp; Utilities</v>
      </c>
    </row>
    <row r="1982" ht="15.75" customHeight="1">
      <c r="A1982" s="14" t="s">
        <v>3934</v>
      </c>
      <c r="B1982" s="15" t="s">
        <v>3935</v>
      </c>
      <c r="C1982" s="16" t="s">
        <v>7</v>
      </c>
      <c r="D1982" s="12" t="str">
        <f>IFERROR(__xludf.DUMMYFUNCTION("IFS(
  REGEXMATCH(A1982&amp;B1982, ""(?i)openai|gpt|gemini|anthropic|claude|mistral|cohere|rag|vector|llm|chatbot|ai-powered""), ""AI &amp; LLM"",
  REGEXMATCH(A1982&amp;B1982, ""(?i)twitter|instagram|facebook|linkedin|youtube|tiktok|threads|bluesky|pinterest|social"&amp;" video|reels?|shorts?""), ""Social Media"",
  REGEXMATCH(A1982&amp;B1982, ""(?i)hubspot|pipedrive|stripe|shopify|woocommerce|sales|crm|invoice|order|leads?|recruitment|bamboohr|erpnext""), ""CRM &amp; Sales"",
  REGEXMATCH(A1982&amp;B1982, ""(?i)gmail|outlook|calenda"&amp;"r|slack|discord|telegram|whatsapp|notion|trello|drive|sheets?|meeting|scheduler|appointment|mattermost""), ""Productivity &amp; Communication"",
  REGEXMATCH(A1982&amp;B1982, ""(?i)github|api|webhook|http|mysql|supabase|mongodb|redis|rss|pr|code review|incident|p"&amp;"agerduty|jira""), ""Development &amp; Utilities"",
  TRUE, ""Others""
)"),"Development &amp; Utilities")</f>
        <v>Development &amp; Utilities</v>
      </c>
    </row>
    <row r="1983" ht="15.75" customHeight="1">
      <c r="A1983" s="14" t="s">
        <v>3936</v>
      </c>
      <c r="B1983" s="15" t="s">
        <v>3937</v>
      </c>
      <c r="C1983" s="16" t="s">
        <v>7</v>
      </c>
      <c r="D1983" s="12" t="str">
        <f>IFERROR(__xludf.DUMMYFUNCTION("IFS(
  REGEXMATCH(A1983&amp;B1983, ""(?i)openai|gpt|gemini|anthropic|claude|mistral|cohere|rag|vector|llm|chatbot|ai-powered""), ""AI &amp; LLM"",
  REGEXMATCH(A1983&amp;B1983, ""(?i)twitter|instagram|facebook|linkedin|youtube|tiktok|threads|bluesky|pinterest|social"&amp;" video|reels?|shorts?""), ""Social Media"",
  REGEXMATCH(A1983&amp;B1983, ""(?i)hubspot|pipedrive|stripe|shopify|woocommerce|sales|crm|invoice|order|leads?|recruitment|bamboohr|erpnext""), ""CRM &amp; Sales"",
  REGEXMATCH(A1983&amp;B1983, ""(?i)gmail|outlook|calenda"&amp;"r|slack|discord|telegram|whatsapp|notion|trello|drive|sheets?|meeting|scheduler|appointment|mattermost""), ""Productivity &amp; Communication"",
  REGEXMATCH(A1983&amp;B1983, ""(?i)github|api|webhook|http|mysql|supabase|mongodb|redis|rss|pr|code review|incident|p"&amp;"agerduty|jira""), ""Development &amp; Utilities"",
  TRUE, ""Others""
)"),"Others")</f>
        <v>Others</v>
      </c>
    </row>
    <row r="1984" ht="15.75" customHeight="1">
      <c r="A1984" s="14" t="s">
        <v>3938</v>
      </c>
      <c r="B1984" s="15" t="s">
        <v>3939</v>
      </c>
      <c r="C1984" s="16" t="s">
        <v>7</v>
      </c>
      <c r="D1984" s="12" t="str">
        <f>IFERROR(__xludf.DUMMYFUNCTION("IFS(
  REGEXMATCH(A1984&amp;B1984, ""(?i)openai|gpt|gemini|anthropic|claude|mistral|cohere|rag|vector|llm|chatbot|ai-powered""), ""AI &amp; LLM"",
  REGEXMATCH(A1984&amp;B1984, ""(?i)twitter|instagram|facebook|linkedin|youtube|tiktok|threads|bluesky|pinterest|social"&amp;" video|reels?|shorts?""), ""Social Media"",
  REGEXMATCH(A1984&amp;B1984, ""(?i)hubspot|pipedrive|stripe|shopify|woocommerce|sales|crm|invoice|order|leads?|recruitment|bamboohr|erpnext""), ""CRM &amp; Sales"",
  REGEXMATCH(A1984&amp;B1984, ""(?i)gmail|outlook|calenda"&amp;"r|slack|discord|telegram|whatsapp|notion|trello|drive|sheets?|meeting|scheduler|appointment|mattermost""), ""Productivity &amp; Communication"",
  REGEXMATCH(A1984&amp;B1984, ""(?i)github|api|webhook|http|mysql|supabase|mongodb|redis|rss|pr|code review|incident|p"&amp;"agerduty|jira""), ""Development &amp; Utilities"",
  TRUE, ""Others""
)"),"Development &amp; Utilities")</f>
        <v>Development &amp; Utilities</v>
      </c>
    </row>
    <row r="1985" ht="15.75" customHeight="1">
      <c r="A1985" s="14" t="s">
        <v>3940</v>
      </c>
      <c r="B1985" s="15" t="s">
        <v>3941</v>
      </c>
      <c r="C1985" s="16" t="s">
        <v>7</v>
      </c>
      <c r="D1985" s="12" t="str">
        <f>IFERROR(__xludf.DUMMYFUNCTION("IFS(
  REGEXMATCH(A1985&amp;B1985, ""(?i)openai|gpt|gemini|anthropic|claude|mistral|cohere|rag|vector|llm|chatbot|ai-powered""), ""AI &amp; LLM"",
  REGEXMATCH(A1985&amp;B1985, ""(?i)twitter|instagram|facebook|linkedin|youtube|tiktok|threads|bluesky|pinterest|social"&amp;" video|reels?|shorts?""), ""Social Media"",
  REGEXMATCH(A1985&amp;B1985, ""(?i)hubspot|pipedrive|stripe|shopify|woocommerce|sales|crm|invoice|order|leads?|recruitment|bamboohr|erpnext""), ""CRM &amp; Sales"",
  REGEXMATCH(A1985&amp;B1985, ""(?i)gmail|outlook|calenda"&amp;"r|slack|discord|telegram|whatsapp|notion|trello|drive|sheets?|meeting|scheduler|appointment|mattermost""), ""Productivity &amp; Communication"",
  REGEXMATCH(A1985&amp;B1985, ""(?i)github|api|webhook|http|mysql|supabase|mongodb|redis|rss|pr|code review|incident|p"&amp;"agerduty|jira""), ""Development &amp; Utilities"",
  TRUE, ""Others""
)"),"Others")</f>
        <v>Others</v>
      </c>
    </row>
    <row r="1986" ht="15.75" customHeight="1">
      <c r="A1986" s="14" t="s">
        <v>3942</v>
      </c>
      <c r="B1986" s="15" t="s">
        <v>3943</v>
      </c>
      <c r="C1986" s="16" t="s">
        <v>7</v>
      </c>
      <c r="D1986" s="12" t="str">
        <f>IFERROR(__xludf.DUMMYFUNCTION("IFS(
  REGEXMATCH(A1986&amp;B1986, ""(?i)openai|gpt|gemini|anthropic|claude|mistral|cohere|rag|vector|llm|chatbot|ai-powered""), ""AI &amp; LLM"",
  REGEXMATCH(A1986&amp;B1986, ""(?i)twitter|instagram|facebook|linkedin|youtube|tiktok|threads|bluesky|pinterest|social"&amp;" video|reels?|shorts?""), ""Social Media"",
  REGEXMATCH(A1986&amp;B1986, ""(?i)hubspot|pipedrive|stripe|shopify|woocommerce|sales|crm|invoice|order|leads?|recruitment|bamboohr|erpnext""), ""CRM &amp; Sales"",
  REGEXMATCH(A1986&amp;B1986, ""(?i)gmail|outlook|calenda"&amp;"r|slack|discord|telegram|whatsapp|notion|trello|drive|sheets?|meeting|scheduler|appointment|mattermost""), ""Productivity &amp; Communication"",
  REGEXMATCH(A1986&amp;B1986, ""(?i)github|api|webhook|http|mysql|supabase|mongodb|redis|rss|pr|code review|incident|p"&amp;"agerduty|jira""), ""Development &amp; Utilities"",
  TRUE, ""Others""
)"),"Development &amp; Utilities")</f>
        <v>Development &amp; Utilities</v>
      </c>
    </row>
    <row r="1987" ht="15.75" customHeight="1">
      <c r="A1987" s="14" t="s">
        <v>3944</v>
      </c>
      <c r="B1987" s="15" t="s">
        <v>3945</v>
      </c>
      <c r="C1987" s="16" t="s">
        <v>7</v>
      </c>
      <c r="D1987" s="12" t="str">
        <f>IFERROR(__xludf.DUMMYFUNCTION("IFS(
  REGEXMATCH(A1987&amp;B1987, ""(?i)openai|gpt|gemini|anthropic|claude|mistral|cohere|rag|vector|llm|chatbot|ai-powered""), ""AI &amp; LLM"",
  REGEXMATCH(A1987&amp;B1987, ""(?i)twitter|instagram|facebook|linkedin|youtube|tiktok|threads|bluesky|pinterest|social"&amp;" video|reels?|shorts?""), ""Social Media"",
  REGEXMATCH(A1987&amp;B1987, ""(?i)hubspot|pipedrive|stripe|shopify|woocommerce|sales|crm|invoice|order|leads?|recruitment|bamboohr|erpnext""), ""CRM &amp; Sales"",
  REGEXMATCH(A1987&amp;B1987, ""(?i)gmail|outlook|calenda"&amp;"r|slack|discord|telegram|whatsapp|notion|trello|drive|sheets?|meeting|scheduler|appointment|mattermost""), ""Productivity &amp; Communication"",
  REGEXMATCH(A1987&amp;B1987, ""(?i)github|api|webhook|http|mysql|supabase|mongodb|redis|rss|pr|code review|incident|p"&amp;"agerduty|jira""), ""Development &amp; Utilities"",
  TRUE, ""Others""
)"),"Development &amp; Utilities")</f>
        <v>Development &amp; Utilities</v>
      </c>
    </row>
    <row r="1988" ht="15.75" customHeight="1">
      <c r="A1988" s="14" t="s">
        <v>3946</v>
      </c>
      <c r="B1988" s="15" t="s">
        <v>3947</v>
      </c>
      <c r="C1988" s="16" t="s">
        <v>7</v>
      </c>
      <c r="D1988" s="12" t="str">
        <f>IFERROR(__xludf.DUMMYFUNCTION("IFS(
  REGEXMATCH(A1988&amp;B1988, ""(?i)openai|gpt|gemini|anthropic|claude|mistral|cohere|rag|vector|llm|chatbot|ai-powered""), ""AI &amp; LLM"",
  REGEXMATCH(A1988&amp;B1988, ""(?i)twitter|instagram|facebook|linkedin|youtube|tiktok|threads|bluesky|pinterest|social"&amp;" video|reels?|shorts?""), ""Social Media"",
  REGEXMATCH(A1988&amp;B1988, ""(?i)hubspot|pipedrive|stripe|shopify|woocommerce|sales|crm|invoice|order|leads?|recruitment|bamboohr|erpnext""), ""CRM &amp; Sales"",
  REGEXMATCH(A1988&amp;B1988, ""(?i)gmail|outlook|calenda"&amp;"r|slack|discord|telegram|whatsapp|notion|trello|drive|sheets?|meeting|scheduler|appointment|mattermost""), ""Productivity &amp; Communication"",
  REGEXMATCH(A1988&amp;B1988, ""(?i)github|api|webhook|http|mysql|supabase|mongodb|redis|rss|pr|code review|incident|p"&amp;"agerduty|jira""), ""Development &amp; Utilities"",
  TRUE, ""Others""
)"),"Development &amp; Utilities")</f>
        <v>Development &amp; Utilities</v>
      </c>
    </row>
    <row r="1989" ht="15.75" customHeight="1">
      <c r="A1989" s="14" t="s">
        <v>3948</v>
      </c>
      <c r="B1989" s="15" t="s">
        <v>3949</v>
      </c>
      <c r="C1989" s="16" t="s">
        <v>7</v>
      </c>
      <c r="D1989" s="12" t="str">
        <f>IFERROR(__xludf.DUMMYFUNCTION("IFS(
  REGEXMATCH(A1989&amp;B1989, ""(?i)openai|gpt|gemini|anthropic|claude|mistral|cohere|rag|vector|llm|chatbot|ai-powered""), ""AI &amp; LLM"",
  REGEXMATCH(A1989&amp;B1989, ""(?i)twitter|instagram|facebook|linkedin|youtube|tiktok|threads|bluesky|pinterest|social"&amp;" video|reels?|shorts?""), ""Social Media"",
  REGEXMATCH(A1989&amp;B1989, ""(?i)hubspot|pipedrive|stripe|shopify|woocommerce|sales|crm|invoice|order|leads?|recruitment|bamboohr|erpnext""), ""CRM &amp; Sales"",
  REGEXMATCH(A1989&amp;B1989, ""(?i)gmail|outlook|calenda"&amp;"r|slack|discord|telegram|whatsapp|notion|trello|drive|sheets?|meeting|scheduler|appointment|mattermost""), ""Productivity &amp; Communication"",
  REGEXMATCH(A1989&amp;B1989, ""(?i)github|api|webhook|http|mysql|supabase|mongodb|redis|rss|pr|code review|incident|p"&amp;"agerduty|jira""), ""Development &amp; Utilities"",
  TRUE, ""Others""
)"),"Development &amp; Utilities")</f>
        <v>Development &amp; Utilities</v>
      </c>
    </row>
    <row r="1990" ht="15.75" customHeight="1">
      <c r="A1990" s="14"/>
      <c r="B1990" s="17"/>
      <c r="C1990" s="18"/>
    </row>
    <row r="1991" ht="15.75" customHeight="1">
      <c r="A1991" s="14"/>
      <c r="B1991" s="17"/>
      <c r="C1991" s="18"/>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0"/>
    <hyperlink r:id="rId359" ref="C361"/>
    <hyperlink r:id="rId360" ref="C362"/>
    <hyperlink r:id="rId361" ref="C363"/>
    <hyperlink r:id="rId362" ref="C364"/>
    <hyperlink r:id="rId363" ref="C365"/>
    <hyperlink r:id="rId364" ref="C366"/>
    <hyperlink r:id="rId365" ref="C367"/>
    <hyperlink r:id="rId366" ref="C368"/>
    <hyperlink r:id="rId367" ref="C369"/>
    <hyperlink r:id="rId368" ref="C370"/>
    <hyperlink r:id="rId369" ref="C371"/>
    <hyperlink r:id="rId370" ref="C372"/>
    <hyperlink r:id="rId371" ref="C373"/>
    <hyperlink r:id="rId372" ref="C374"/>
    <hyperlink r:id="rId373" ref="C375"/>
    <hyperlink r:id="rId374" ref="C376"/>
    <hyperlink r:id="rId375" ref="C377"/>
    <hyperlink r:id="rId376" ref="C378"/>
    <hyperlink r:id="rId377" ref="C379"/>
    <hyperlink r:id="rId378" ref="C380"/>
    <hyperlink r:id="rId379" ref="C381"/>
    <hyperlink r:id="rId380" ref="C382"/>
    <hyperlink r:id="rId381" ref="C383"/>
    <hyperlink r:id="rId382" ref="C384"/>
    <hyperlink r:id="rId383" ref="C385"/>
    <hyperlink r:id="rId384" ref="C386"/>
    <hyperlink r:id="rId385" ref="C387"/>
    <hyperlink r:id="rId386" ref="C388"/>
    <hyperlink r:id="rId387" ref="C389"/>
    <hyperlink r:id="rId388" ref="C390"/>
    <hyperlink r:id="rId389" ref="C391"/>
    <hyperlink r:id="rId390" ref="C392"/>
    <hyperlink r:id="rId391" ref="C393"/>
    <hyperlink r:id="rId392" ref="C394"/>
    <hyperlink r:id="rId393" ref="C395"/>
    <hyperlink r:id="rId394" ref="C396"/>
    <hyperlink r:id="rId395" ref="C397"/>
    <hyperlink r:id="rId396" ref="C398"/>
    <hyperlink r:id="rId397" ref="C399"/>
    <hyperlink r:id="rId398" ref="C400"/>
    <hyperlink r:id="rId399" ref="C401"/>
    <hyperlink r:id="rId400" ref="C402"/>
    <hyperlink r:id="rId401" ref="C403"/>
    <hyperlink r:id="rId402" ref="C404"/>
    <hyperlink r:id="rId403" ref="C405"/>
    <hyperlink r:id="rId404" ref="C406"/>
    <hyperlink r:id="rId405" ref="C407"/>
    <hyperlink r:id="rId406" ref="C408"/>
    <hyperlink r:id="rId407" ref="C409"/>
    <hyperlink r:id="rId408" ref="C410"/>
    <hyperlink r:id="rId409" ref="C411"/>
    <hyperlink r:id="rId410" ref="C412"/>
    <hyperlink r:id="rId411" ref="C413"/>
    <hyperlink r:id="rId412" ref="C414"/>
    <hyperlink r:id="rId413" ref="C415"/>
    <hyperlink r:id="rId414" ref="C416"/>
    <hyperlink r:id="rId415" ref="C417"/>
    <hyperlink r:id="rId416" ref="C418"/>
    <hyperlink r:id="rId417" ref="C419"/>
    <hyperlink r:id="rId418" ref="C420"/>
    <hyperlink r:id="rId419" ref="C421"/>
    <hyperlink r:id="rId420" ref="C422"/>
    <hyperlink r:id="rId421" ref="C423"/>
    <hyperlink r:id="rId422" ref="C424"/>
    <hyperlink r:id="rId423" ref="C425"/>
    <hyperlink r:id="rId424" ref="C426"/>
    <hyperlink r:id="rId425" ref="C427"/>
    <hyperlink r:id="rId426" ref="C428"/>
    <hyperlink r:id="rId427" ref="C429"/>
    <hyperlink r:id="rId428" ref="C430"/>
    <hyperlink r:id="rId429" ref="C431"/>
    <hyperlink r:id="rId430" ref="C432"/>
    <hyperlink r:id="rId431" ref="C433"/>
    <hyperlink r:id="rId432" ref="C434"/>
    <hyperlink r:id="rId433" ref="C435"/>
    <hyperlink r:id="rId434" ref="C436"/>
    <hyperlink r:id="rId435" ref="C437"/>
    <hyperlink r:id="rId436" ref="C438"/>
    <hyperlink r:id="rId437" ref="C439"/>
    <hyperlink r:id="rId438" ref="C440"/>
    <hyperlink r:id="rId439" ref="C441"/>
    <hyperlink r:id="rId440" ref="C442"/>
    <hyperlink r:id="rId441" ref="C443"/>
    <hyperlink r:id="rId442" ref="C444"/>
    <hyperlink r:id="rId443" ref="C445"/>
    <hyperlink r:id="rId444" ref="C446"/>
    <hyperlink r:id="rId445" ref="C447"/>
    <hyperlink r:id="rId446" ref="C448"/>
    <hyperlink r:id="rId447" ref="C449"/>
    <hyperlink r:id="rId448" ref="C450"/>
    <hyperlink r:id="rId449" ref="C451"/>
    <hyperlink r:id="rId450" ref="C452"/>
    <hyperlink r:id="rId451" ref="C453"/>
    <hyperlink r:id="rId452" ref="C454"/>
    <hyperlink r:id="rId453" ref="C455"/>
    <hyperlink r:id="rId454" ref="C456"/>
    <hyperlink r:id="rId455" ref="C457"/>
    <hyperlink r:id="rId456" ref="C458"/>
    <hyperlink r:id="rId457" ref="C459"/>
    <hyperlink r:id="rId458" ref="C460"/>
    <hyperlink r:id="rId459" ref="C461"/>
    <hyperlink r:id="rId460" ref="C462"/>
    <hyperlink r:id="rId461" ref="C463"/>
    <hyperlink r:id="rId462" ref="C464"/>
    <hyperlink r:id="rId463" ref="C465"/>
    <hyperlink r:id="rId464" ref="C466"/>
    <hyperlink r:id="rId465" ref="C467"/>
    <hyperlink r:id="rId466" ref="C468"/>
    <hyperlink r:id="rId467" ref="C469"/>
    <hyperlink r:id="rId468" ref="C470"/>
    <hyperlink r:id="rId469" ref="C471"/>
    <hyperlink r:id="rId470" ref="C472"/>
    <hyperlink r:id="rId471" ref="C473"/>
    <hyperlink r:id="rId472" ref="C474"/>
    <hyperlink r:id="rId473" ref="C475"/>
    <hyperlink r:id="rId474" ref="C476"/>
    <hyperlink r:id="rId475" ref="C477"/>
    <hyperlink r:id="rId476" ref="C478"/>
    <hyperlink r:id="rId477" ref="C479"/>
    <hyperlink r:id="rId478" ref="C480"/>
    <hyperlink r:id="rId479" ref="C481"/>
    <hyperlink r:id="rId480" ref="C482"/>
    <hyperlink r:id="rId481" ref="C483"/>
    <hyperlink r:id="rId482" ref="C484"/>
    <hyperlink r:id="rId483" ref="C485"/>
    <hyperlink r:id="rId484" ref="C486"/>
    <hyperlink r:id="rId485" ref="C487"/>
    <hyperlink r:id="rId486" ref="C488"/>
    <hyperlink r:id="rId487" ref="C489"/>
    <hyperlink r:id="rId488" ref="C490"/>
    <hyperlink r:id="rId489" ref="C491"/>
    <hyperlink r:id="rId490" ref="C492"/>
    <hyperlink r:id="rId491" ref="C493"/>
    <hyperlink r:id="rId492" ref="C494"/>
    <hyperlink r:id="rId493" ref="C495"/>
    <hyperlink r:id="rId494" ref="C496"/>
    <hyperlink r:id="rId495" ref="C497"/>
    <hyperlink r:id="rId496" ref="C498"/>
    <hyperlink r:id="rId497" ref="C499"/>
    <hyperlink r:id="rId498" ref="C500"/>
    <hyperlink r:id="rId499" ref="C501"/>
    <hyperlink r:id="rId500" ref="C502"/>
    <hyperlink r:id="rId501" ref="C503"/>
    <hyperlink r:id="rId502" ref="C504"/>
    <hyperlink r:id="rId503" ref="C505"/>
    <hyperlink r:id="rId504" ref="C506"/>
    <hyperlink r:id="rId505" ref="C507"/>
    <hyperlink r:id="rId506" ref="C508"/>
    <hyperlink r:id="rId507" ref="C509"/>
    <hyperlink r:id="rId508" ref="C510"/>
    <hyperlink r:id="rId509" ref="C511"/>
    <hyperlink r:id="rId510" ref="C512"/>
    <hyperlink r:id="rId511" ref="C513"/>
    <hyperlink r:id="rId512" ref="C514"/>
    <hyperlink r:id="rId513" ref="C515"/>
    <hyperlink r:id="rId514" ref="C516"/>
    <hyperlink r:id="rId515" ref="C517"/>
    <hyperlink r:id="rId516" ref="C518"/>
    <hyperlink r:id="rId517" ref="C519"/>
    <hyperlink r:id="rId518" ref="C520"/>
    <hyperlink r:id="rId519" ref="C521"/>
    <hyperlink r:id="rId520" ref="C522"/>
    <hyperlink r:id="rId521" ref="C523"/>
    <hyperlink r:id="rId522" ref="C524"/>
    <hyperlink r:id="rId523" ref="C525"/>
    <hyperlink r:id="rId524" ref="C526"/>
    <hyperlink r:id="rId525" ref="C527"/>
    <hyperlink r:id="rId526" ref="C528"/>
    <hyperlink r:id="rId527" ref="C529"/>
    <hyperlink r:id="rId528" ref="C530"/>
    <hyperlink r:id="rId529" ref="C531"/>
    <hyperlink r:id="rId530" ref="C532"/>
    <hyperlink r:id="rId531" ref="C533"/>
    <hyperlink r:id="rId532" ref="C534"/>
    <hyperlink r:id="rId533" ref="C535"/>
    <hyperlink r:id="rId534" ref="C536"/>
    <hyperlink r:id="rId535" ref="C537"/>
    <hyperlink r:id="rId536" ref="C538"/>
    <hyperlink r:id="rId537" ref="C539"/>
    <hyperlink r:id="rId538" ref="C540"/>
    <hyperlink r:id="rId539" ref="C541"/>
    <hyperlink r:id="rId540" ref="C542"/>
    <hyperlink r:id="rId541" ref="C543"/>
    <hyperlink r:id="rId542" ref="C544"/>
    <hyperlink r:id="rId543" ref="C545"/>
    <hyperlink r:id="rId544" ref="C546"/>
    <hyperlink r:id="rId545" ref="C547"/>
    <hyperlink r:id="rId546" ref="C548"/>
    <hyperlink r:id="rId547" ref="C549"/>
    <hyperlink r:id="rId548" ref="C550"/>
    <hyperlink r:id="rId549" ref="C551"/>
    <hyperlink r:id="rId550" ref="C552"/>
    <hyperlink r:id="rId551" ref="C553"/>
    <hyperlink r:id="rId552" ref="C554"/>
    <hyperlink r:id="rId553" ref="C555"/>
    <hyperlink r:id="rId554" ref="C556"/>
    <hyperlink r:id="rId555" ref="C557"/>
    <hyperlink r:id="rId556" ref="C558"/>
    <hyperlink r:id="rId557" ref="C559"/>
    <hyperlink r:id="rId558" ref="C560"/>
    <hyperlink r:id="rId559" ref="C561"/>
    <hyperlink r:id="rId560" ref="C562"/>
    <hyperlink r:id="rId561" ref="C563"/>
    <hyperlink r:id="rId562" ref="C564"/>
    <hyperlink r:id="rId563" ref="C565"/>
    <hyperlink r:id="rId564" ref="C566"/>
    <hyperlink r:id="rId565" ref="C567"/>
    <hyperlink r:id="rId566" ref="C568"/>
    <hyperlink r:id="rId567" ref="C569"/>
    <hyperlink r:id="rId568" ref="C570"/>
    <hyperlink r:id="rId569" ref="C571"/>
    <hyperlink r:id="rId570" ref="C572"/>
    <hyperlink r:id="rId571" ref="C573"/>
    <hyperlink r:id="rId572" ref="C574"/>
    <hyperlink r:id="rId573" ref="C575"/>
    <hyperlink r:id="rId574" ref="C576"/>
    <hyperlink r:id="rId575" ref="C577"/>
    <hyperlink r:id="rId576" ref="C578"/>
    <hyperlink r:id="rId577" ref="C579"/>
    <hyperlink r:id="rId578" ref="C580"/>
    <hyperlink r:id="rId579" ref="C581"/>
    <hyperlink r:id="rId580" ref="C582"/>
    <hyperlink r:id="rId581" ref="C583"/>
    <hyperlink r:id="rId582" ref="C584"/>
    <hyperlink r:id="rId583" ref="C585"/>
    <hyperlink r:id="rId584" ref="C586"/>
    <hyperlink r:id="rId585" ref="C587"/>
    <hyperlink r:id="rId586" ref="C588"/>
    <hyperlink r:id="rId587" ref="C589"/>
    <hyperlink r:id="rId588" ref="C590"/>
    <hyperlink r:id="rId589" ref="C591"/>
    <hyperlink r:id="rId590" ref="C592"/>
    <hyperlink r:id="rId591" ref="C593"/>
    <hyperlink r:id="rId592" ref="C594"/>
    <hyperlink r:id="rId593" ref="C595"/>
    <hyperlink r:id="rId594" ref="C596"/>
    <hyperlink r:id="rId595" ref="C597"/>
    <hyperlink r:id="rId596" ref="C598"/>
    <hyperlink r:id="rId597" ref="C599"/>
    <hyperlink r:id="rId598" ref="C600"/>
    <hyperlink r:id="rId599" ref="C601"/>
    <hyperlink r:id="rId600" ref="C602"/>
    <hyperlink r:id="rId601" ref="C603"/>
    <hyperlink r:id="rId602" ref="C604"/>
    <hyperlink r:id="rId603" ref="C605"/>
    <hyperlink r:id="rId604" ref="C606"/>
    <hyperlink r:id="rId605" ref="C607"/>
    <hyperlink r:id="rId606" ref="C608"/>
    <hyperlink r:id="rId607" ref="C609"/>
    <hyperlink r:id="rId608" ref="C610"/>
    <hyperlink r:id="rId609" ref="C611"/>
    <hyperlink r:id="rId610" ref="C612"/>
    <hyperlink r:id="rId611" ref="C613"/>
    <hyperlink r:id="rId612" ref="C614"/>
    <hyperlink r:id="rId613" ref="C615"/>
    <hyperlink r:id="rId614" ref="C616"/>
    <hyperlink r:id="rId615" ref="C617"/>
    <hyperlink r:id="rId616" ref="C618"/>
    <hyperlink r:id="rId617" ref="C619"/>
    <hyperlink r:id="rId618" ref="C620"/>
    <hyperlink r:id="rId619" ref="C621"/>
    <hyperlink r:id="rId620" ref="C622"/>
    <hyperlink r:id="rId621" ref="C623"/>
    <hyperlink r:id="rId622" ref="C624"/>
    <hyperlink r:id="rId623" ref="C625"/>
    <hyperlink r:id="rId624" ref="C626"/>
    <hyperlink r:id="rId625" ref="C627"/>
    <hyperlink r:id="rId626" ref="C628"/>
    <hyperlink r:id="rId627" ref="C629"/>
    <hyperlink r:id="rId628" ref="C630"/>
    <hyperlink r:id="rId629" ref="C631"/>
    <hyperlink r:id="rId630" ref="C632"/>
    <hyperlink r:id="rId631" ref="C633"/>
    <hyperlink r:id="rId632" ref="C634"/>
    <hyperlink r:id="rId633" ref="C635"/>
    <hyperlink r:id="rId634" ref="C636"/>
    <hyperlink r:id="rId635" ref="C637"/>
    <hyperlink r:id="rId636" ref="C638"/>
    <hyperlink r:id="rId637" ref="C639"/>
    <hyperlink r:id="rId638" ref="C640"/>
    <hyperlink r:id="rId639" ref="C641"/>
    <hyperlink r:id="rId640" ref="C642"/>
    <hyperlink r:id="rId641" ref="C643"/>
    <hyperlink r:id="rId642" ref="C644"/>
    <hyperlink r:id="rId643" ref="C645"/>
    <hyperlink r:id="rId644" ref="C646"/>
    <hyperlink r:id="rId645" ref="C647"/>
    <hyperlink r:id="rId646" ref="C648"/>
    <hyperlink r:id="rId647" ref="C649"/>
    <hyperlink r:id="rId648" ref="C650"/>
    <hyperlink r:id="rId649" ref="C651"/>
    <hyperlink r:id="rId650" ref="C652"/>
    <hyperlink r:id="rId651" ref="C653"/>
    <hyperlink r:id="rId652" ref="C654"/>
    <hyperlink r:id="rId653" ref="C655"/>
    <hyperlink r:id="rId654" ref="C656"/>
    <hyperlink r:id="rId655" ref="C657"/>
    <hyperlink r:id="rId656" ref="C658"/>
    <hyperlink r:id="rId657" ref="C659"/>
    <hyperlink r:id="rId658" ref="C660"/>
    <hyperlink r:id="rId659" ref="C661"/>
    <hyperlink r:id="rId660" ref="C662"/>
    <hyperlink r:id="rId661" ref="C663"/>
    <hyperlink r:id="rId662" ref="C664"/>
    <hyperlink r:id="rId663" ref="C665"/>
    <hyperlink r:id="rId664" ref="C666"/>
    <hyperlink r:id="rId665" ref="C667"/>
    <hyperlink r:id="rId666" ref="C668"/>
    <hyperlink r:id="rId667" ref="C669"/>
    <hyperlink r:id="rId668" ref="C670"/>
    <hyperlink r:id="rId669" ref="C671"/>
    <hyperlink r:id="rId670" ref="C672"/>
    <hyperlink r:id="rId671" ref="C673"/>
    <hyperlink r:id="rId672" ref="C674"/>
    <hyperlink r:id="rId673" ref="C675"/>
    <hyperlink r:id="rId674" ref="C676"/>
    <hyperlink r:id="rId675" ref="C677"/>
    <hyperlink r:id="rId676" ref="C678"/>
    <hyperlink r:id="rId677" ref="C679"/>
    <hyperlink r:id="rId678" ref="C680"/>
    <hyperlink r:id="rId679" ref="C681"/>
    <hyperlink r:id="rId680" ref="C682"/>
    <hyperlink r:id="rId681" ref="C683"/>
    <hyperlink r:id="rId682" ref="C684"/>
    <hyperlink r:id="rId683" ref="C685"/>
    <hyperlink r:id="rId684" ref="C686"/>
    <hyperlink r:id="rId685" ref="C687"/>
    <hyperlink r:id="rId686" ref="C688"/>
    <hyperlink r:id="rId687" ref="C689"/>
    <hyperlink r:id="rId688" ref="C690"/>
    <hyperlink r:id="rId689" ref="C691"/>
    <hyperlink r:id="rId690" ref="C692"/>
    <hyperlink r:id="rId691" ref="C693"/>
    <hyperlink r:id="rId692" ref="C694"/>
    <hyperlink r:id="rId693" ref="C695"/>
    <hyperlink r:id="rId694" ref="C696"/>
    <hyperlink r:id="rId695" ref="C697"/>
    <hyperlink r:id="rId696" ref="C698"/>
    <hyperlink r:id="rId697" ref="C699"/>
    <hyperlink r:id="rId698" ref="C700"/>
    <hyperlink r:id="rId699" ref="C701"/>
    <hyperlink r:id="rId700" ref="C702"/>
    <hyperlink r:id="rId701" ref="C703"/>
    <hyperlink r:id="rId702" ref="C704"/>
    <hyperlink r:id="rId703" ref="C705"/>
    <hyperlink r:id="rId704" ref="C706"/>
    <hyperlink r:id="rId705" ref="C707"/>
    <hyperlink r:id="rId706" ref="C708"/>
    <hyperlink r:id="rId707" ref="C709"/>
    <hyperlink r:id="rId708" ref="C710"/>
    <hyperlink r:id="rId709" ref="C711"/>
    <hyperlink r:id="rId710" ref="C712"/>
    <hyperlink r:id="rId711" ref="C713"/>
    <hyperlink r:id="rId712" ref="C714"/>
    <hyperlink r:id="rId713" ref="C715"/>
    <hyperlink r:id="rId714" ref="C716"/>
    <hyperlink r:id="rId715" ref="C717"/>
    <hyperlink r:id="rId716" ref="C718"/>
    <hyperlink r:id="rId717" ref="C719"/>
    <hyperlink r:id="rId718" ref="C720"/>
    <hyperlink r:id="rId719" ref="C721"/>
    <hyperlink r:id="rId720" ref="C722"/>
    <hyperlink r:id="rId721" ref="C723"/>
    <hyperlink r:id="rId722" ref="C724"/>
    <hyperlink r:id="rId723" ref="C725"/>
    <hyperlink r:id="rId724" ref="C726"/>
    <hyperlink r:id="rId725" ref="C727"/>
    <hyperlink r:id="rId726" ref="C728"/>
    <hyperlink r:id="rId727" ref="C729"/>
    <hyperlink r:id="rId728" ref="C730"/>
    <hyperlink r:id="rId729" ref="C731"/>
    <hyperlink r:id="rId730" ref="C732"/>
    <hyperlink r:id="rId731" ref="C733"/>
    <hyperlink r:id="rId732" ref="C734"/>
    <hyperlink r:id="rId733" ref="C735"/>
    <hyperlink r:id="rId734" ref="C736"/>
    <hyperlink r:id="rId735" ref="C737"/>
    <hyperlink r:id="rId736" ref="C738"/>
    <hyperlink r:id="rId737" ref="C739"/>
    <hyperlink r:id="rId738" ref="C740"/>
    <hyperlink r:id="rId739" ref="C741"/>
    <hyperlink r:id="rId740" ref="C742"/>
    <hyperlink r:id="rId741" ref="C743"/>
    <hyperlink r:id="rId742" ref="C744"/>
    <hyperlink r:id="rId743" ref="C745"/>
    <hyperlink r:id="rId744" ref="C746"/>
    <hyperlink r:id="rId745" ref="C747"/>
    <hyperlink r:id="rId746" ref="C748"/>
    <hyperlink r:id="rId747" ref="C749"/>
    <hyperlink r:id="rId748" ref="C750"/>
    <hyperlink r:id="rId749" ref="C751"/>
    <hyperlink r:id="rId750" ref="C752"/>
    <hyperlink r:id="rId751" ref="C753"/>
    <hyperlink r:id="rId752" ref="C754"/>
    <hyperlink r:id="rId753" ref="C755"/>
    <hyperlink r:id="rId754" ref="C756"/>
    <hyperlink r:id="rId755" ref="C757"/>
    <hyperlink r:id="rId756" ref="C758"/>
    <hyperlink r:id="rId757" ref="C759"/>
    <hyperlink r:id="rId758" ref="C760"/>
    <hyperlink r:id="rId759" ref="C761"/>
    <hyperlink r:id="rId760" ref="C762"/>
    <hyperlink r:id="rId761" ref="C763"/>
    <hyperlink r:id="rId762" ref="C764"/>
    <hyperlink r:id="rId763" ref="C765"/>
    <hyperlink r:id="rId764" ref="C766"/>
    <hyperlink r:id="rId765" ref="C767"/>
    <hyperlink r:id="rId766" ref="C768"/>
    <hyperlink r:id="rId767" ref="C769"/>
    <hyperlink r:id="rId768" ref="C770"/>
    <hyperlink r:id="rId769" ref="C771"/>
    <hyperlink r:id="rId770" ref="C772"/>
    <hyperlink r:id="rId771" ref="C773"/>
    <hyperlink r:id="rId772" ref="C774"/>
    <hyperlink r:id="rId773" ref="C775"/>
    <hyperlink r:id="rId774" ref="C776"/>
    <hyperlink r:id="rId775" ref="C777"/>
    <hyperlink r:id="rId776" ref="C778"/>
    <hyperlink r:id="rId777" ref="C779"/>
    <hyperlink r:id="rId778" ref="C780"/>
    <hyperlink r:id="rId779" ref="C781"/>
    <hyperlink r:id="rId780" ref="C782"/>
    <hyperlink r:id="rId781" ref="C783"/>
    <hyperlink r:id="rId782" ref="C784"/>
    <hyperlink r:id="rId783" ref="C785"/>
    <hyperlink r:id="rId784" ref="C786"/>
    <hyperlink r:id="rId785" ref="C787"/>
    <hyperlink r:id="rId786" ref="C788"/>
    <hyperlink r:id="rId787" ref="C789"/>
    <hyperlink r:id="rId788" ref="C790"/>
    <hyperlink r:id="rId789" ref="C791"/>
    <hyperlink r:id="rId790" ref="C792"/>
    <hyperlink r:id="rId791" ref="C793"/>
    <hyperlink r:id="rId792" ref="C794"/>
    <hyperlink r:id="rId793" ref="C795"/>
    <hyperlink r:id="rId794" ref="C796"/>
    <hyperlink r:id="rId795" ref="C797"/>
    <hyperlink r:id="rId796" ref="C798"/>
    <hyperlink r:id="rId797" ref="C799"/>
    <hyperlink r:id="rId798" ref="C800"/>
    <hyperlink r:id="rId799" ref="C801"/>
    <hyperlink r:id="rId800" ref="C802"/>
    <hyperlink r:id="rId801" ref="C803"/>
    <hyperlink r:id="rId802" ref="C804"/>
    <hyperlink r:id="rId803" ref="C805"/>
    <hyperlink r:id="rId804" ref="C806"/>
    <hyperlink r:id="rId805" ref="C807"/>
    <hyperlink r:id="rId806" ref="C808"/>
    <hyperlink r:id="rId807" ref="C809"/>
    <hyperlink r:id="rId808" ref="C810"/>
    <hyperlink r:id="rId809" ref="C811"/>
    <hyperlink r:id="rId810" ref="C812"/>
    <hyperlink r:id="rId811" ref="C813"/>
    <hyperlink r:id="rId812" ref="C814"/>
    <hyperlink r:id="rId813" ref="C815"/>
    <hyperlink r:id="rId814" ref="C816"/>
    <hyperlink r:id="rId815" ref="C817"/>
    <hyperlink r:id="rId816" ref="C818"/>
    <hyperlink r:id="rId817" ref="C819"/>
    <hyperlink r:id="rId818" ref="C820"/>
    <hyperlink r:id="rId819" ref="C821"/>
    <hyperlink r:id="rId820" ref="C822"/>
    <hyperlink r:id="rId821" ref="C823"/>
    <hyperlink r:id="rId822" ref="C824"/>
    <hyperlink r:id="rId823" ref="C825"/>
    <hyperlink r:id="rId824" ref="C826"/>
    <hyperlink r:id="rId825" ref="C827"/>
    <hyperlink r:id="rId826" ref="C828"/>
    <hyperlink r:id="rId827" ref="C829"/>
    <hyperlink r:id="rId828" ref="C830"/>
    <hyperlink r:id="rId829" ref="C831"/>
    <hyperlink r:id="rId830" ref="C832"/>
    <hyperlink r:id="rId831" ref="C833"/>
    <hyperlink r:id="rId832" ref="C834"/>
    <hyperlink r:id="rId833" ref="C835"/>
    <hyperlink r:id="rId834" ref="C836"/>
    <hyperlink r:id="rId835" ref="C837"/>
    <hyperlink r:id="rId836" ref="C838"/>
    <hyperlink r:id="rId837" ref="C839"/>
    <hyperlink r:id="rId838" ref="C840"/>
    <hyperlink r:id="rId839" ref="C841"/>
    <hyperlink r:id="rId840" ref="C842"/>
    <hyperlink r:id="rId841" ref="C843"/>
    <hyperlink r:id="rId842" ref="C844"/>
    <hyperlink r:id="rId843" ref="C845"/>
    <hyperlink r:id="rId844" ref="C846"/>
    <hyperlink r:id="rId845" ref="C847"/>
    <hyperlink r:id="rId846" ref="C848"/>
    <hyperlink r:id="rId847" ref="C849"/>
    <hyperlink r:id="rId848" ref="C850"/>
    <hyperlink r:id="rId849" ref="C851"/>
    <hyperlink r:id="rId850" ref="C852"/>
    <hyperlink r:id="rId851" ref="C853"/>
    <hyperlink r:id="rId852" ref="C854"/>
    <hyperlink r:id="rId853" ref="C855"/>
    <hyperlink r:id="rId854" ref="C856"/>
    <hyperlink r:id="rId855" ref="C857"/>
    <hyperlink r:id="rId856" ref="C858"/>
    <hyperlink r:id="rId857" ref="C859"/>
    <hyperlink r:id="rId858" ref="C860"/>
    <hyperlink r:id="rId859" ref="C861"/>
    <hyperlink r:id="rId860" ref="C862"/>
    <hyperlink r:id="rId861" ref="C863"/>
    <hyperlink r:id="rId862" ref="C864"/>
    <hyperlink r:id="rId863" ref="C865"/>
    <hyperlink r:id="rId864" ref="C866"/>
    <hyperlink r:id="rId865" ref="C867"/>
    <hyperlink r:id="rId866" ref="C868"/>
    <hyperlink r:id="rId867" ref="C869"/>
    <hyperlink r:id="rId868" ref="C870"/>
    <hyperlink r:id="rId869" ref="C871"/>
    <hyperlink r:id="rId870" ref="C872"/>
    <hyperlink r:id="rId871" ref="C873"/>
    <hyperlink r:id="rId872" ref="C874"/>
    <hyperlink r:id="rId873" ref="C875"/>
    <hyperlink r:id="rId874" ref="C876"/>
    <hyperlink r:id="rId875" ref="C877"/>
    <hyperlink r:id="rId876" ref="C878"/>
    <hyperlink r:id="rId877" ref="C879"/>
    <hyperlink r:id="rId878" ref="C880"/>
    <hyperlink r:id="rId879" ref="C881"/>
    <hyperlink r:id="rId880" ref="C882"/>
    <hyperlink r:id="rId881" ref="C883"/>
    <hyperlink r:id="rId882" ref="C884"/>
    <hyperlink r:id="rId883" ref="C885"/>
    <hyperlink r:id="rId884" ref="C886"/>
    <hyperlink r:id="rId885" ref="C887"/>
    <hyperlink r:id="rId886" ref="C888"/>
    <hyperlink r:id="rId887" ref="C889"/>
    <hyperlink r:id="rId888" ref="C890"/>
    <hyperlink r:id="rId889" ref="C891"/>
    <hyperlink r:id="rId890" ref="C892"/>
    <hyperlink r:id="rId891" ref="C893"/>
    <hyperlink r:id="rId892" ref="C894"/>
    <hyperlink r:id="rId893" ref="C895"/>
    <hyperlink r:id="rId894" ref="C896"/>
    <hyperlink r:id="rId895" ref="C897"/>
    <hyperlink r:id="rId896" ref="C898"/>
    <hyperlink r:id="rId897" ref="C899"/>
    <hyperlink r:id="rId898" ref="C900"/>
    <hyperlink r:id="rId899" ref="C901"/>
    <hyperlink r:id="rId900" ref="C902"/>
    <hyperlink r:id="rId901" ref="C903"/>
    <hyperlink r:id="rId902" ref="C904"/>
    <hyperlink r:id="rId903" ref="C905"/>
    <hyperlink r:id="rId904" ref="C906"/>
    <hyperlink r:id="rId905" ref="C907"/>
    <hyperlink r:id="rId906" ref="C908"/>
    <hyperlink r:id="rId907" ref="C909"/>
    <hyperlink r:id="rId908" ref="C910"/>
    <hyperlink r:id="rId909" ref="C911"/>
    <hyperlink r:id="rId910" ref="C912"/>
    <hyperlink r:id="rId911" ref="C913"/>
    <hyperlink r:id="rId912" ref="C914"/>
    <hyperlink r:id="rId913" ref="C915"/>
    <hyperlink r:id="rId914" ref="C916"/>
    <hyperlink r:id="rId915" ref="C917"/>
    <hyperlink r:id="rId916" ref="C918"/>
    <hyperlink r:id="rId917" ref="C919"/>
    <hyperlink r:id="rId918" ref="C920"/>
    <hyperlink r:id="rId919" ref="C921"/>
    <hyperlink r:id="rId920" ref="C922"/>
    <hyperlink r:id="rId921" ref="C923"/>
    <hyperlink r:id="rId922" ref="C924"/>
    <hyperlink r:id="rId923" ref="C925"/>
    <hyperlink r:id="rId924" ref="C926"/>
    <hyperlink r:id="rId925" ref="C927"/>
    <hyperlink r:id="rId926" ref="C928"/>
    <hyperlink r:id="rId927" ref="C929"/>
    <hyperlink r:id="rId928" ref="C930"/>
    <hyperlink r:id="rId929" ref="C931"/>
    <hyperlink r:id="rId930" ref="C932"/>
    <hyperlink r:id="rId931" ref="C933"/>
    <hyperlink r:id="rId932" ref="C934"/>
    <hyperlink r:id="rId933" ref="C935"/>
    <hyperlink r:id="rId934" ref="C936"/>
    <hyperlink r:id="rId935" ref="C937"/>
    <hyperlink r:id="rId936" ref="C938"/>
    <hyperlink r:id="rId937" ref="C939"/>
    <hyperlink r:id="rId938" ref="C940"/>
    <hyperlink r:id="rId939" ref="C941"/>
    <hyperlink r:id="rId940" ref="C942"/>
    <hyperlink r:id="rId941" ref="C943"/>
    <hyperlink r:id="rId942" ref="C944"/>
    <hyperlink r:id="rId943"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 r:id="rId972" ref="C974"/>
    <hyperlink r:id="rId973" ref="C975"/>
    <hyperlink r:id="rId974" ref="C976"/>
    <hyperlink r:id="rId975" ref="C977"/>
    <hyperlink r:id="rId976" ref="C978"/>
    <hyperlink r:id="rId977" ref="C979"/>
    <hyperlink r:id="rId978" ref="C980"/>
    <hyperlink r:id="rId979" ref="C981"/>
    <hyperlink r:id="rId980" ref="C982"/>
    <hyperlink r:id="rId981" ref="C983"/>
    <hyperlink r:id="rId982" ref="C984"/>
    <hyperlink r:id="rId983" ref="C985"/>
    <hyperlink r:id="rId984" ref="C986"/>
    <hyperlink r:id="rId985" ref="C987"/>
    <hyperlink r:id="rId986" ref="C988"/>
    <hyperlink r:id="rId987" ref="C989"/>
    <hyperlink r:id="rId988" ref="C990"/>
    <hyperlink r:id="rId989" ref="C991"/>
    <hyperlink r:id="rId990" ref="C992"/>
    <hyperlink r:id="rId991" ref="C993"/>
    <hyperlink r:id="rId992" ref="C994"/>
    <hyperlink r:id="rId993" ref="C995"/>
    <hyperlink r:id="rId994" ref="C996"/>
    <hyperlink r:id="rId995" ref="C997"/>
    <hyperlink r:id="rId996" ref="C998"/>
    <hyperlink r:id="rId997" ref="C999"/>
    <hyperlink r:id="rId998" ref="C1000"/>
    <hyperlink r:id="rId999" ref="C1001"/>
    <hyperlink r:id="rId1000" ref="C1002"/>
    <hyperlink r:id="rId1001" ref="C1003"/>
    <hyperlink r:id="rId1002" ref="C1004"/>
    <hyperlink r:id="rId1003" ref="C1005"/>
    <hyperlink r:id="rId1004" ref="C1006"/>
    <hyperlink r:id="rId1005" ref="C1007"/>
    <hyperlink r:id="rId1006" ref="C1008"/>
    <hyperlink r:id="rId1007" ref="C1009"/>
    <hyperlink r:id="rId1008" ref="C1010"/>
    <hyperlink r:id="rId1009" ref="C1011"/>
    <hyperlink r:id="rId1010" ref="C1012"/>
    <hyperlink r:id="rId1011" ref="C1013"/>
    <hyperlink r:id="rId1012" ref="C1014"/>
    <hyperlink r:id="rId1013" ref="C1015"/>
    <hyperlink r:id="rId1014" ref="C1016"/>
    <hyperlink r:id="rId1015" ref="C1017"/>
    <hyperlink r:id="rId1016" ref="C1018"/>
    <hyperlink r:id="rId1017" ref="C1019"/>
    <hyperlink r:id="rId1018" ref="C1020"/>
    <hyperlink r:id="rId1019" ref="C1021"/>
    <hyperlink r:id="rId1020" ref="C1022"/>
    <hyperlink r:id="rId1021" ref="C1023"/>
    <hyperlink r:id="rId1022" ref="C1024"/>
    <hyperlink r:id="rId1023" ref="C1025"/>
    <hyperlink r:id="rId1024" ref="C1026"/>
    <hyperlink r:id="rId1025" ref="C1027"/>
    <hyperlink r:id="rId1026" ref="C1028"/>
    <hyperlink r:id="rId1027" ref="C1029"/>
    <hyperlink r:id="rId1028" ref="C1030"/>
    <hyperlink r:id="rId1029" ref="C1031"/>
    <hyperlink r:id="rId1030" ref="C1032"/>
    <hyperlink r:id="rId1031" ref="C1033"/>
    <hyperlink r:id="rId1032" ref="C1034"/>
    <hyperlink r:id="rId1033" ref="C1035"/>
    <hyperlink r:id="rId1034" ref="C1036"/>
    <hyperlink r:id="rId1035" ref="C1037"/>
    <hyperlink r:id="rId1036" ref="C1038"/>
    <hyperlink r:id="rId1037" ref="C1039"/>
    <hyperlink r:id="rId1038" ref="C1040"/>
    <hyperlink r:id="rId1039" ref="C1041"/>
    <hyperlink r:id="rId1040" ref="C1042"/>
    <hyperlink r:id="rId1041" ref="C1043"/>
    <hyperlink r:id="rId1042" ref="C1044"/>
    <hyperlink r:id="rId1043" ref="C1045"/>
    <hyperlink r:id="rId1044" ref="C1046"/>
    <hyperlink r:id="rId1045" ref="C1047"/>
    <hyperlink r:id="rId1046" ref="C1048"/>
    <hyperlink r:id="rId1047" ref="C1049"/>
    <hyperlink r:id="rId1048" ref="C1050"/>
    <hyperlink r:id="rId1049" ref="C1051"/>
    <hyperlink r:id="rId1050" ref="C1052"/>
    <hyperlink r:id="rId1051" ref="C1053"/>
    <hyperlink r:id="rId1052" ref="C1054"/>
    <hyperlink r:id="rId1053" ref="C1055"/>
    <hyperlink r:id="rId1054" ref="C1056"/>
    <hyperlink r:id="rId1055" ref="C1057"/>
    <hyperlink r:id="rId1056" ref="C1058"/>
    <hyperlink r:id="rId1057" ref="C1059"/>
    <hyperlink r:id="rId1058" ref="C1060"/>
    <hyperlink r:id="rId1059" ref="C1061"/>
    <hyperlink r:id="rId1060" ref="C1062"/>
    <hyperlink r:id="rId1061" ref="C1063"/>
    <hyperlink r:id="rId1062" ref="C1064"/>
    <hyperlink r:id="rId1063" ref="C1065"/>
    <hyperlink r:id="rId1064" ref="C1066"/>
    <hyperlink r:id="rId1065" ref="C1067"/>
    <hyperlink r:id="rId1066" ref="C1068"/>
    <hyperlink r:id="rId1067" ref="C1069"/>
    <hyperlink r:id="rId1068" ref="C1070"/>
    <hyperlink r:id="rId1069" ref="C1071"/>
    <hyperlink r:id="rId1070" ref="C1072"/>
    <hyperlink r:id="rId1071" ref="C1073"/>
    <hyperlink r:id="rId1072" ref="C1074"/>
    <hyperlink r:id="rId1073" ref="C1075"/>
    <hyperlink r:id="rId1074" ref="C1076"/>
    <hyperlink r:id="rId1075" ref="C1077"/>
    <hyperlink r:id="rId1076" ref="C1078"/>
    <hyperlink r:id="rId1077" ref="C1079"/>
    <hyperlink r:id="rId1078" ref="C1080"/>
    <hyperlink r:id="rId1079" ref="C1081"/>
    <hyperlink r:id="rId1080" ref="C1082"/>
    <hyperlink r:id="rId1081" ref="C1083"/>
    <hyperlink r:id="rId1082" ref="C1084"/>
    <hyperlink r:id="rId1083" ref="C1085"/>
    <hyperlink r:id="rId1084" ref="C1086"/>
    <hyperlink r:id="rId1085" ref="C1087"/>
    <hyperlink r:id="rId1086" ref="C1088"/>
    <hyperlink r:id="rId1087" ref="C1089"/>
    <hyperlink r:id="rId1088" ref="C1090"/>
    <hyperlink r:id="rId1089" ref="C1091"/>
    <hyperlink r:id="rId1090" ref="C1092"/>
    <hyperlink r:id="rId1091" ref="C1093"/>
    <hyperlink r:id="rId1092" ref="C1094"/>
    <hyperlink r:id="rId1093" ref="C1095"/>
    <hyperlink r:id="rId1094" ref="C1096"/>
    <hyperlink r:id="rId1095" ref="C1097"/>
    <hyperlink r:id="rId1096" ref="C1098"/>
    <hyperlink r:id="rId1097" ref="C1099"/>
    <hyperlink r:id="rId1098" ref="C1100"/>
    <hyperlink r:id="rId1099" ref="C1101"/>
    <hyperlink r:id="rId1100" ref="C1102"/>
    <hyperlink r:id="rId1101" ref="C1103"/>
    <hyperlink r:id="rId1102" ref="C1104"/>
    <hyperlink r:id="rId1103" ref="C1105"/>
    <hyperlink r:id="rId1104" ref="C1106"/>
    <hyperlink r:id="rId1105" ref="C1107"/>
    <hyperlink r:id="rId1106" ref="C1108"/>
    <hyperlink r:id="rId1107" ref="C1109"/>
    <hyperlink r:id="rId1108" ref="C1110"/>
    <hyperlink r:id="rId1109" ref="C1111"/>
    <hyperlink r:id="rId1110" ref="C1112"/>
    <hyperlink r:id="rId1111" ref="C1113"/>
    <hyperlink r:id="rId1112" ref="C1114"/>
    <hyperlink r:id="rId1113" ref="C1115"/>
    <hyperlink r:id="rId1114" ref="C1116"/>
    <hyperlink r:id="rId1115" ref="C1117"/>
    <hyperlink r:id="rId1116" ref="C1118"/>
    <hyperlink r:id="rId1117" ref="C1119"/>
    <hyperlink r:id="rId1118" ref="C1120"/>
    <hyperlink r:id="rId1119" ref="C1121"/>
    <hyperlink r:id="rId1120" ref="C1122"/>
    <hyperlink r:id="rId1121" ref="C1123"/>
    <hyperlink r:id="rId1122" ref="C1124"/>
    <hyperlink r:id="rId1123" ref="C1125"/>
    <hyperlink r:id="rId1124" ref="C1126"/>
    <hyperlink r:id="rId1125" ref="C1127"/>
    <hyperlink r:id="rId1126" ref="C1128"/>
    <hyperlink r:id="rId1127" ref="C1129"/>
    <hyperlink r:id="rId1128" ref="C1130"/>
    <hyperlink r:id="rId1129" ref="C1131"/>
    <hyperlink r:id="rId1130" ref="C1132"/>
    <hyperlink r:id="rId1131" ref="C1133"/>
    <hyperlink r:id="rId1132" ref="C1134"/>
    <hyperlink r:id="rId1133" ref="C1135"/>
    <hyperlink r:id="rId1134" ref="C1136"/>
    <hyperlink r:id="rId1135" ref="C1137"/>
    <hyperlink r:id="rId1136" ref="C1138"/>
    <hyperlink r:id="rId1137" ref="C1139"/>
    <hyperlink r:id="rId1138" ref="C1140"/>
    <hyperlink r:id="rId1139" ref="C1141"/>
    <hyperlink r:id="rId1140" ref="C1142"/>
    <hyperlink r:id="rId1141" ref="C1143"/>
    <hyperlink r:id="rId1142" ref="C1144"/>
    <hyperlink r:id="rId1143" ref="C1145"/>
    <hyperlink r:id="rId1144" ref="C1146"/>
    <hyperlink r:id="rId1145" ref="C1147"/>
    <hyperlink r:id="rId1146" ref="C1148"/>
    <hyperlink r:id="rId1147" ref="C1149"/>
    <hyperlink r:id="rId1148" ref="C1150"/>
    <hyperlink r:id="rId1149" ref="C1151"/>
    <hyperlink r:id="rId1150" ref="C1152"/>
    <hyperlink r:id="rId1151" ref="C1153"/>
    <hyperlink r:id="rId1152" ref="C1154"/>
    <hyperlink r:id="rId1153" ref="C1155"/>
    <hyperlink r:id="rId1154" ref="C1156"/>
    <hyperlink r:id="rId1155" ref="C1157"/>
    <hyperlink r:id="rId1156" ref="C1158"/>
    <hyperlink r:id="rId1157" ref="C1159"/>
    <hyperlink r:id="rId1158" ref="C1160"/>
    <hyperlink r:id="rId1159" ref="C1161"/>
    <hyperlink r:id="rId1160" ref="C1162"/>
    <hyperlink r:id="rId1161" ref="C1163"/>
    <hyperlink r:id="rId1162" ref="C1164"/>
    <hyperlink r:id="rId1163" ref="C1165"/>
    <hyperlink r:id="rId1164" ref="C1166"/>
    <hyperlink r:id="rId1165" ref="C1167"/>
    <hyperlink r:id="rId1166" ref="C1168"/>
    <hyperlink r:id="rId1167" ref="C1169"/>
    <hyperlink r:id="rId1168" ref="C1170"/>
    <hyperlink r:id="rId1169" ref="C1171"/>
    <hyperlink r:id="rId1170" ref="C1172"/>
    <hyperlink r:id="rId1171" ref="C1173"/>
    <hyperlink r:id="rId1172" ref="C1174"/>
    <hyperlink r:id="rId1173" ref="C1175"/>
    <hyperlink r:id="rId1174" ref="C1176"/>
    <hyperlink r:id="rId1175" ref="C1177"/>
    <hyperlink r:id="rId1176" ref="C1178"/>
    <hyperlink r:id="rId1177" ref="C1179"/>
    <hyperlink r:id="rId1178" ref="C1180"/>
    <hyperlink r:id="rId1179" ref="C1181"/>
    <hyperlink r:id="rId1180" ref="C1182"/>
    <hyperlink r:id="rId1181" ref="C1183"/>
    <hyperlink r:id="rId1182" ref="C1184"/>
    <hyperlink r:id="rId1183" ref="C1185"/>
    <hyperlink r:id="rId1184" ref="C1186"/>
    <hyperlink r:id="rId1185" ref="C1187"/>
    <hyperlink r:id="rId1186" ref="C1188"/>
    <hyperlink r:id="rId1187" ref="C1189"/>
    <hyperlink r:id="rId1188" ref="C1190"/>
    <hyperlink r:id="rId1189" ref="C1191"/>
    <hyperlink r:id="rId1190" ref="C1192"/>
    <hyperlink r:id="rId1191" ref="C1193"/>
    <hyperlink r:id="rId1192" ref="C1194"/>
    <hyperlink r:id="rId1193" ref="C1195"/>
    <hyperlink r:id="rId1194" ref="C1196"/>
    <hyperlink r:id="rId1195" ref="C1197"/>
    <hyperlink r:id="rId1196" ref="C1198"/>
    <hyperlink r:id="rId1197" ref="C1199"/>
    <hyperlink r:id="rId1198" ref="C1200"/>
    <hyperlink r:id="rId1199" ref="C1201"/>
    <hyperlink r:id="rId1200" ref="C1202"/>
    <hyperlink r:id="rId1201" ref="C1203"/>
    <hyperlink r:id="rId1202" ref="C1204"/>
    <hyperlink r:id="rId1203" ref="C1205"/>
    <hyperlink r:id="rId1204" ref="C1206"/>
    <hyperlink r:id="rId1205" ref="C1207"/>
    <hyperlink r:id="rId1206" ref="C1208"/>
    <hyperlink r:id="rId1207" ref="C1209"/>
    <hyperlink r:id="rId1208" ref="C1210"/>
    <hyperlink r:id="rId1209" ref="C1211"/>
    <hyperlink r:id="rId1210" ref="C1212"/>
    <hyperlink r:id="rId1211" ref="C1213"/>
    <hyperlink r:id="rId1212" ref="C1214"/>
    <hyperlink r:id="rId1213" ref="C1215"/>
    <hyperlink r:id="rId1214" ref="C1216"/>
    <hyperlink r:id="rId1215" ref="C1217"/>
    <hyperlink r:id="rId1216" ref="C1218"/>
    <hyperlink r:id="rId1217" ref="C1219"/>
    <hyperlink r:id="rId1218" ref="C1220"/>
    <hyperlink r:id="rId1219" ref="C1221"/>
    <hyperlink r:id="rId1220" ref="C1222"/>
    <hyperlink r:id="rId1221" ref="C1223"/>
    <hyperlink r:id="rId1222" ref="C1224"/>
    <hyperlink r:id="rId1223" ref="C1225"/>
    <hyperlink r:id="rId1224" ref="C1226"/>
    <hyperlink r:id="rId1225" ref="C1227"/>
    <hyperlink r:id="rId1226" ref="C1228"/>
    <hyperlink r:id="rId1227" ref="C1229"/>
    <hyperlink r:id="rId1228" ref="C1230"/>
    <hyperlink r:id="rId1229" ref="C1231"/>
    <hyperlink r:id="rId1230" ref="C1232"/>
    <hyperlink r:id="rId1231" ref="C1233"/>
    <hyperlink r:id="rId1232" ref="C1234"/>
    <hyperlink r:id="rId1233" ref="C1235"/>
    <hyperlink r:id="rId1234" ref="C1236"/>
    <hyperlink r:id="rId1235" ref="C1237"/>
    <hyperlink r:id="rId1236" ref="C1238"/>
    <hyperlink r:id="rId1237" ref="C1239"/>
    <hyperlink r:id="rId1238" ref="C1240"/>
    <hyperlink r:id="rId1239" ref="C1241"/>
    <hyperlink r:id="rId1240" ref="C1242"/>
    <hyperlink r:id="rId1241" ref="C1243"/>
    <hyperlink r:id="rId1242" ref="C1244"/>
    <hyperlink r:id="rId1243" ref="C1245"/>
    <hyperlink r:id="rId1244" ref="C1246"/>
    <hyperlink r:id="rId1245" ref="C1247"/>
    <hyperlink r:id="rId1246" ref="C1248"/>
    <hyperlink r:id="rId1247" ref="C1249"/>
    <hyperlink r:id="rId1248" ref="C1250"/>
    <hyperlink r:id="rId1249" ref="C1251"/>
    <hyperlink r:id="rId1250" ref="C1252"/>
    <hyperlink r:id="rId1251" ref="C1253"/>
    <hyperlink r:id="rId1252" ref="C1254"/>
    <hyperlink r:id="rId1253" ref="C1255"/>
    <hyperlink r:id="rId1254" ref="C1256"/>
    <hyperlink r:id="rId1255" ref="C1257"/>
    <hyperlink r:id="rId1256" ref="C1258"/>
    <hyperlink r:id="rId1257" ref="C1259"/>
    <hyperlink r:id="rId1258" ref="C1260"/>
    <hyperlink r:id="rId1259" ref="C1261"/>
    <hyperlink r:id="rId1260" ref="C1262"/>
    <hyperlink r:id="rId1261" ref="C1263"/>
    <hyperlink r:id="rId1262" ref="C1264"/>
    <hyperlink r:id="rId1263" ref="C1265"/>
    <hyperlink r:id="rId1264" ref="C1266"/>
    <hyperlink r:id="rId1265" ref="C1267"/>
    <hyperlink r:id="rId1266" ref="C1268"/>
    <hyperlink r:id="rId1267" ref="C1269"/>
    <hyperlink r:id="rId1268" ref="C1270"/>
    <hyperlink r:id="rId1269" ref="C1271"/>
    <hyperlink r:id="rId1270" ref="C1272"/>
    <hyperlink r:id="rId1271" ref="C1273"/>
    <hyperlink r:id="rId1272" ref="C1274"/>
    <hyperlink r:id="rId1273" ref="C1275"/>
    <hyperlink r:id="rId1274" ref="C1276"/>
    <hyperlink r:id="rId1275" ref="C1277"/>
    <hyperlink r:id="rId1276" ref="C1278"/>
    <hyperlink r:id="rId1277" ref="C1279"/>
    <hyperlink r:id="rId1278" ref="C1280"/>
    <hyperlink r:id="rId1279" ref="C1281"/>
    <hyperlink r:id="rId1280" ref="C1282"/>
    <hyperlink r:id="rId1281" ref="C1283"/>
    <hyperlink r:id="rId1282" ref="C1284"/>
    <hyperlink r:id="rId1283" ref="C1285"/>
    <hyperlink r:id="rId1284" ref="C1286"/>
    <hyperlink r:id="rId1285" ref="C1287"/>
    <hyperlink r:id="rId1286" ref="C1288"/>
    <hyperlink r:id="rId1287" ref="C1289"/>
    <hyperlink r:id="rId1288" ref="C1290"/>
    <hyperlink r:id="rId1289" ref="C1291"/>
    <hyperlink r:id="rId1290" ref="C1292"/>
    <hyperlink r:id="rId1291" ref="C1293"/>
    <hyperlink r:id="rId1292" ref="C1294"/>
    <hyperlink r:id="rId1293" ref="C1295"/>
    <hyperlink r:id="rId1294" ref="C1296"/>
    <hyperlink r:id="rId1295" ref="C1297"/>
    <hyperlink r:id="rId1296" ref="C1298"/>
    <hyperlink r:id="rId1297" ref="C1299"/>
    <hyperlink r:id="rId1298" ref="C1300"/>
    <hyperlink r:id="rId1299" ref="C1301"/>
    <hyperlink r:id="rId1300" ref="C1302"/>
    <hyperlink r:id="rId1301" ref="C1303"/>
    <hyperlink r:id="rId1302" ref="C1304"/>
    <hyperlink r:id="rId1303" ref="C1305"/>
    <hyperlink r:id="rId1304" ref="C1306"/>
    <hyperlink r:id="rId1305" ref="C1307"/>
    <hyperlink r:id="rId1306" ref="C1308"/>
    <hyperlink r:id="rId1307" ref="C1309"/>
    <hyperlink r:id="rId1308" ref="C1310"/>
    <hyperlink r:id="rId1309" ref="C1311"/>
    <hyperlink r:id="rId1310" ref="C1312"/>
    <hyperlink r:id="rId1311" ref="C1313"/>
    <hyperlink r:id="rId1312" ref="C1314"/>
    <hyperlink r:id="rId1313" ref="C1315"/>
    <hyperlink r:id="rId1314" ref="C1316"/>
    <hyperlink r:id="rId1315" ref="C1317"/>
    <hyperlink r:id="rId1316" ref="C1318"/>
    <hyperlink r:id="rId1317" ref="C1319"/>
    <hyperlink r:id="rId1318" ref="C1320"/>
    <hyperlink r:id="rId1319" ref="C1321"/>
    <hyperlink r:id="rId1320" ref="C1322"/>
    <hyperlink r:id="rId1321" ref="C1323"/>
    <hyperlink r:id="rId1322" ref="C1324"/>
    <hyperlink r:id="rId1323" ref="C1325"/>
    <hyperlink r:id="rId1324" ref="C1326"/>
    <hyperlink r:id="rId1325" ref="C1327"/>
    <hyperlink r:id="rId1326" ref="C1328"/>
    <hyperlink r:id="rId1327" ref="C1329"/>
    <hyperlink r:id="rId1328" ref="C1330"/>
    <hyperlink r:id="rId1329" ref="C1331"/>
    <hyperlink r:id="rId1330" ref="C1332"/>
    <hyperlink r:id="rId1331" ref="C1333"/>
    <hyperlink r:id="rId1332" ref="C1334"/>
    <hyperlink r:id="rId1333" ref="C1335"/>
    <hyperlink r:id="rId1334" ref="C1336"/>
    <hyperlink r:id="rId1335" ref="C1337"/>
    <hyperlink r:id="rId1336" ref="C1338"/>
    <hyperlink r:id="rId1337" ref="C1339"/>
    <hyperlink r:id="rId1338" ref="C1340"/>
    <hyperlink r:id="rId1339" ref="C1341"/>
    <hyperlink r:id="rId1340" ref="C1342"/>
    <hyperlink r:id="rId1341" ref="C1343"/>
    <hyperlink r:id="rId1342" ref="C1344"/>
    <hyperlink r:id="rId1343" ref="C1345"/>
    <hyperlink r:id="rId1344" ref="C1346"/>
    <hyperlink r:id="rId1345" ref="C1347"/>
    <hyperlink r:id="rId1346" ref="C1348"/>
    <hyperlink r:id="rId1347" ref="C1349"/>
    <hyperlink r:id="rId1348" ref="C1350"/>
    <hyperlink r:id="rId1349" ref="C1351"/>
    <hyperlink r:id="rId1350" ref="C1352"/>
    <hyperlink r:id="rId1351" ref="C1353"/>
    <hyperlink r:id="rId1352" ref="C1354"/>
    <hyperlink r:id="rId1353" ref="C1355"/>
    <hyperlink r:id="rId1354" ref="C1356"/>
    <hyperlink r:id="rId1355" ref="C1357"/>
    <hyperlink r:id="rId1356" ref="C1358"/>
    <hyperlink r:id="rId1357" ref="C1359"/>
    <hyperlink r:id="rId1358" ref="C1360"/>
    <hyperlink r:id="rId1359" ref="C1361"/>
    <hyperlink r:id="rId1360" ref="C1362"/>
    <hyperlink r:id="rId1361" ref="C1363"/>
    <hyperlink r:id="rId1362" ref="C1364"/>
    <hyperlink r:id="rId1363" ref="C1365"/>
    <hyperlink r:id="rId1364" ref="C1366"/>
    <hyperlink r:id="rId1365" ref="C1367"/>
    <hyperlink r:id="rId1366" ref="C1368"/>
    <hyperlink r:id="rId1367" ref="C1369"/>
    <hyperlink r:id="rId1368" ref="C1370"/>
    <hyperlink r:id="rId1369" ref="C1371"/>
    <hyperlink r:id="rId1370" ref="C1372"/>
    <hyperlink r:id="rId1371" ref="C1373"/>
    <hyperlink r:id="rId1372" ref="C1374"/>
    <hyperlink r:id="rId1373" ref="C1375"/>
    <hyperlink r:id="rId1374" ref="C1376"/>
    <hyperlink r:id="rId1375" ref="C1377"/>
    <hyperlink r:id="rId1376" ref="C1378"/>
    <hyperlink r:id="rId1377" ref="C1379"/>
    <hyperlink r:id="rId1378" ref="C1380"/>
    <hyperlink r:id="rId1379" ref="C1381"/>
    <hyperlink r:id="rId1380" ref="C1382"/>
    <hyperlink r:id="rId1381" ref="C1383"/>
    <hyperlink r:id="rId1382" ref="C1384"/>
    <hyperlink r:id="rId1383" ref="C1385"/>
    <hyperlink r:id="rId1384" ref="C1386"/>
    <hyperlink r:id="rId1385" ref="C1387"/>
    <hyperlink r:id="rId1386" ref="C1388"/>
    <hyperlink r:id="rId1387" ref="C1389"/>
    <hyperlink r:id="rId1388" ref="C1390"/>
    <hyperlink r:id="rId1389" ref="C1391"/>
    <hyperlink r:id="rId1390" ref="C1392"/>
    <hyperlink r:id="rId1391" ref="C1393"/>
    <hyperlink r:id="rId1392" ref="C1394"/>
    <hyperlink r:id="rId1393" ref="C1395"/>
    <hyperlink r:id="rId1394" ref="C1396"/>
    <hyperlink r:id="rId1395" ref="C1397"/>
    <hyperlink r:id="rId1396" ref="C1398"/>
    <hyperlink r:id="rId1397" ref="C1399"/>
    <hyperlink r:id="rId1398" ref="C1400"/>
    <hyperlink r:id="rId1399" ref="C1401"/>
    <hyperlink r:id="rId1400" ref="C1402"/>
    <hyperlink r:id="rId1401" ref="C1403"/>
    <hyperlink r:id="rId1402" ref="C1404"/>
    <hyperlink r:id="rId1403" ref="C1405"/>
    <hyperlink r:id="rId1404" ref="C1406"/>
    <hyperlink r:id="rId1405" ref="C1407"/>
    <hyperlink r:id="rId1406" ref="C1408"/>
    <hyperlink r:id="rId1407" ref="C1409"/>
    <hyperlink r:id="rId1408" ref="C1410"/>
    <hyperlink r:id="rId1409" ref="C1411"/>
    <hyperlink r:id="rId1410" ref="C1412"/>
    <hyperlink r:id="rId1411" ref="C1413"/>
    <hyperlink r:id="rId1412" ref="C1414"/>
    <hyperlink r:id="rId1413" ref="C1415"/>
    <hyperlink r:id="rId1414" ref="C1416"/>
    <hyperlink r:id="rId1415" ref="C1417"/>
    <hyperlink r:id="rId1416" ref="C1418"/>
    <hyperlink r:id="rId1417" ref="C1419"/>
    <hyperlink r:id="rId1418" ref="C1420"/>
    <hyperlink r:id="rId1419" ref="C1421"/>
    <hyperlink r:id="rId1420" ref="C1422"/>
    <hyperlink r:id="rId1421" ref="C1423"/>
    <hyperlink r:id="rId1422" ref="C1424"/>
    <hyperlink r:id="rId1423" ref="C1425"/>
    <hyperlink r:id="rId1424" ref="C1426"/>
    <hyperlink r:id="rId1425" ref="C1427"/>
    <hyperlink r:id="rId1426" ref="C1428"/>
    <hyperlink r:id="rId1427" ref="C1429"/>
    <hyperlink r:id="rId1428" ref="C1430"/>
    <hyperlink r:id="rId1429" ref="C1431"/>
    <hyperlink r:id="rId1430" ref="C1432"/>
    <hyperlink r:id="rId1431" ref="C1433"/>
    <hyperlink r:id="rId1432" ref="C1434"/>
    <hyperlink r:id="rId1433" ref="C1435"/>
    <hyperlink r:id="rId1434" ref="C1436"/>
    <hyperlink r:id="rId1435" ref="C1437"/>
    <hyperlink r:id="rId1436" ref="C1438"/>
    <hyperlink r:id="rId1437" ref="C1439"/>
    <hyperlink r:id="rId1438" ref="C1440"/>
    <hyperlink r:id="rId1439" ref="C1441"/>
    <hyperlink r:id="rId1440" ref="C1442"/>
    <hyperlink r:id="rId1441" ref="C1443"/>
    <hyperlink r:id="rId1442" ref="C1444"/>
    <hyperlink r:id="rId1443" ref="C1445"/>
    <hyperlink r:id="rId1444" ref="C1446"/>
    <hyperlink r:id="rId1445" ref="C1447"/>
    <hyperlink r:id="rId1446" ref="C1448"/>
    <hyperlink r:id="rId1447" ref="C1449"/>
    <hyperlink r:id="rId1448" ref="C1450"/>
    <hyperlink r:id="rId1449" ref="C1451"/>
    <hyperlink r:id="rId1450" ref="C1452"/>
    <hyperlink r:id="rId1451" ref="C1453"/>
    <hyperlink r:id="rId1452" ref="C1454"/>
    <hyperlink r:id="rId1453" ref="C1455"/>
    <hyperlink r:id="rId1454" ref="C1456"/>
    <hyperlink r:id="rId1455" ref="C1457"/>
    <hyperlink r:id="rId1456" ref="C1458"/>
    <hyperlink r:id="rId1457" ref="C1459"/>
    <hyperlink r:id="rId1458" ref="C1460"/>
    <hyperlink r:id="rId1459" ref="C1461"/>
    <hyperlink r:id="rId1460" ref="C1462"/>
    <hyperlink r:id="rId1461" ref="C1463"/>
    <hyperlink r:id="rId1462" ref="C1464"/>
    <hyperlink r:id="rId1463" ref="C1465"/>
    <hyperlink r:id="rId1464" ref="C1466"/>
    <hyperlink r:id="rId1465" ref="C1467"/>
    <hyperlink r:id="rId1466" ref="C1468"/>
    <hyperlink r:id="rId1467" ref="C1469"/>
    <hyperlink r:id="rId1468" ref="C1470"/>
    <hyperlink r:id="rId1469" ref="C1471"/>
    <hyperlink r:id="rId1470" ref="C1472"/>
    <hyperlink r:id="rId1471" ref="C1473"/>
    <hyperlink r:id="rId1472" ref="C1474"/>
    <hyperlink r:id="rId1473" ref="C1475"/>
    <hyperlink r:id="rId1474" ref="C1476"/>
    <hyperlink r:id="rId1475" ref="C1477"/>
    <hyperlink r:id="rId1476" ref="C1478"/>
    <hyperlink r:id="rId1477" ref="C1479"/>
    <hyperlink r:id="rId1478" ref="C1480"/>
    <hyperlink r:id="rId1479" ref="C1481"/>
    <hyperlink r:id="rId1480" ref="C1482"/>
    <hyperlink r:id="rId1481" ref="C1483"/>
    <hyperlink r:id="rId1482" ref="C1484"/>
    <hyperlink r:id="rId1483" ref="C1485"/>
    <hyperlink r:id="rId1484" ref="C1486"/>
    <hyperlink r:id="rId1485" ref="C1487"/>
    <hyperlink r:id="rId1486" ref="C1488"/>
    <hyperlink r:id="rId1487" ref="C1489"/>
    <hyperlink r:id="rId1488" ref="C1490"/>
    <hyperlink r:id="rId1489" ref="C1491"/>
    <hyperlink r:id="rId1490" ref="C1492"/>
    <hyperlink r:id="rId1491" ref="C1493"/>
    <hyperlink r:id="rId1492" ref="C1494"/>
    <hyperlink r:id="rId1493" ref="C1495"/>
    <hyperlink r:id="rId1494" ref="C1496"/>
    <hyperlink r:id="rId1495" ref="C1497"/>
    <hyperlink r:id="rId1496" ref="C1498"/>
    <hyperlink r:id="rId1497" ref="C1499"/>
    <hyperlink r:id="rId1498" ref="C1500"/>
    <hyperlink r:id="rId1499" ref="C1501"/>
    <hyperlink r:id="rId1500" ref="C1502"/>
    <hyperlink r:id="rId1501" ref="C1503"/>
    <hyperlink r:id="rId1502" ref="C1504"/>
    <hyperlink r:id="rId1503" ref="C1505"/>
    <hyperlink r:id="rId1504" ref="C1506"/>
    <hyperlink r:id="rId1505" ref="C1507"/>
    <hyperlink r:id="rId1506" ref="C1508"/>
    <hyperlink r:id="rId1507" ref="C1509"/>
    <hyperlink r:id="rId1508" ref="C1510"/>
    <hyperlink r:id="rId1509" ref="C1511"/>
    <hyperlink r:id="rId1510" ref="C1512"/>
    <hyperlink r:id="rId1511" ref="C1513"/>
    <hyperlink r:id="rId1512" ref="C1514"/>
    <hyperlink r:id="rId1513" ref="C1515"/>
    <hyperlink r:id="rId1514" ref="C1516"/>
    <hyperlink r:id="rId1515" ref="C1517"/>
    <hyperlink r:id="rId1516" ref="C1518"/>
    <hyperlink r:id="rId1517" ref="C1519"/>
    <hyperlink r:id="rId1518" ref="C1520"/>
    <hyperlink r:id="rId1519" ref="C1521"/>
    <hyperlink r:id="rId1520" ref="C1522"/>
    <hyperlink r:id="rId1521" ref="C1523"/>
    <hyperlink r:id="rId1522" ref="C1524"/>
    <hyperlink r:id="rId1523" ref="C1525"/>
    <hyperlink r:id="rId1524" ref="C1526"/>
    <hyperlink r:id="rId1525" ref="C1527"/>
    <hyperlink r:id="rId1526" ref="C1528"/>
    <hyperlink r:id="rId1527" ref="C1529"/>
    <hyperlink r:id="rId1528" ref="C1530"/>
    <hyperlink r:id="rId1529" ref="C1531"/>
    <hyperlink r:id="rId1530" ref="C1532"/>
    <hyperlink r:id="rId1531" ref="C1533"/>
    <hyperlink r:id="rId1532" ref="C1534"/>
    <hyperlink r:id="rId1533" ref="C1535"/>
    <hyperlink r:id="rId1534" ref="C1536"/>
    <hyperlink r:id="rId1535" ref="C1537"/>
    <hyperlink r:id="rId1536" ref="C1538"/>
    <hyperlink r:id="rId1537" ref="C1539"/>
    <hyperlink r:id="rId1538" ref="C1540"/>
    <hyperlink r:id="rId1539" ref="C1541"/>
    <hyperlink r:id="rId1540" ref="C1542"/>
    <hyperlink r:id="rId1541" ref="C1543"/>
    <hyperlink r:id="rId1542" ref="C1544"/>
    <hyperlink r:id="rId1543" ref="C1545"/>
    <hyperlink r:id="rId1544" ref="C1546"/>
    <hyperlink r:id="rId1545" ref="C1547"/>
    <hyperlink r:id="rId1546" ref="C1548"/>
    <hyperlink r:id="rId1547" ref="C1549"/>
    <hyperlink r:id="rId1548" ref="C1550"/>
    <hyperlink r:id="rId1549" ref="C1551"/>
    <hyperlink r:id="rId1550" ref="C1552"/>
    <hyperlink r:id="rId1551" ref="C1553"/>
    <hyperlink r:id="rId1552" ref="C1554"/>
    <hyperlink r:id="rId1553" ref="C1555"/>
    <hyperlink r:id="rId1554" ref="C1556"/>
    <hyperlink r:id="rId1555" ref="C1557"/>
    <hyperlink r:id="rId1556" ref="C1558"/>
    <hyperlink r:id="rId1557" ref="C1559"/>
    <hyperlink r:id="rId1558" ref="C1560"/>
    <hyperlink r:id="rId1559" ref="C1561"/>
    <hyperlink r:id="rId1560" ref="C1562"/>
    <hyperlink r:id="rId1561" ref="C1563"/>
    <hyperlink r:id="rId1562" ref="C1564"/>
    <hyperlink r:id="rId1563" ref="C1565"/>
    <hyperlink r:id="rId1564" ref="C1566"/>
    <hyperlink r:id="rId1565" ref="C1567"/>
    <hyperlink r:id="rId1566" ref="C1568"/>
    <hyperlink r:id="rId1567" ref="C1569"/>
    <hyperlink r:id="rId1568" ref="C1570"/>
    <hyperlink r:id="rId1569" ref="C1571"/>
    <hyperlink r:id="rId1570" ref="C1572"/>
    <hyperlink r:id="rId1571" ref="C1573"/>
    <hyperlink r:id="rId1572" ref="C1574"/>
    <hyperlink r:id="rId1573" ref="C1575"/>
    <hyperlink r:id="rId1574" ref="C1576"/>
    <hyperlink r:id="rId1575" ref="C1577"/>
    <hyperlink r:id="rId1576" ref="C1578"/>
    <hyperlink r:id="rId1577" ref="C1579"/>
    <hyperlink r:id="rId1578" ref="C1580"/>
    <hyperlink r:id="rId1579" ref="C1581"/>
    <hyperlink r:id="rId1580" ref="C1582"/>
    <hyperlink r:id="rId1581" ref="C1583"/>
    <hyperlink r:id="rId1582" ref="C1584"/>
    <hyperlink r:id="rId1583" ref="C1585"/>
    <hyperlink r:id="rId1584" ref="C1586"/>
    <hyperlink r:id="rId1585" ref="C1587"/>
    <hyperlink r:id="rId1586" ref="C1588"/>
    <hyperlink r:id="rId1587" ref="C1589"/>
    <hyperlink r:id="rId1588" ref="C1590"/>
    <hyperlink r:id="rId1589" ref="C1591"/>
    <hyperlink r:id="rId1590" ref="C1592"/>
    <hyperlink r:id="rId1591" ref="C1593"/>
    <hyperlink r:id="rId1592" ref="C1594"/>
    <hyperlink r:id="rId1593" ref="C1595"/>
    <hyperlink r:id="rId1594" ref="C1596"/>
    <hyperlink r:id="rId1595" ref="C1597"/>
    <hyperlink r:id="rId1596" ref="C1598"/>
    <hyperlink r:id="rId1597" ref="C1599"/>
    <hyperlink r:id="rId1598" ref="C1600"/>
    <hyperlink r:id="rId1599" ref="C1601"/>
    <hyperlink r:id="rId1600" ref="C1602"/>
    <hyperlink r:id="rId1601" ref="C1603"/>
    <hyperlink r:id="rId1602" ref="C1604"/>
    <hyperlink r:id="rId1603" ref="C1605"/>
    <hyperlink r:id="rId1604" ref="C1606"/>
    <hyperlink r:id="rId1605" ref="C1607"/>
    <hyperlink r:id="rId1606" ref="C1608"/>
    <hyperlink r:id="rId1607" ref="C1609"/>
    <hyperlink r:id="rId1608" ref="C1610"/>
    <hyperlink r:id="rId1609" ref="C1611"/>
    <hyperlink r:id="rId1610" ref="C1612"/>
    <hyperlink r:id="rId1611" ref="C1613"/>
    <hyperlink r:id="rId1612" ref="C1614"/>
    <hyperlink r:id="rId1613" ref="C1615"/>
    <hyperlink r:id="rId1614" ref="C1616"/>
    <hyperlink r:id="rId1615" ref="C1617"/>
    <hyperlink r:id="rId1616" ref="C1618"/>
    <hyperlink r:id="rId1617" ref="C1619"/>
    <hyperlink r:id="rId1618" ref="C1620"/>
    <hyperlink r:id="rId1619" ref="C1621"/>
    <hyperlink r:id="rId1620" ref="C1622"/>
    <hyperlink r:id="rId1621" ref="C1623"/>
    <hyperlink r:id="rId1622" ref="C1624"/>
    <hyperlink r:id="rId1623" ref="C1625"/>
    <hyperlink r:id="rId1624" ref="C1626"/>
    <hyperlink r:id="rId1625" ref="C1627"/>
    <hyperlink r:id="rId1626" ref="C1628"/>
    <hyperlink r:id="rId1627" ref="C1629"/>
    <hyperlink r:id="rId1628" ref="C1630"/>
    <hyperlink r:id="rId1629" ref="C1631"/>
    <hyperlink r:id="rId1630" ref="C1632"/>
    <hyperlink r:id="rId1631" ref="C1633"/>
    <hyperlink r:id="rId1632" ref="C1634"/>
    <hyperlink r:id="rId1633" ref="C1635"/>
    <hyperlink r:id="rId1634" ref="C1636"/>
    <hyperlink r:id="rId1635" ref="C1637"/>
    <hyperlink r:id="rId1636" ref="C1638"/>
    <hyperlink r:id="rId1637" ref="C1639"/>
    <hyperlink r:id="rId1638" ref="C1640"/>
    <hyperlink r:id="rId1639" ref="C1641"/>
    <hyperlink r:id="rId1640" ref="C1642"/>
    <hyperlink r:id="rId1641" ref="C1643"/>
    <hyperlink r:id="rId1642" ref="C1644"/>
    <hyperlink r:id="rId1643" ref="C1645"/>
    <hyperlink r:id="rId1644" ref="C1646"/>
    <hyperlink r:id="rId1645" ref="C1647"/>
    <hyperlink r:id="rId1646" ref="C1648"/>
    <hyperlink r:id="rId1647" ref="C1649"/>
    <hyperlink r:id="rId1648" ref="C1650"/>
    <hyperlink r:id="rId1649" ref="C1651"/>
    <hyperlink r:id="rId1650" ref="C1652"/>
    <hyperlink r:id="rId1651" ref="C1653"/>
    <hyperlink r:id="rId1652" ref="C1654"/>
    <hyperlink r:id="rId1653" ref="C1655"/>
    <hyperlink r:id="rId1654" ref="C1656"/>
    <hyperlink r:id="rId1655" ref="C1657"/>
    <hyperlink r:id="rId1656" ref="C1658"/>
    <hyperlink r:id="rId1657" ref="C1659"/>
    <hyperlink r:id="rId1658" ref="C1660"/>
    <hyperlink r:id="rId1659" ref="C1661"/>
    <hyperlink r:id="rId1660" ref="C1662"/>
    <hyperlink r:id="rId1661" ref="C1663"/>
    <hyperlink r:id="rId1662" ref="C1664"/>
    <hyperlink r:id="rId1663" ref="C1665"/>
    <hyperlink r:id="rId1664" ref="C1666"/>
    <hyperlink r:id="rId1665" ref="C1667"/>
    <hyperlink r:id="rId1666" ref="C1668"/>
    <hyperlink r:id="rId1667" ref="C1669"/>
    <hyperlink r:id="rId1668" ref="C1670"/>
    <hyperlink r:id="rId1669" ref="C1671"/>
    <hyperlink r:id="rId1670" ref="C1672"/>
    <hyperlink r:id="rId1671" ref="C1673"/>
    <hyperlink r:id="rId1672" ref="C1674"/>
    <hyperlink r:id="rId1673" ref="C1675"/>
    <hyperlink r:id="rId1674" ref="C1676"/>
    <hyperlink r:id="rId1675" ref="C1677"/>
    <hyperlink r:id="rId1676" ref="C1678"/>
    <hyperlink r:id="rId1677" ref="C1679"/>
    <hyperlink r:id="rId1678" ref="C1680"/>
    <hyperlink r:id="rId1679" ref="C1681"/>
    <hyperlink r:id="rId1680" ref="C1682"/>
    <hyperlink r:id="rId1681" ref="C1683"/>
    <hyperlink r:id="rId1682" ref="C1684"/>
    <hyperlink r:id="rId1683" ref="C1685"/>
    <hyperlink r:id="rId1684" ref="C1686"/>
    <hyperlink r:id="rId1685" ref="C1687"/>
    <hyperlink r:id="rId1686" ref="C1688"/>
    <hyperlink r:id="rId1687" ref="C1689"/>
    <hyperlink r:id="rId1688" ref="C1690"/>
    <hyperlink r:id="rId1689" ref="C1691"/>
    <hyperlink r:id="rId1690" ref="C1692"/>
    <hyperlink r:id="rId1691" ref="C1693"/>
    <hyperlink r:id="rId1692" ref="C1694"/>
    <hyperlink r:id="rId1693" ref="C1695"/>
    <hyperlink r:id="rId1694" ref="C1696"/>
    <hyperlink r:id="rId1695" ref="C1697"/>
    <hyperlink r:id="rId1696" ref="C1698"/>
    <hyperlink r:id="rId1697" ref="C1699"/>
    <hyperlink r:id="rId1698" ref="C1700"/>
    <hyperlink r:id="rId1699" ref="C1701"/>
    <hyperlink r:id="rId1700" ref="C1702"/>
    <hyperlink r:id="rId1701" ref="C1703"/>
    <hyperlink r:id="rId1702" ref="C1704"/>
    <hyperlink r:id="rId1703" ref="C1705"/>
    <hyperlink r:id="rId1704" ref="C1706"/>
    <hyperlink r:id="rId1705" ref="C1707"/>
    <hyperlink r:id="rId1706" ref="C1708"/>
    <hyperlink r:id="rId1707" ref="C1709"/>
    <hyperlink r:id="rId1708" ref="C1710"/>
    <hyperlink r:id="rId1709" ref="C1711"/>
    <hyperlink r:id="rId1710" ref="C1712"/>
    <hyperlink r:id="rId1711" ref="C1713"/>
    <hyperlink r:id="rId1712" ref="C1714"/>
    <hyperlink r:id="rId1713" ref="C1715"/>
    <hyperlink r:id="rId1714" ref="C1716"/>
    <hyperlink r:id="rId1715" ref="C1717"/>
    <hyperlink r:id="rId1716" ref="C1718"/>
    <hyperlink r:id="rId1717" ref="C1719"/>
    <hyperlink r:id="rId1718" ref="C1720"/>
    <hyperlink r:id="rId1719" ref="C1721"/>
    <hyperlink r:id="rId1720" ref="C1722"/>
    <hyperlink r:id="rId1721" ref="C1723"/>
    <hyperlink r:id="rId1722" ref="C1724"/>
    <hyperlink r:id="rId1723" ref="C1725"/>
    <hyperlink r:id="rId1724" ref="C1726"/>
    <hyperlink r:id="rId1725" ref="C1727"/>
    <hyperlink r:id="rId1726" ref="C1728"/>
    <hyperlink r:id="rId1727" ref="C1729"/>
    <hyperlink r:id="rId1728" ref="C1730"/>
    <hyperlink r:id="rId1729" ref="C1731"/>
    <hyperlink r:id="rId1730" ref="C1732"/>
    <hyperlink r:id="rId1731" ref="C1733"/>
    <hyperlink r:id="rId1732" ref="C1734"/>
    <hyperlink r:id="rId1733" ref="C1735"/>
    <hyperlink r:id="rId1734" ref="C1736"/>
    <hyperlink r:id="rId1735" ref="C1737"/>
    <hyperlink r:id="rId1736" ref="C1738"/>
    <hyperlink r:id="rId1737" ref="C1739"/>
    <hyperlink r:id="rId1738" ref="C1740"/>
    <hyperlink r:id="rId1739" ref="C1741"/>
    <hyperlink r:id="rId1740" ref="C1742"/>
    <hyperlink r:id="rId1741" ref="C1743"/>
    <hyperlink r:id="rId1742" ref="C1744"/>
    <hyperlink r:id="rId1743" ref="C1745"/>
    <hyperlink r:id="rId1744" ref="C1746"/>
    <hyperlink r:id="rId1745" ref="C1747"/>
    <hyperlink r:id="rId1746" ref="C1748"/>
    <hyperlink r:id="rId1747" ref="C1749"/>
    <hyperlink r:id="rId1748" ref="C1750"/>
    <hyperlink r:id="rId1749" ref="C1751"/>
    <hyperlink r:id="rId1750" ref="C1752"/>
    <hyperlink r:id="rId1751" ref="C1753"/>
    <hyperlink r:id="rId1752" ref="C1754"/>
    <hyperlink r:id="rId1753" ref="C1755"/>
    <hyperlink r:id="rId1754" ref="C1756"/>
    <hyperlink r:id="rId1755" ref="C1757"/>
    <hyperlink r:id="rId1756" ref="C1758"/>
    <hyperlink r:id="rId1757" ref="C1759"/>
    <hyperlink r:id="rId1758" ref="C1760"/>
    <hyperlink r:id="rId1759" ref="C1761"/>
    <hyperlink r:id="rId1760" ref="C1762"/>
    <hyperlink r:id="rId1761" ref="C1763"/>
    <hyperlink r:id="rId1762" ref="C1764"/>
    <hyperlink r:id="rId1763" ref="C1765"/>
    <hyperlink r:id="rId1764" ref="C1766"/>
    <hyperlink r:id="rId1765" ref="C1767"/>
    <hyperlink r:id="rId1766" ref="C1768"/>
    <hyperlink r:id="rId1767" ref="C1769"/>
    <hyperlink r:id="rId1768" ref="C1770"/>
    <hyperlink r:id="rId1769" ref="C1771"/>
    <hyperlink r:id="rId1770" ref="C1772"/>
    <hyperlink r:id="rId1771" ref="C1773"/>
    <hyperlink r:id="rId1772" ref="C1774"/>
    <hyperlink r:id="rId1773" ref="C1775"/>
    <hyperlink r:id="rId1774" ref="C1776"/>
    <hyperlink r:id="rId1775" ref="C1777"/>
    <hyperlink r:id="rId1776" ref="C1778"/>
    <hyperlink r:id="rId1777" ref="C1779"/>
    <hyperlink r:id="rId1778" ref="C1780"/>
    <hyperlink r:id="rId1779" ref="C1781"/>
    <hyperlink r:id="rId1780" ref="C1782"/>
    <hyperlink r:id="rId1781" ref="C1783"/>
    <hyperlink r:id="rId1782" ref="C1784"/>
    <hyperlink r:id="rId1783" ref="C1785"/>
    <hyperlink r:id="rId1784" ref="C1786"/>
    <hyperlink r:id="rId1785" ref="C1787"/>
    <hyperlink r:id="rId1786" ref="C1788"/>
    <hyperlink r:id="rId1787" ref="C1789"/>
    <hyperlink r:id="rId1788" ref="C1790"/>
    <hyperlink r:id="rId1789" ref="C1791"/>
    <hyperlink r:id="rId1790" ref="C1792"/>
    <hyperlink r:id="rId1791" ref="C1793"/>
    <hyperlink r:id="rId1792" ref="C1794"/>
    <hyperlink r:id="rId1793" ref="C1795"/>
    <hyperlink r:id="rId1794" ref="C1796"/>
    <hyperlink r:id="rId1795" ref="C1797"/>
    <hyperlink r:id="rId1796" ref="C1798"/>
    <hyperlink r:id="rId1797" ref="C1799"/>
    <hyperlink r:id="rId1798" ref="C1800"/>
    <hyperlink r:id="rId1799" ref="C1801"/>
    <hyperlink r:id="rId1800" ref="C1802"/>
    <hyperlink r:id="rId1801" ref="C1803"/>
    <hyperlink r:id="rId1802" ref="C1804"/>
    <hyperlink r:id="rId1803" ref="C1805"/>
    <hyperlink r:id="rId1804" ref="C1806"/>
    <hyperlink r:id="rId1805" ref="C1807"/>
    <hyperlink r:id="rId1806" ref="C1808"/>
    <hyperlink r:id="rId1807" ref="C1809"/>
    <hyperlink r:id="rId1808" ref="C1810"/>
    <hyperlink r:id="rId1809" ref="C1811"/>
    <hyperlink r:id="rId1810" ref="C1812"/>
    <hyperlink r:id="rId1811" ref="C1813"/>
    <hyperlink r:id="rId1812" ref="C1814"/>
    <hyperlink r:id="rId1813" ref="C1815"/>
    <hyperlink r:id="rId1814" ref="C1816"/>
    <hyperlink r:id="rId1815" ref="C1817"/>
    <hyperlink r:id="rId1816" ref="C1818"/>
    <hyperlink r:id="rId1817" ref="C1819"/>
    <hyperlink r:id="rId1818" ref="C1820"/>
    <hyperlink r:id="rId1819" ref="C1821"/>
    <hyperlink r:id="rId1820" ref="C1822"/>
    <hyperlink r:id="rId1821" ref="C1823"/>
    <hyperlink r:id="rId1822" ref="C1824"/>
    <hyperlink r:id="rId1823" ref="C1825"/>
    <hyperlink r:id="rId1824" ref="C1826"/>
    <hyperlink r:id="rId1825" ref="C1827"/>
    <hyperlink r:id="rId1826" ref="C1828"/>
    <hyperlink r:id="rId1827" ref="C1829"/>
    <hyperlink r:id="rId1828" ref="C1830"/>
    <hyperlink r:id="rId1829" ref="C1831"/>
    <hyperlink r:id="rId1830" ref="C1832"/>
    <hyperlink r:id="rId1831" ref="C1833"/>
    <hyperlink r:id="rId1832" ref="C1834"/>
    <hyperlink r:id="rId1833" ref="C1835"/>
    <hyperlink r:id="rId1834" ref="C1836"/>
    <hyperlink r:id="rId1835" ref="C1837"/>
    <hyperlink r:id="rId1836" ref="C1838"/>
    <hyperlink r:id="rId1837" ref="C1839"/>
    <hyperlink r:id="rId1838" ref="C1840"/>
    <hyperlink r:id="rId1839" ref="C1841"/>
    <hyperlink r:id="rId1840" ref="C1842"/>
    <hyperlink r:id="rId1841" ref="C1843"/>
    <hyperlink r:id="rId1842" ref="C1844"/>
    <hyperlink r:id="rId1843" ref="C1845"/>
    <hyperlink r:id="rId1844" ref="C1846"/>
    <hyperlink r:id="rId1845" ref="C1847"/>
    <hyperlink r:id="rId1846" ref="C1848"/>
    <hyperlink r:id="rId1847" ref="C1849"/>
    <hyperlink r:id="rId1848" ref="C1850"/>
    <hyperlink r:id="rId1849" ref="C1851"/>
    <hyperlink r:id="rId1850" ref="C1852"/>
    <hyperlink r:id="rId1851" ref="C1853"/>
    <hyperlink r:id="rId1852" ref="C1854"/>
    <hyperlink r:id="rId1853" ref="C1855"/>
    <hyperlink r:id="rId1854" ref="C1856"/>
    <hyperlink r:id="rId1855" ref="C1857"/>
    <hyperlink r:id="rId1856" ref="C1858"/>
    <hyperlink r:id="rId1857" ref="C1859"/>
    <hyperlink r:id="rId1858" ref="C1860"/>
    <hyperlink r:id="rId1859" ref="C1861"/>
    <hyperlink r:id="rId1860" ref="C1862"/>
    <hyperlink r:id="rId1861" ref="C1863"/>
    <hyperlink r:id="rId1862" ref="C1864"/>
    <hyperlink r:id="rId1863" ref="C1865"/>
    <hyperlink r:id="rId1864" ref="C1866"/>
    <hyperlink r:id="rId1865" ref="C1867"/>
    <hyperlink r:id="rId1866" ref="C1868"/>
    <hyperlink r:id="rId1867" ref="C1869"/>
    <hyperlink r:id="rId1868" ref="C1870"/>
    <hyperlink r:id="rId1869" ref="C1871"/>
    <hyperlink r:id="rId1870" ref="C1872"/>
    <hyperlink r:id="rId1871" ref="C1873"/>
    <hyperlink r:id="rId1872" ref="C1874"/>
    <hyperlink r:id="rId1873" ref="C1875"/>
    <hyperlink r:id="rId1874" ref="C1876"/>
    <hyperlink r:id="rId1875" ref="C1877"/>
    <hyperlink r:id="rId1876" ref="C1878"/>
    <hyperlink r:id="rId1877" ref="C1879"/>
    <hyperlink r:id="rId1878" ref="C1880"/>
    <hyperlink r:id="rId1879" ref="C1881"/>
    <hyperlink r:id="rId1880" ref="C1882"/>
    <hyperlink r:id="rId1881" ref="C1883"/>
    <hyperlink r:id="rId1882" ref="C1884"/>
    <hyperlink r:id="rId1883" ref="C1885"/>
    <hyperlink r:id="rId1884" ref="C1886"/>
    <hyperlink r:id="rId1885" ref="C1887"/>
    <hyperlink r:id="rId1886" ref="C1888"/>
    <hyperlink r:id="rId1887" ref="C1889"/>
    <hyperlink r:id="rId1888" ref="C1890"/>
    <hyperlink r:id="rId1889" ref="C1891"/>
    <hyperlink r:id="rId1890" ref="C1892"/>
    <hyperlink r:id="rId1891" ref="C1893"/>
    <hyperlink r:id="rId1892" ref="C1894"/>
    <hyperlink r:id="rId1893" ref="C1895"/>
    <hyperlink r:id="rId1894" ref="C1896"/>
    <hyperlink r:id="rId1895" ref="C1897"/>
    <hyperlink r:id="rId1896" ref="C1898"/>
    <hyperlink r:id="rId1897" ref="C1899"/>
    <hyperlink r:id="rId1898" ref="C1900"/>
    <hyperlink r:id="rId1899" ref="C1901"/>
    <hyperlink r:id="rId1900" ref="C1902"/>
    <hyperlink r:id="rId1901" ref="C1903"/>
    <hyperlink r:id="rId1902" ref="C1904"/>
    <hyperlink r:id="rId1903" ref="C1905"/>
    <hyperlink r:id="rId1904" ref="C1906"/>
    <hyperlink r:id="rId1905" ref="C1907"/>
    <hyperlink r:id="rId1906" ref="C1908"/>
    <hyperlink r:id="rId1907" ref="C1909"/>
    <hyperlink r:id="rId1908" ref="C1910"/>
    <hyperlink r:id="rId1909" ref="C1911"/>
    <hyperlink r:id="rId1910" ref="C1912"/>
    <hyperlink r:id="rId1911" ref="C1913"/>
    <hyperlink r:id="rId1912" ref="C1914"/>
    <hyperlink r:id="rId1913" ref="C1915"/>
    <hyperlink r:id="rId1914" ref="C1916"/>
    <hyperlink r:id="rId1915" ref="C1917"/>
    <hyperlink r:id="rId1916" ref="C1918"/>
    <hyperlink r:id="rId1917" ref="C1919"/>
    <hyperlink r:id="rId1918" ref="C1920"/>
    <hyperlink r:id="rId1919" ref="C1921"/>
    <hyperlink r:id="rId1920" ref="C1922"/>
    <hyperlink r:id="rId1921" ref="C1923"/>
    <hyperlink r:id="rId1922" ref="C1924"/>
    <hyperlink r:id="rId1923" ref="C1925"/>
    <hyperlink r:id="rId1924" ref="C1926"/>
    <hyperlink r:id="rId1925" ref="C1927"/>
    <hyperlink r:id="rId1926" ref="C1928"/>
    <hyperlink r:id="rId1927" ref="C1929"/>
    <hyperlink r:id="rId1928" ref="C1930"/>
    <hyperlink r:id="rId1929" ref="C1931"/>
    <hyperlink r:id="rId1930" ref="C1932"/>
    <hyperlink r:id="rId1931" ref="C1933"/>
    <hyperlink r:id="rId1932" ref="C1934"/>
    <hyperlink r:id="rId1933" ref="C1935"/>
    <hyperlink r:id="rId1934" ref="C1936"/>
    <hyperlink r:id="rId1935" ref="C1937"/>
    <hyperlink r:id="rId1936" ref="C1938"/>
    <hyperlink r:id="rId1937" ref="C1939"/>
    <hyperlink r:id="rId1938" ref="C1940"/>
    <hyperlink r:id="rId1939" ref="C1941"/>
    <hyperlink r:id="rId1940" ref="C1942"/>
    <hyperlink r:id="rId1941" ref="C1943"/>
    <hyperlink r:id="rId1942" ref="C1944"/>
    <hyperlink r:id="rId1943" ref="C1945"/>
    <hyperlink r:id="rId1944" ref="C1946"/>
    <hyperlink r:id="rId1945" ref="C1947"/>
    <hyperlink r:id="rId1946" ref="C1948"/>
    <hyperlink r:id="rId1947" ref="C1949"/>
    <hyperlink r:id="rId1948" ref="C1950"/>
    <hyperlink r:id="rId1949" ref="C1951"/>
    <hyperlink r:id="rId1950" ref="C1952"/>
    <hyperlink r:id="rId1951" ref="C1953"/>
    <hyperlink r:id="rId1952" ref="C1954"/>
    <hyperlink r:id="rId1953" ref="C1955"/>
    <hyperlink r:id="rId1954" ref="C1956"/>
    <hyperlink r:id="rId1955" ref="C1957"/>
    <hyperlink r:id="rId1956" ref="C1958"/>
    <hyperlink r:id="rId1957" ref="C1959"/>
    <hyperlink r:id="rId1958" ref="C1960"/>
    <hyperlink r:id="rId1959" ref="C1961"/>
    <hyperlink r:id="rId1960" ref="C1962"/>
    <hyperlink r:id="rId1961" ref="C1963"/>
    <hyperlink r:id="rId1962" ref="C1964"/>
    <hyperlink r:id="rId1963" ref="C1965"/>
    <hyperlink r:id="rId1964" ref="C1966"/>
    <hyperlink r:id="rId1965" ref="C1967"/>
    <hyperlink r:id="rId1966" ref="C1968"/>
    <hyperlink r:id="rId1967" ref="C1969"/>
    <hyperlink r:id="rId1968" ref="C1970"/>
    <hyperlink r:id="rId1969" ref="C1971"/>
    <hyperlink r:id="rId1970" ref="C1972"/>
    <hyperlink r:id="rId1971" ref="C1973"/>
    <hyperlink r:id="rId1972" ref="C1974"/>
    <hyperlink r:id="rId1973" ref="C1975"/>
    <hyperlink r:id="rId1974" ref="C1976"/>
    <hyperlink r:id="rId1975" ref="C1977"/>
    <hyperlink r:id="rId1976" ref="C1978"/>
    <hyperlink r:id="rId1977" ref="C1979"/>
    <hyperlink r:id="rId1978" ref="C1980"/>
    <hyperlink r:id="rId1979" ref="C1981"/>
    <hyperlink r:id="rId1980" ref="C1982"/>
    <hyperlink r:id="rId1981" ref="C1983"/>
    <hyperlink r:id="rId1982" ref="C1984"/>
    <hyperlink r:id="rId1983" ref="C1985"/>
    <hyperlink r:id="rId1984" ref="C1986"/>
    <hyperlink r:id="rId1985" ref="C1987"/>
    <hyperlink r:id="rId1986" ref="C1988"/>
    <hyperlink r:id="rId1987" ref="C1989"/>
  </hyperlinks>
  <drawing r:id="rId1988"/>
</worksheet>
</file>